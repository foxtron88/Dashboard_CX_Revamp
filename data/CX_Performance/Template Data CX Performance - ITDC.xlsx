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D:\InJourney Group\01 - Apr - CX Forum\Template Data\Template to Members\"/>
    </mc:Choice>
  </mc:AlternateContent>
  <xr:revisionPtr revIDLastSave="0" documentId="8_{A6CA99FA-0055-456C-8437-1FBE4B9685E3}" xr6:coauthVersionLast="47" xr6:coauthVersionMax="47" xr10:uidLastSave="{00000000-0000-0000-0000-000000000000}"/>
  <bookViews>
    <workbookView xWindow="-108" yWindow="-108" windowWidth="23256" windowHeight="13896" firstSheet="7" activeTab="7" xr2:uid="{3AFBCB1A-FC74-4988-B4A4-57DDE4B84FE5}"/>
  </bookViews>
  <sheets>
    <sheet name="ITDC" sheetId="1" r:id="rId1"/>
    <sheet name="Data Statistik Total" sheetId="11" r:id="rId2"/>
    <sheet name="Rekap" sheetId="3" state="hidden" r:id="rId3"/>
    <sheet name="Bisa dihapus" sheetId="2" state="hidden" r:id="rId4"/>
    <sheet name="statistik The Nusa Dua" sheetId="4" r:id="rId5"/>
    <sheet name="statistik The Mandalika" sheetId="5" r:id="rId6"/>
    <sheet name="statistik The Golo Mori" sheetId="6" r:id="rId7"/>
    <sheet name="statistik MGPA" sheetId="8" r:id="rId8"/>
    <sheet name="Statistik Corcom" sheetId="7" state="hidden" r:id="rId9"/>
    <sheet name="statistik INU" sheetId="9"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 i="11" l="1"/>
  <c r="F7" i="9"/>
  <c r="V7" i="9"/>
  <c r="W7" i="9"/>
  <c r="J3" i="5"/>
  <c r="K3" i="5"/>
  <c r="L3" i="5"/>
  <c r="M3" i="5"/>
  <c r="N3" i="5"/>
  <c r="O3" i="5"/>
  <c r="Q3" i="5"/>
  <c r="G8" i="9"/>
  <c r="H8" i="9"/>
  <c r="I8" i="9"/>
  <c r="J8" i="9"/>
  <c r="K8" i="9"/>
  <c r="L8" i="9"/>
  <c r="M8" i="9"/>
  <c r="N8" i="9"/>
  <c r="O8" i="9"/>
  <c r="P8" i="9"/>
  <c r="Q8" i="9"/>
  <c r="R8" i="9"/>
  <c r="S8" i="9"/>
  <c r="T8" i="9"/>
  <c r="U8" i="9"/>
  <c r="V8" i="9"/>
  <c r="W8" i="9"/>
  <c r="G7" i="9"/>
  <c r="H7" i="9"/>
  <c r="I7" i="9"/>
  <c r="J7" i="9"/>
  <c r="K7" i="9"/>
  <c r="L7" i="9"/>
  <c r="M7" i="9"/>
  <c r="N7" i="9"/>
  <c r="O7" i="9"/>
  <c r="P7" i="9"/>
  <c r="Q7" i="9"/>
  <c r="R7" i="9"/>
  <c r="S7" i="9"/>
  <c r="T7" i="9"/>
  <c r="U7" i="9"/>
  <c r="G6" i="9"/>
  <c r="H6" i="9"/>
  <c r="I6" i="9"/>
  <c r="J6" i="9"/>
  <c r="K6" i="9"/>
  <c r="L6" i="9"/>
  <c r="M6" i="9"/>
  <c r="N6" i="9"/>
  <c r="O6" i="9"/>
  <c r="P6" i="9"/>
  <c r="Q6" i="9"/>
  <c r="R6" i="9"/>
  <c r="S6" i="9"/>
  <c r="T6" i="9"/>
  <c r="U6" i="9"/>
  <c r="V6" i="9"/>
  <c r="W6" i="9"/>
  <c r="G5" i="9"/>
  <c r="H5" i="9"/>
  <c r="I5" i="9"/>
  <c r="J5" i="9"/>
  <c r="K5" i="9"/>
  <c r="L5" i="9"/>
  <c r="M5" i="9"/>
  <c r="N5" i="9"/>
  <c r="O5" i="9"/>
  <c r="P5" i="9"/>
  <c r="Q5" i="9"/>
  <c r="R5" i="9"/>
  <c r="S5" i="9"/>
  <c r="T5" i="9"/>
  <c r="U5" i="9"/>
  <c r="V5" i="9"/>
  <c r="W5" i="9"/>
  <c r="F6" i="9"/>
  <c r="F8" i="9"/>
  <c r="F5" i="9"/>
  <c r="W5" i="8"/>
  <c r="W6" i="8"/>
  <c r="W7" i="8"/>
  <c r="W8" i="8"/>
  <c r="D35" i="8"/>
  <c r="D34" i="8"/>
  <c r="F52" i="11"/>
  <c r="F6" i="8"/>
  <c r="G6" i="8"/>
  <c r="H6" i="8"/>
  <c r="I6" i="8"/>
  <c r="J6" i="8"/>
  <c r="K6" i="8"/>
  <c r="L6" i="8"/>
  <c r="M6" i="8"/>
  <c r="N6" i="8"/>
  <c r="O6" i="8"/>
  <c r="P6" i="8"/>
  <c r="Q6" i="8"/>
  <c r="R6" i="8"/>
  <c r="S6" i="8"/>
  <c r="T6" i="8"/>
  <c r="U6" i="8"/>
  <c r="V6" i="8"/>
  <c r="F7" i="8"/>
  <c r="G7" i="8"/>
  <c r="H7" i="8"/>
  <c r="I7" i="8"/>
  <c r="J7" i="8"/>
  <c r="K7" i="8"/>
  <c r="L7" i="8"/>
  <c r="M7" i="8"/>
  <c r="N7" i="8"/>
  <c r="O7" i="8"/>
  <c r="P7" i="8"/>
  <c r="Q7" i="8"/>
  <c r="R7" i="8"/>
  <c r="S7" i="8"/>
  <c r="T7" i="8"/>
  <c r="U7" i="8"/>
  <c r="V7" i="8"/>
  <c r="F8" i="8"/>
  <c r="G8" i="8"/>
  <c r="H8" i="8"/>
  <c r="I8" i="8"/>
  <c r="J8" i="8"/>
  <c r="K8" i="8"/>
  <c r="L8" i="8"/>
  <c r="M8" i="8"/>
  <c r="N8" i="8"/>
  <c r="O8" i="8"/>
  <c r="P8" i="8"/>
  <c r="Q8" i="8"/>
  <c r="R8" i="8"/>
  <c r="S8" i="8"/>
  <c r="T8" i="8"/>
  <c r="U8" i="8"/>
  <c r="V8" i="8"/>
  <c r="G5" i="8"/>
  <c r="H5" i="8"/>
  <c r="I5" i="8"/>
  <c r="J5" i="8"/>
  <c r="K5" i="8"/>
  <c r="L5" i="8"/>
  <c r="M5" i="8"/>
  <c r="N5" i="8"/>
  <c r="O5" i="8"/>
  <c r="P5" i="8"/>
  <c r="Q5" i="8"/>
  <c r="R5" i="8"/>
  <c r="S5" i="8"/>
  <c r="T5" i="8"/>
  <c r="U5" i="8"/>
  <c r="V5" i="8"/>
  <c r="W3" i="8"/>
  <c r="F5" i="8"/>
  <c r="F47" i="11"/>
  <c r="G47" i="11"/>
  <c r="H47" i="11"/>
  <c r="I47" i="11"/>
  <c r="J47" i="11"/>
  <c r="K47" i="11"/>
  <c r="L47" i="11"/>
  <c r="M47" i="11"/>
  <c r="N47" i="11"/>
  <c r="O47" i="11"/>
  <c r="P47" i="11"/>
  <c r="Q47" i="11"/>
  <c r="R47" i="11"/>
  <c r="S47" i="11"/>
  <c r="T47" i="11"/>
  <c r="U47" i="11"/>
  <c r="V47" i="11"/>
  <c r="W47" i="11"/>
  <c r="F48" i="11"/>
  <c r="G48" i="11"/>
  <c r="H48" i="11"/>
  <c r="I48" i="11"/>
  <c r="J48" i="11"/>
  <c r="K48" i="11"/>
  <c r="L48" i="11"/>
  <c r="M48" i="11"/>
  <c r="N48" i="11"/>
  <c r="O48" i="11"/>
  <c r="P48" i="11"/>
  <c r="Q48" i="11"/>
  <c r="R48" i="11"/>
  <c r="S48" i="11"/>
  <c r="T48" i="11"/>
  <c r="U48" i="11"/>
  <c r="V48" i="11"/>
  <c r="W48" i="11"/>
  <c r="F49" i="11"/>
  <c r="G49" i="11"/>
  <c r="H49" i="11"/>
  <c r="I49" i="11"/>
  <c r="J49" i="11"/>
  <c r="K49" i="11"/>
  <c r="L49" i="11"/>
  <c r="M49" i="11"/>
  <c r="N49" i="11"/>
  <c r="O49" i="11"/>
  <c r="P49" i="11"/>
  <c r="Q49" i="11"/>
  <c r="R49" i="11"/>
  <c r="S49" i="11"/>
  <c r="T49" i="11"/>
  <c r="U49" i="11"/>
  <c r="V49" i="11"/>
  <c r="W49" i="11"/>
  <c r="G46" i="11"/>
  <c r="H46" i="11"/>
  <c r="I46" i="11"/>
  <c r="J46" i="11"/>
  <c r="K46" i="11"/>
  <c r="L46" i="11"/>
  <c r="M46" i="11"/>
  <c r="N46" i="11"/>
  <c r="O46" i="11"/>
  <c r="P46" i="11"/>
  <c r="Q46" i="11"/>
  <c r="R46" i="11"/>
  <c r="S46" i="11"/>
  <c r="T46" i="11"/>
  <c r="U46" i="11"/>
  <c r="V46" i="11"/>
  <c r="D49" i="11"/>
  <c r="F46" i="11"/>
  <c r="W46" i="6"/>
  <c r="W46" i="11" s="1"/>
  <c r="W17" i="1"/>
  <c r="W16" i="1"/>
  <c r="G3" i="8"/>
  <c r="H3" i="8"/>
  <c r="I3" i="8"/>
  <c r="J3" i="8"/>
  <c r="K3" i="8"/>
  <c r="L3" i="8"/>
  <c r="M3" i="8"/>
  <c r="N3" i="8"/>
  <c r="O3" i="8"/>
  <c r="P3" i="8"/>
  <c r="Q3" i="8"/>
  <c r="R3" i="8"/>
  <c r="S3" i="8"/>
  <c r="T3" i="8"/>
  <c r="U3" i="8"/>
  <c r="V3" i="8"/>
  <c r="F3" i="8"/>
  <c r="G3" i="6"/>
  <c r="H3" i="6"/>
  <c r="I3" i="6"/>
  <c r="J3" i="6"/>
  <c r="K3" i="6"/>
  <c r="L3" i="6"/>
  <c r="M3" i="6"/>
  <c r="N3" i="6"/>
  <c r="O3" i="6"/>
  <c r="P3" i="6"/>
  <c r="Q3" i="6"/>
  <c r="R3" i="6"/>
  <c r="S3" i="6"/>
  <c r="T3" i="6"/>
  <c r="U3" i="6"/>
  <c r="V3" i="6"/>
  <c r="W3" i="6"/>
  <c r="F3" i="6"/>
  <c r="W3" i="5"/>
  <c r="G3" i="5"/>
  <c r="H3" i="5"/>
  <c r="I3" i="5"/>
  <c r="P3" i="5"/>
  <c r="R3" i="5"/>
  <c r="S3" i="5"/>
  <c r="T3" i="5"/>
  <c r="U3" i="5"/>
  <c r="V3" i="5"/>
  <c r="F3" i="5"/>
  <c r="Q10" i="1"/>
  <c r="Q11" i="1"/>
  <c r="Q12" i="1"/>
  <c r="G52" i="11"/>
  <c r="H52" i="11"/>
  <c r="I52" i="11"/>
  <c r="J52" i="11"/>
  <c r="K52" i="11"/>
  <c r="L52" i="11"/>
  <c r="M52" i="11"/>
  <c r="N52" i="11"/>
  <c r="O52" i="11"/>
  <c r="P52" i="11"/>
  <c r="Q52" i="11"/>
  <c r="R52" i="11"/>
  <c r="S52" i="11"/>
  <c r="T52" i="11"/>
  <c r="U52" i="11"/>
  <c r="V52" i="11"/>
  <c r="W52" i="11"/>
  <c r="G53" i="11"/>
  <c r="H53" i="11"/>
  <c r="I53" i="11"/>
  <c r="J53" i="11"/>
  <c r="K53" i="11"/>
  <c r="L53" i="11"/>
  <c r="M53" i="11"/>
  <c r="N53" i="11"/>
  <c r="O53" i="11"/>
  <c r="P53" i="11"/>
  <c r="Q53" i="11"/>
  <c r="R53" i="11"/>
  <c r="S53" i="11"/>
  <c r="T53" i="11"/>
  <c r="U53" i="11"/>
  <c r="V53" i="11"/>
  <c r="W53" i="11"/>
  <c r="G54" i="11"/>
  <c r="H54" i="11"/>
  <c r="I54" i="11"/>
  <c r="J54" i="11"/>
  <c r="K54" i="11"/>
  <c r="L54" i="11"/>
  <c r="M54" i="11"/>
  <c r="N54" i="11"/>
  <c r="O54" i="11"/>
  <c r="P54" i="11"/>
  <c r="Q54" i="11"/>
  <c r="R54" i="11"/>
  <c r="S54" i="11"/>
  <c r="T54" i="11"/>
  <c r="U54" i="11"/>
  <c r="V54" i="11"/>
  <c r="W54" i="11"/>
  <c r="G55" i="11"/>
  <c r="H55" i="11"/>
  <c r="I55" i="11"/>
  <c r="J55" i="11"/>
  <c r="K55" i="11"/>
  <c r="L55" i="11"/>
  <c r="M55" i="11"/>
  <c r="N55" i="11"/>
  <c r="O55" i="11"/>
  <c r="P55" i="11"/>
  <c r="Q55" i="11"/>
  <c r="R55" i="11"/>
  <c r="S55" i="11"/>
  <c r="T55" i="11"/>
  <c r="U55" i="11"/>
  <c r="V55" i="11"/>
  <c r="W55" i="11"/>
  <c r="F53" i="11"/>
  <c r="F54" i="11"/>
  <c r="F55" i="11"/>
  <c r="G45" i="11"/>
  <c r="H45" i="11"/>
  <c r="I45" i="11"/>
  <c r="J45" i="11"/>
  <c r="K45" i="11"/>
  <c r="L45" i="11"/>
  <c r="M45" i="11"/>
  <c r="N45" i="11"/>
  <c r="O45" i="11"/>
  <c r="P45" i="11"/>
  <c r="Q45" i="11"/>
  <c r="R45" i="11"/>
  <c r="S45" i="11"/>
  <c r="T45" i="11"/>
  <c r="U45" i="11"/>
  <c r="V45" i="11"/>
  <c r="W45" i="11"/>
  <c r="F45" i="11"/>
  <c r="V7" i="4"/>
  <c r="W7" i="4"/>
  <c r="U7" i="4"/>
  <c r="T7" i="4"/>
  <c r="S7" i="4"/>
  <c r="R7" i="4"/>
  <c r="Q7" i="4"/>
  <c r="P7" i="4"/>
  <c r="O7" i="4"/>
  <c r="N7" i="4"/>
  <c r="M7" i="4"/>
  <c r="L7" i="4"/>
  <c r="K7" i="4"/>
  <c r="G44" i="11"/>
  <c r="H44" i="11"/>
  <c r="I44" i="11"/>
  <c r="J44" i="11"/>
  <c r="K44" i="11"/>
  <c r="L44" i="11"/>
  <c r="M44" i="11"/>
  <c r="N44" i="11"/>
  <c r="O44" i="11"/>
  <c r="P44" i="11"/>
  <c r="Q44" i="11"/>
  <c r="R44" i="11"/>
  <c r="S44" i="11"/>
  <c r="T44" i="11"/>
  <c r="U44" i="11"/>
  <c r="V44" i="11"/>
  <c r="W44" i="11"/>
  <c r="J7" i="4"/>
  <c r="G43" i="11"/>
  <c r="H43" i="11"/>
  <c r="I43" i="11"/>
  <c r="J43" i="11"/>
  <c r="K43" i="11"/>
  <c r="L43" i="11"/>
  <c r="M43" i="11"/>
  <c r="N43" i="11"/>
  <c r="O43" i="11"/>
  <c r="P43" i="11"/>
  <c r="Q43" i="11"/>
  <c r="R43" i="11"/>
  <c r="S43" i="11"/>
  <c r="T43" i="11"/>
  <c r="U43" i="11"/>
  <c r="V43" i="11"/>
  <c r="W43" i="11"/>
  <c r="G42" i="11"/>
  <c r="H42" i="11"/>
  <c r="I42" i="11"/>
  <c r="J42" i="11"/>
  <c r="K42" i="11"/>
  <c r="L42" i="11"/>
  <c r="M42" i="11"/>
  <c r="N42" i="11"/>
  <c r="O42" i="11"/>
  <c r="P42" i="11"/>
  <c r="Q42" i="11"/>
  <c r="R42" i="11"/>
  <c r="S42" i="11"/>
  <c r="T42" i="11"/>
  <c r="U42" i="11"/>
  <c r="V42" i="11"/>
  <c r="W42" i="11"/>
  <c r="G41" i="11"/>
  <c r="H41" i="11"/>
  <c r="I41" i="11"/>
  <c r="J41" i="11"/>
  <c r="K41" i="11"/>
  <c r="L41" i="11"/>
  <c r="M41" i="11"/>
  <c r="N41" i="11"/>
  <c r="O41" i="11"/>
  <c r="P41" i="11"/>
  <c r="Q41" i="11"/>
  <c r="R41" i="11"/>
  <c r="S41" i="11"/>
  <c r="T41" i="11"/>
  <c r="U41" i="11"/>
  <c r="V41" i="11"/>
  <c r="W41" i="11"/>
  <c r="G40" i="11"/>
  <c r="H40" i="11"/>
  <c r="I40" i="11"/>
  <c r="J40" i="11"/>
  <c r="K40" i="11"/>
  <c r="L40" i="11"/>
  <c r="M40" i="11"/>
  <c r="N40" i="11"/>
  <c r="O40" i="11"/>
  <c r="P40" i="11"/>
  <c r="Q40" i="11"/>
  <c r="R40" i="11"/>
  <c r="S40" i="11"/>
  <c r="T40" i="11"/>
  <c r="U40" i="11"/>
  <c r="V40" i="11"/>
  <c r="W40" i="11"/>
  <c r="G39" i="11"/>
  <c r="H39" i="11"/>
  <c r="I39" i="11"/>
  <c r="J39" i="11"/>
  <c r="K39" i="11"/>
  <c r="L39" i="11"/>
  <c r="M39" i="11"/>
  <c r="N39" i="11"/>
  <c r="O39" i="11"/>
  <c r="P39" i="11"/>
  <c r="Q39" i="11"/>
  <c r="R39" i="11"/>
  <c r="S39" i="11"/>
  <c r="T39" i="11"/>
  <c r="U39" i="11"/>
  <c r="V39" i="11"/>
  <c r="W39" i="11"/>
  <c r="G38" i="11"/>
  <c r="H38" i="11"/>
  <c r="I38" i="11"/>
  <c r="J38" i="11"/>
  <c r="K38" i="11"/>
  <c r="L38" i="11"/>
  <c r="M38" i="11"/>
  <c r="N38" i="11"/>
  <c r="O38" i="11"/>
  <c r="P38" i="11"/>
  <c r="Q38" i="11"/>
  <c r="R38" i="11"/>
  <c r="S38" i="11"/>
  <c r="T38" i="11"/>
  <c r="U38" i="11"/>
  <c r="V38" i="11"/>
  <c r="W38" i="11"/>
  <c r="G37" i="11"/>
  <c r="H37" i="11"/>
  <c r="I37" i="11"/>
  <c r="J37" i="11"/>
  <c r="K37" i="11"/>
  <c r="L37" i="11"/>
  <c r="M37" i="11"/>
  <c r="N37" i="11"/>
  <c r="O37" i="11"/>
  <c r="P37" i="11"/>
  <c r="Q37" i="11"/>
  <c r="R37" i="11"/>
  <c r="S37" i="11"/>
  <c r="T37" i="11"/>
  <c r="U37" i="11"/>
  <c r="V37" i="11"/>
  <c r="W37" i="11"/>
  <c r="G36" i="11"/>
  <c r="H36" i="11"/>
  <c r="I36" i="11"/>
  <c r="J36" i="11"/>
  <c r="K36" i="11"/>
  <c r="L36" i="11"/>
  <c r="M36" i="11"/>
  <c r="N36" i="11"/>
  <c r="O36" i="11"/>
  <c r="P36" i="11"/>
  <c r="Q36" i="11"/>
  <c r="R36" i="11"/>
  <c r="S36" i="11"/>
  <c r="T36" i="11"/>
  <c r="U36" i="11"/>
  <c r="V36" i="11"/>
  <c r="W36" i="11"/>
  <c r="G35" i="11"/>
  <c r="H35" i="11"/>
  <c r="I35" i="11"/>
  <c r="J35" i="11"/>
  <c r="K35" i="11"/>
  <c r="L35" i="11"/>
  <c r="M35" i="11"/>
  <c r="N35" i="11"/>
  <c r="O35" i="11"/>
  <c r="P35" i="11"/>
  <c r="Q35" i="11"/>
  <c r="R35" i="11"/>
  <c r="S35" i="11"/>
  <c r="T35" i="11"/>
  <c r="U35" i="11"/>
  <c r="V35" i="11"/>
  <c r="W35" i="11"/>
  <c r="G34" i="11"/>
  <c r="H34" i="11"/>
  <c r="I34" i="11"/>
  <c r="J34" i="11"/>
  <c r="K34" i="11"/>
  <c r="L34" i="11"/>
  <c r="M34" i="11"/>
  <c r="N34" i="11"/>
  <c r="O34" i="11"/>
  <c r="P34" i="11"/>
  <c r="Q34" i="11"/>
  <c r="R34" i="11"/>
  <c r="S34" i="11"/>
  <c r="T34" i="11"/>
  <c r="U34" i="11"/>
  <c r="V34" i="11"/>
  <c r="W34" i="11"/>
  <c r="G33" i="11"/>
  <c r="H33" i="11"/>
  <c r="I33" i="11"/>
  <c r="J33" i="11"/>
  <c r="K33" i="11"/>
  <c r="L33" i="11"/>
  <c r="M33" i="11"/>
  <c r="N33" i="11"/>
  <c r="O33" i="11"/>
  <c r="P33" i="11"/>
  <c r="Q33" i="11"/>
  <c r="R33" i="11"/>
  <c r="S33" i="11"/>
  <c r="T33" i="11"/>
  <c r="U33" i="11"/>
  <c r="V33" i="11"/>
  <c r="W33" i="11"/>
  <c r="G32" i="11"/>
  <c r="H32" i="11"/>
  <c r="I32" i="11"/>
  <c r="J32" i="11"/>
  <c r="K32" i="11"/>
  <c r="L32" i="11"/>
  <c r="M32" i="11"/>
  <c r="N32" i="11"/>
  <c r="O32" i="11"/>
  <c r="P32" i="11"/>
  <c r="Q32" i="11"/>
  <c r="R32" i="11"/>
  <c r="S32" i="11"/>
  <c r="T32" i="11"/>
  <c r="U32" i="11"/>
  <c r="V32" i="11"/>
  <c r="W32" i="11"/>
  <c r="G31" i="11"/>
  <c r="H31" i="11"/>
  <c r="I31" i="11"/>
  <c r="J31" i="11"/>
  <c r="K31" i="11"/>
  <c r="L31" i="11"/>
  <c r="M31" i="11"/>
  <c r="N31" i="11"/>
  <c r="O31" i="11"/>
  <c r="P31" i="11"/>
  <c r="Q31" i="11"/>
  <c r="R31" i="11"/>
  <c r="S31" i="11"/>
  <c r="T31" i="11"/>
  <c r="U31" i="11"/>
  <c r="V31" i="11"/>
  <c r="W31" i="11"/>
  <c r="G30" i="11"/>
  <c r="H30" i="11"/>
  <c r="I30" i="11"/>
  <c r="J30" i="11"/>
  <c r="K30" i="11"/>
  <c r="L30" i="11"/>
  <c r="M30" i="11"/>
  <c r="N30" i="11"/>
  <c r="O30" i="11"/>
  <c r="P30" i="11"/>
  <c r="Q30" i="11"/>
  <c r="R30" i="11"/>
  <c r="S30" i="11"/>
  <c r="T30" i="11"/>
  <c r="U30" i="11"/>
  <c r="V30" i="11"/>
  <c r="W30" i="11"/>
  <c r="I7" i="4"/>
  <c r="G29" i="11"/>
  <c r="H29" i="11"/>
  <c r="I29" i="11"/>
  <c r="J29" i="11"/>
  <c r="K29" i="11"/>
  <c r="L29" i="11"/>
  <c r="M29" i="11"/>
  <c r="N29" i="11"/>
  <c r="O29" i="11"/>
  <c r="P29" i="11"/>
  <c r="Q29" i="11"/>
  <c r="R29" i="11"/>
  <c r="S29" i="11"/>
  <c r="T29" i="11"/>
  <c r="U29" i="11"/>
  <c r="V29" i="11"/>
  <c r="W29" i="11"/>
  <c r="G28" i="11"/>
  <c r="H28" i="11"/>
  <c r="I28" i="11"/>
  <c r="J28" i="11"/>
  <c r="K28" i="11"/>
  <c r="L28" i="11"/>
  <c r="M28" i="11"/>
  <c r="N28" i="11"/>
  <c r="O28" i="11"/>
  <c r="P28" i="11"/>
  <c r="Q28" i="11"/>
  <c r="R28" i="11"/>
  <c r="S28" i="11"/>
  <c r="T28" i="11"/>
  <c r="U28" i="11"/>
  <c r="V28" i="11"/>
  <c r="W28" i="11"/>
  <c r="G27" i="11"/>
  <c r="H27" i="11"/>
  <c r="I27" i="11"/>
  <c r="J27" i="11"/>
  <c r="K27" i="11"/>
  <c r="L27" i="11"/>
  <c r="M27" i="11"/>
  <c r="N27" i="11"/>
  <c r="O27" i="11"/>
  <c r="P27" i="11"/>
  <c r="Q27" i="11"/>
  <c r="R27" i="11"/>
  <c r="S27" i="11"/>
  <c r="T27" i="11"/>
  <c r="U27" i="11"/>
  <c r="V27" i="11"/>
  <c r="W27" i="11"/>
  <c r="G26" i="11"/>
  <c r="H26" i="11"/>
  <c r="I26" i="11"/>
  <c r="J26" i="11"/>
  <c r="K26" i="11"/>
  <c r="L26" i="11"/>
  <c r="M26" i="11"/>
  <c r="N26" i="11"/>
  <c r="O26" i="11"/>
  <c r="P26" i="11"/>
  <c r="Q26" i="11"/>
  <c r="R26" i="11"/>
  <c r="S26" i="11"/>
  <c r="T26" i="11"/>
  <c r="U26" i="11"/>
  <c r="V26" i="11"/>
  <c r="W26" i="11"/>
  <c r="G25" i="11"/>
  <c r="H25" i="11"/>
  <c r="I25" i="11"/>
  <c r="J25" i="11"/>
  <c r="K25" i="11"/>
  <c r="L25" i="11"/>
  <c r="M25" i="11"/>
  <c r="N25" i="11"/>
  <c r="O25" i="11"/>
  <c r="P25" i="11"/>
  <c r="Q25" i="11"/>
  <c r="R25" i="11"/>
  <c r="S25" i="11"/>
  <c r="T25" i="11"/>
  <c r="U25" i="11"/>
  <c r="V25" i="11"/>
  <c r="W25" i="11"/>
  <c r="G24" i="11"/>
  <c r="H24" i="11"/>
  <c r="I24" i="11"/>
  <c r="J24" i="11"/>
  <c r="K24" i="11"/>
  <c r="L24" i="11"/>
  <c r="M24" i="11"/>
  <c r="N24" i="11"/>
  <c r="O24" i="11"/>
  <c r="P24" i="11"/>
  <c r="Q24" i="11"/>
  <c r="R24" i="11"/>
  <c r="S24" i="11"/>
  <c r="T24" i="11"/>
  <c r="U24" i="11"/>
  <c r="V24" i="11"/>
  <c r="W24" i="11"/>
  <c r="G23" i="11"/>
  <c r="H23" i="11"/>
  <c r="I23" i="11"/>
  <c r="J23" i="11"/>
  <c r="K23" i="11"/>
  <c r="L23" i="11"/>
  <c r="M23" i="11"/>
  <c r="N23" i="11"/>
  <c r="O23" i="11"/>
  <c r="P23" i="11"/>
  <c r="Q23" i="11"/>
  <c r="R23" i="11"/>
  <c r="S23" i="11"/>
  <c r="T23" i="11"/>
  <c r="U23" i="11"/>
  <c r="V23" i="11"/>
  <c r="W23" i="11"/>
  <c r="G22" i="11"/>
  <c r="H22" i="11"/>
  <c r="I22" i="11"/>
  <c r="J22" i="11"/>
  <c r="K22" i="11"/>
  <c r="L22" i="11"/>
  <c r="M22" i="11"/>
  <c r="N22" i="11"/>
  <c r="O22" i="11"/>
  <c r="P22" i="11"/>
  <c r="Q22" i="11"/>
  <c r="R22" i="11"/>
  <c r="S22" i="11"/>
  <c r="T22" i="11"/>
  <c r="U22" i="11"/>
  <c r="V22" i="11"/>
  <c r="W22" i="11"/>
  <c r="G21" i="11"/>
  <c r="H21" i="11"/>
  <c r="I21" i="11"/>
  <c r="J21" i="11"/>
  <c r="K21" i="11"/>
  <c r="L21" i="11"/>
  <c r="M21" i="11"/>
  <c r="N21" i="11"/>
  <c r="O21" i="11"/>
  <c r="P21" i="11"/>
  <c r="Q21" i="11"/>
  <c r="R21" i="11"/>
  <c r="S21" i="11"/>
  <c r="T21" i="11"/>
  <c r="U21" i="11"/>
  <c r="V21" i="11"/>
  <c r="W21" i="11"/>
  <c r="G20" i="11"/>
  <c r="H20" i="11"/>
  <c r="I20" i="11"/>
  <c r="J20" i="11"/>
  <c r="K20" i="11"/>
  <c r="L20" i="11"/>
  <c r="M20" i="11"/>
  <c r="N20" i="11"/>
  <c r="O20" i="11"/>
  <c r="P20" i="11"/>
  <c r="Q20" i="11"/>
  <c r="R20" i="11"/>
  <c r="S20" i="11"/>
  <c r="T20" i="11"/>
  <c r="U20" i="11"/>
  <c r="V20" i="11"/>
  <c r="W20" i="11"/>
  <c r="G19" i="11"/>
  <c r="H19" i="11"/>
  <c r="I19" i="11"/>
  <c r="J19" i="11"/>
  <c r="K19" i="11"/>
  <c r="L19" i="11"/>
  <c r="M19" i="11"/>
  <c r="N19" i="11"/>
  <c r="O19" i="11"/>
  <c r="P19" i="11"/>
  <c r="Q19" i="11"/>
  <c r="R19" i="11"/>
  <c r="S19" i="11"/>
  <c r="T19" i="11"/>
  <c r="U19" i="11"/>
  <c r="V19" i="11"/>
  <c r="W19" i="11"/>
  <c r="G18" i="11"/>
  <c r="H18" i="11"/>
  <c r="I18" i="11"/>
  <c r="J18" i="11"/>
  <c r="K18" i="11"/>
  <c r="L18" i="11"/>
  <c r="M18" i="11"/>
  <c r="N18" i="11"/>
  <c r="O18" i="11"/>
  <c r="P18" i="11"/>
  <c r="Q18" i="11"/>
  <c r="R18" i="11"/>
  <c r="S18" i="11"/>
  <c r="T18" i="11"/>
  <c r="U18" i="11"/>
  <c r="V18" i="11"/>
  <c r="W18" i="11"/>
  <c r="G17" i="11"/>
  <c r="H17" i="11"/>
  <c r="I17" i="11"/>
  <c r="J17" i="11"/>
  <c r="K17" i="11"/>
  <c r="L17" i="11"/>
  <c r="M17" i="11"/>
  <c r="N17" i="11"/>
  <c r="O17" i="11"/>
  <c r="P17" i="11"/>
  <c r="Q17" i="11"/>
  <c r="R17" i="11"/>
  <c r="S17" i="11"/>
  <c r="T17" i="11"/>
  <c r="U17" i="11"/>
  <c r="V17" i="11"/>
  <c r="W17" i="11"/>
  <c r="G16" i="11"/>
  <c r="H16" i="11"/>
  <c r="I16" i="11"/>
  <c r="J16" i="11"/>
  <c r="K16" i="11"/>
  <c r="L16" i="11"/>
  <c r="M16" i="11"/>
  <c r="N16" i="11"/>
  <c r="O16" i="11"/>
  <c r="P16" i="11"/>
  <c r="Q16" i="11"/>
  <c r="R16" i="11"/>
  <c r="S16" i="11"/>
  <c r="T16" i="11"/>
  <c r="U16" i="11"/>
  <c r="V16" i="11"/>
  <c r="W16" i="11"/>
  <c r="G15" i="11"/>
  <c r="H15" i="11"/>
  <c r="I15" i="11"/>
  <c r="J15" i="11"/>
  <c r="K15" i="11"/>
  <c r="L15" i="11"/>
  <c r="M15" i="11"/>
  <c r="N15" i="11"/>
  <c r="O15" i="11"/>
  <c r="P15" i="11"/>
  <c r="Q15" i="11"/>
  <c r="R15" i="11"/>
  <c r="S15" i="11"/>
  <c r="T15" i="11"/>
  <c r="U15" i="11"/>
  <c r="V15" i="11"/>
  <c r="W15" i="11"/>
  <c r="G14" i="11"/>
  <c r="H14" i="11"/>
  <c r="I14" i="11"/>
  <c r="J14" i="11"/>
  <c r="K14" i="11"/>
  <c r="L14" i="11"/>
  <c r="M14" i="11"/>
  <c r="N14" i="11"/>
  <c r="O14" i="11"/>
  <c r="P14" i="11"/>
  <c r="Q14" i="11"/>
  <c r="R14" i="11"/>
  <c r="S14" i="11"/>
  <c r="T14" i="11"/>
  <c r="U14" i="11"/>
  <c r="V14" i="11"/>
  <c r="W14" i="11"/>
  <c r="G13" i="11"/>
  <c r="H13" i="11"/>
  <c r="I13" i="11"/>
  <c r="J13" i="11"/>
  <c r="K13" i="11"/>
  <c r="L13" i="11"/>
  <c r="M13" i="11"/>
  <c r="N13" i="11"/>
  <c r="O13" i="11"/>
  <c r="P13" i="11"/>
  <c r="Q13" i="11"/>
  <c r="R13" i="11"/>
  <c r="S13" i="11"/>
  <c r="T13" i="11"/>
  <c r="U13" i="11"/>
  <c r="V13" i="11"/>
  <c r="W13" i="11"/>
  <c r="G12" i="11"/>
  <c r="H12" i="11"/>
  <c r="I12" i="11"/>
  <c r="J12" i="11"/>
  <c r="K12" i="11"/>
  <c r="L12" i="11"/>
  <c r="M12" i="11"/>
  <c r="N12" i="11"/>
  <c r="O12" i="11"/>
  <c r="P12" i="11"/>
  <c r="Q12" i="11"/>
  <c r="R12" i="11"/>
  <c r="S12" i="11"/>
  <c r="T12" i="11"/>
  <c r="U12" i="11"/>
  <c r="V12" i="11"/>
  <c r="W12" i="11"/>
  <c r="H7" i="4"/>
  <c r="G11" i="11"/>
  <c r="H11" i="11"/>
  <c r="I11" i="11"/>
  <c r="J11" i="11"/>
  <c r="K11" i="11"/>
  <c r="L11" i="11"/>
  <c r="M11" i="11"/>
  <c r="N11" i="11"/>
  <c r="O11" i="11"/>
  <c r="P11" i="11"/>
  <c r="Q11" i="11"/>
  <c r="R11" i="11"/>
  <c r="S11" i="11"/>
  <c r="T11" i="11"/>
  <c r="U11" i="11"/>
  <c r="V11" i="11"/>
  <c r="W11" i="11"/>
  <c r="G7" i="4"/>
  <c r="F7" i="4"/>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9" i="11"/>
  <c r="F40" i="11"/>
  <c r="F41" i="11"/>
  <c r="F42" i="11"/>
  <c r="F43" i="11"/>
  <c r="F44" i="11"/>
  <c r="G10" i="11"/>
  <c r="H10" i="11"/>
  <c r="I10" i="11"/>
  <c r="J10" i="11"/>
  <c r="K10" i="11"/>
  <c r="L10" i="11"/>
  <c r="M10" i="11"/>
  <c r="N10" i="11"/>
  <c r="O10" i="11"/>
  <c r="P10" i="11"/>
  <c r="Q10" i="11"/>
  <c r="R10" i="11"/>
  <c r="S10" i="11"/>
  <c r="T10" i="11"/>
  <c r="U10" i="11"/>
  <c r="V10" i="11"/>
  <c r="W10" i="11"/>
  <c r="F10" i="11"/>
  <c r="G8" i="4"/>
  <c r="H8" i="4"/>
  <c r="I8" i="4"/>
  <c r="J8" i="4"/>
  <c r="K8" i="4"/>
  <c r="L8" i="4"/>
  <c r="M8" i="4"/>
  <c r="N8" i="4"/>
  <c r="O8" i="4"/>
  <c r="P8" i="4"/>
  <c r="Q8" i="4"/>
  <c r="R8" i="4"/>
  <c r="S8" i="4"/>
  <c r="T8" i="4"/>
  <c r="U8" i="4"/>
  <c r="V8" i="4"/>
  <c r="W8" i="4"/>
  <c r="F8" i="4"/>
  <c r="G6" i="4"/>
  <c r="H6" i="4"/>
  <c r="I6" i="4"/>
  <c r="J6" i="4"/>
  <c r="K6" i="4"/>
  <c r="L6" i="4"/>
  <c r="M6" i="4"/>
  <c r="N6" i="4"/>
  <c r="O6" i="4"/>
  <c r="P6" i="4"/>
  <c r="Q6" i="4"/>
  <c r="R6" i="4"/>
  <c r="S6" i="4"/>
  <c r="T6" i="4"/>
  <c r="U6" i="4"/>
  <c r="V6" i="4"/>
  <c r="W6" i="4"/>
  <c r="F6" i="4"/>
  <c r="G5" i="4"/>
  <c r="F5" i="4"/>
  <c r="H5" i="4"/>
  <c r="D37" i="9"/>
  <c r="D41" i="9" s="1"/>
  <c r="D20" i="9"/>
  <c r="D19" i="9"/>
  <c r="D18" i="9"/>
  <c r="D16" i="9"/>
  <c r="D14" i="9"/>
  <c r="D12" i="9"/>
  <c r="D11" i="9"/>
  <c r="D10" i="9"/>
  <c r="W8" i="11"/>
  <c r="U8" i="11"/>
  <c r="T8" i="11"/>
  <c r="S8" i="11"/>
  <c r="R8" i="11"/>
  <c r="Q8" i="11"/>
  <c r="P8" i="11"/>
  <c r="O8" i="11"/>
  <c r="N8" i="11"/>
  <c r="M8" i="11"/>
  <c r="L8" i="11"/>
  <c r="K8" i="11"/>
  <c r="J8" i="11"/>
  <c r="I8" i="11"/>
  <c r="H8" i="11"/>
  <c r="G8" i="11"/>
  <c r="F8" i="11"/>
  <c r="C8" i="9"/>
  <c r="H7" i="11"/>
  <c r="S6" i="11"/>
  <c r="R6" i="11"/>
  <c r="Q6" i="11"/>
  <c r="P6" i="11"/>
  <c r="O6" i="11"/>
  <c r="N6" i="11"/>
  <c r="M6" i="11"/>
  <c r="L6" i="11"/>
  <c r="K6" i="11"/>
  <c r="J6" i="11"/>
  <c r="I6" i="11"/>
  <c r="H6" i="11"/>
  <c r="G6" i="11"/>
  <c r="F6" i="11"/>
  <c r="W23" i="1"/>
  <c r="G7" i="11"/>
  <c r="I5" i="4"/>
  <c r="I7" i="11" s="1"/>
  <c r="J5" i="4"/>
  <c r="J7" i="11" s="1"/>
  <c r="K5" i="4"/>
  <c r="K7" i="11" s="1"/>
  <c r="L5" i="4"/>
  <c r="L7" i="11" s="1"/>
  <c r="M5" i="4"/>
  <c r="M7" i="11" s="1"/>
  <c r="N5" i="4"/>
  <c r="N7" i="11" s="1"/>
  <c r="O5" i="4"/>
  <c r="O7" i="11" s="1"/>
  <c r="P5" i="4"/>
  <c r="P7" i="11" s="1"/>
  <c r="Q5" i="4"/>
  <c r="Q7" i="11" s="1"/>
  <c r="R5" i="4"/>
  <c r="R7" i="11" s="1"/>
  <c r="S5" i="4"/>
  <c r="S7" i="11" s="1"/>
  <c r="T5" i="4"/>
  <c r="T7" i="11" s="1"/>
  <c r="U5" i="4"/>
  <c r="U7" i="11" s="1"/>
  <c r="V5" i="4"/>
  <c r="V7" i="11" s="1"/>
  <c r="W5" i="4"/>
  <c r="W7" i="11" s="1"/>
  <c r="W15" i="1"/>
  <c r="W14" i="1"/>
  <c r="F7" i="11"/>
  <c r="V17" i="1"/>
  <c r="V15" i="1"/>
  <c r="G3" i="4"/>
  <c r="H3" i="4"/>
  <c r="I3" i="4"/>
  <c r="J3" i="4"/>
  <c r="K3" i="4"/>
  <c r="L3" i="4"/>
  <c r="M3" i="4"/>
  <c r="N3" i="4"/>
  <c r="O3" i="4"/>
  <c r="P3" i="4"/>
  <c r="Q3" i="4"/>
  <c r="R3" i="4"/>
  <c r="S3" i="4"/>
  <c r="T3" i="4"/>
  <c r="U3" i="4"/>
  <c r="V3" i="4"/>
  <c r="W3" i="4"/>
  <c r="U17" i="1"/>
  <c r="U15" i="1"/>
  <c r="F3" i="4"/>
  <c r="T17" i="1"/>
  <c r="T15" i="1"/>
  <c r="R17" i="1"/>
  <c r="S17" i="1"/>
  <c r="S15" i="1"/>
  <c r="D37" i="8"/>
  <c r="D41" i="8" s="1"/>
  <c r="D21" i="8"/>
  <c r="D20" i="8"/>
  <c r="D19" i="8"/>
  <c r="D18" i="8"/>
  <c r="D17" i="8"/>
  <c r="D16" i="8"/>
  <c r="D14" i="8"/>
  <c r="D13" i="8"/>
  <c r="D12" i="8"/>
  <c r="D11" i="8"/>
  <c r="D10" i="8"/>
  <c r="R15" i="1"/>
  <c r="D37" i="6"/>
  <c r="D41" i="6" s="1"/>
  <c r="D45" i="6" s="1"/>
  <c r="D21" i="6"/>
  <c r="D20" i="6"/>
  <c r="D19" i="6"/>
  <c r="D18" i="6"/>
  <c r="D17" i="6"/>
  <c r="D16" i="6"/>
  <c r="D14" i="6"/>
  <c r="D13" i="6"/>
  <c r="D12" i="6"/>
  <c r="D11" i="6"/>
  <c r="D10" i="6"/>
  <c r="D37" i="5"/>
  <c r="D41" i="5" s="1"/>
  <c r="D21" i="5"/>
  <c r="D20" i="5"/>
  <c r="D19" i="5"/>
  <c r="D18" i="5"/>
  <c r="D17" i="5"/>
  <c r="D16" i="5"/>
  <c r="D14" i="5"/>
  <c r="D13" i="5"/>
  <c r="D12" i="5"/>
  <c r="D11" i="5"/>
  <c r="D10" i="5"/>
  <c r="D37" i="4"/>
  <c r="D41" i="4" s="1"/>
  <c r="D21" i="4"/>
  <c r="D20" i="4"/>
  <c r="D19" i="4"/>
  <c r="D18" i="4"/>
  <c r="D17" i="4"/>
  <c r="D16" i="4"/>
  <c r="D14" i="4"/>
  <c r="D13" i="4"/>
  <c r="D12" i="4"/>
  <c r="D11" i="4"/>
  <c r="D10" i="4"/>
  <c r="E67" i="6"/>
  <c r="C8" i="11"/>
  <c r="D37" i="11"/>
  <c r="D41" i="11" s="1"/>
  <c r="D21" i="11"/>
  <c r="D20" i="11"/>
  <c r="D19" i="11"/>
  <c r="D18" i="11"/>
  <c r="D17" i="11"/>
  <c r="D16" i="11"/>
  <c r="D14" i="11"/>
  <c r="D13" i="11"/>
  <c r="D12" i="11"/>
  <c r="D11" i="11"/>
  <c r="D10" i="11"/>
  <c r="V2" i="11"/>
  <c r="W2" i="11"/>
  <c r="H2" i="11"/>
  <c r="I2" i="11"/>
  <c r="J2" i="11"/>
  <c r="K2" i="11"/>
  <c r="L2" i="11"/>
  <c r="M2" i="11"/>
  <c r="N2" i="11"/>
  <c r="O2" i="11"/>
  <c r="P2" i="11"/>
  <c r="Q2" i="11"/>
  <c r="R2" i="11"/>
  <c r="S2" i="11"/>
  <c r="T2" i="11"/>
  <c r="U2" i="11"/>
  <c r="G2" i="11"/>
  <c r="F2" i="11"/>
  <c r="V14" i="1"/>
  <c r="U14" i="1"/>
  <c r="V16" i="1"/>
  <c r="U16" i="1"/>
  <c r="T16" i="1"/>
  <c r="S16" i="1"/>
  <c r="R16" i="1"/>
  <c r="Q19" i="1"/>
  <c r="P16" i="3"/>
  <c r="Q16" i="3"/>
  <c r="O16" i="3"/>
  <c r="F16" i="3"/>
  <c r="G16" i="3"/>
  <c r="H16" i="3"/>
  <c r="I16" i="3"/>
  <c r="J16" i="3"/>
  <c r="K16" i="3"/>
  <c r="L16" i="3"/>
  <c r="M16" i="3"/>
  <c r="N16" i="3"/>
  <c r="E16" i="3"/>
  <c r="D16" i="3"/>
  <c r="C16" i="3"/>
  <c r="C11" i="3"/>
  <c r="D11" i="3"/>
  <c r="E11" i="3"/>
  <c r="F11" i="3"/>
  <c r="G11" i="3"/>
  <c r="H11" i="3"/>
  <c r="I11" i="3"/>
  <c r="J11" i="3"/>
  <c r="K11" i="3"/>
  <c r="L11" i="3"/>
  <c r="M11" i="3"/>
  <c r="N11" i="3"/>
  <c r="O11" i="3"/>
  <c r="P11" i="3"/>
  <c r="Q11" i="3"/>
  <c r="Q21" i="1"/>
  <c r="Q20" i="1"/>
  <c r="S23" i="1"/>
  <c r="T23" i="1"/>
  <c r="R23" i="1"/>
  <c r="F23" i="1"/>
  <c r="G23" i="1"/>
  <c r="H23" i="1"/>
  <c r="I23" i="1"/>
  <c r="J23" i="1"/>
  <c r="K23" i="1"/>
  <c r="L23" i="1"/>
  <c r="M23" i="1"/>
  <c r="N23" i="1"/>
  <c r="O23" i="1"/>
  <c r="E23" i="1"/>
  <c r="P23" i="1"/>
  <c r="E14" i="1"/>
  <c r="G14" i="1"/>
  <c r="F14" i="1"/>
  <c r="Q11" i="2"/>
  <c r="P11" i="2"/>
  <c r="O11" i="2"/>
  <c r="N11" i="2"/>
  <c r="M11" i="2"/>
  <c r="L11" i="2"/>
  <c r="K11" i="2"/>
  <c r="J11" i="2"/>
  <c r="I11" i="2"/>
  <c r="H11" i="2"/>
  <c r="G11" i="2"/>
  <c r="F11" i="2"/>
  <c r="E11" i="2"/>
  <c r="D11" i="2"/>
  <c r="C11" i="2"/>
  <c r="H14" i="1"/>
  <c r="I14" i="1"/>
  <c r="J14" i="1"/>
  <c r="K14" i="1"/>
  <c r="L14" i="1"/>
  <c r="M14" i="1"/>
  <c r="Q9" i="1"/>
  <c r="T14" i="1"/>
  <c r="S14" i="1"/>
  <c r="R14" i="1"/>
  <c r="P14" i="1"/>
  <c r="O14" i="1"/>
  <c r="N14" i="1"/>
  <c r="Q14" i="1"/>
  <c r="F5" i="11" l="1"/>
  <c r="F3" i="9"/>
  <c r="F3" i="11" s="1"/>
  <c r="G5" i="11"/>
  <c r="G3" i="9"/>
  <c r="G3" i="11" s="1"/>
  <c r="H5" i="11"/>
  <c r="H3" i="9"/>
  <c r="H3" i="11" s="1"/>
  <c r="I5" i="11"/>
  <c r="I3" i="9"/>
  <c r="I3" i="11" s="1"/>
  <c r="J5" i="11"/>
  <c r="J3" i="9"/>
  <c r="J3" i="11" s="1"/>
  <c r="K5" i="11"/>
  <c r="K3" i="9"/>
  <c r="K3" i="11" s="1"/>
  <c r="L5" i="11"/>
  <c r="L3" i="9"/>
  <c r="L3" i="11" s="1"/>
  <c r="M5" i="11"/>
  <c r="M3" i="9"/>
  <c r="M3" i="11" s="1"/>
  <c r="N5" i="11"/>
  <c r="N3" i="9"/>
  <c r="N3" i="11" s="1"/>
  <c r="O5" i="11"/>
  <c r="O3" i="9"/>
  <c r="O3" i="11" s="1"/>
  <c r="P5" i="11"/>
  <c r="P3" i="9"/>
  <c r="P3" i="11" s="1"/>
  <c r="Q5" i="11"/>
  <c r="Q3" i="9"/>
  <c r="Q3" i="11" s="1"/>
  <c r="R5" i="11"/>
  <c r="R3" i="9"/>
  <c r="R3" i="11" s="1"/>
  <c r="S3" i="9"/>
  <c r="S3" i="11" s="1"/>
  <c r="T3" i="9"/>
  <c r="T3" i="11" s="1"/>
  <c r="U3" i="9"/>
  <c r="U3" i="11" s="1"/>
  <c r="W3" i="9"/>
  <c r="W3" i="11" s="1"/>
  <c r="V3" i="9"/>
  <c r="V3" i="11" s="1"/>
  <c r="V6" i="11"/>
  <c r="V8" i="11"/>
  <c r="W5" i="11"/>
  <c r="V5" i="11"/>
  <c r="U5" i="11"/>
  <c r="T5" i="11"/>
  <c r="S5" i="11"/>
  <c r="W6" i="11"/>
  <c r="U6" i="11"/>
  <c r="T6" i="11"/>
  <c r="D21" i="9"/>
  <c r="D17" i="9"/>
  <c r="D13" i="9"/>
  <c r="D26" i="9"/>
  <c r="D30" i="9" s="1"/>
  <c r="D34" i="9" s="1"/>
  <c r="D38" i="9" s="1"/>
  <c r="D42" i="9" s="1"/>
  <c r="D22" i="9"/>
  <c r="D27" i="9"/>
  <c r="D31" i="9" s="1"/>
  <c r="D35" i="9" s="1"/>
  <c r="D39" i="9" s="1"/>
  <c r="D43" i="9" s="1"/>
  <c r="D23" i="9"/>
  <c r="D28" i="9"/>
  <c r="D32" i="9" s="1"/>
  <c r="D36" i="9" s="1"/>
  <c r="D40" i="9" s="1"/>
  <c r="D44" i="9" s="1"/>
  <c r="D24" i="9"/>
  <c r="Q23" i="1"/>
  <c r="D26" i="8"/>
  <c r="D30" i="8" s="1"/>
  <c r="D38" i="8" s="1"/>
  <c r="D42" i="8" s="1"/>
  <c r="D22" i="8"/>
  <c r="D27" i="8"/>
  <c r="D31" i="8" s="1"/>
  <c r="D39" i="8" s="1"/>
  <c r="D43" i="8" s="1"/>
  <c r="D23" i="8"/>
  <c r="D28" i="8"/>
  <c r="D32" i="8" s="1"/>
  <c r="D36" i="8" s="1"/>
  <c r="D40" i="8" s="1"/>
  <c r="D44" i="8" s="1"/>
  <c r="D24" i="8"/>
  <c r="D29" i="8"/>
  <c r="D25" i="8"/>
  <c r="D26" i="6"/>
  <c r="D30" i="6" s="1"/>
  <c r="D34" i="6" s="1"/>
  <c r="D38" i="6" s="1"/>
  <c r="D42" i="6" s="1"/>
  <c r="D46" i="6" s="1"/>
  <c r="D22" i="6"/>
  <c r="D27" i="6"/>
  <c r="D31" i="6" s="1"/>
  <c r="D35" i="6" s="1"/>
  <c r="D39" i="6" s="1"/>
  <c r="D43" i="6" s="1"/>
  <c r="D47" i="6" s="1"/>
  <c r="D23" i="6"/>
  <c r="D28" i="6"/>
  <c r="D32" i="6" s="1"/>
  <c r="D36" i="6" s="1"/>
  <c r="D40" i="6" s="1"/>
  <c r="D44" i="6" s="1"/>
  <c r="D48" i="6" s="1"/>
  <c r="D24" i="6"/>
  <c r="D29" i="6"/>
  <c r="D25" i="6"/>
  <c r="D26" i="5"/>
  <c r="D30" i="5" s="1"/>
  <c r="D34" i="5" s="1"/>
  <c r="D38" i="5" s="1"/>
  <c r="D42" i="5" s="1"/>
  <c r="D22" i="5"/>
  <c r="D27" i="5"/>
  <c r="D31" i="5" s="1"/>
  <c r="D35" i="5" s="1"/>
  <c r="D39" i="5" s="1"/>
  <c r="D43" i="5" s="1"/>
  <c r="D23" i="5"/>
  <c r="D28" i="5"/>
  <c r="D32" i="5" s="1"/>
  <c r="D36" i="5" s="1"/>
  <c r="D40" i="5" s="1"/>
  <c r="D44" i="5" s="1"/>
  <c r="D24" i="5"/>
  <c r="D29" i="5"/>
  <c r="D25" i="5"/>
  <c r="D26" i="4"/>
  <c r="D30" i="4" s="1"/>
  <c r="D34" i="4" s="1"/>
  <c r="D38" i="4" s="1"/>
  <c r="D42" i="4" s="1"/>
  <c r="D22" i="4"/>
  <c r="D27" i="4"/>
  <c r="D31" i="4" s="1"/>
  <c r="D35" i="4" s="1"/>
  <c r="D39" i="4" s="1"/>
  <c r="D43" i="4" s="1"/>
  <c r="D23" i="4"/>
  <c r="D28" i="4"/>
  <c r="D32" i="4" s="1"/>
  <c r="D36" i="4" s="1"/>
  <c r="D40" i="4" s="1"/>
  <c r="D44" i="4" s="1"/>
  <c r="D24" i="4"/>
  <c r="D29" i="4"/>
  <c r="D25" i="4"/>
  <c r="D22" i="11"/>
  <c r="D26" i="11"/>
  <c r="D30" i="11" s="1"/>
  <c r="D34" i="11" s="1"/>
  <c r="D38" i="11" s="1"/>
  <c r="D42" i="11" s="1"/>
  <c r="D46" i="11" s="1"/>
  <c r="D23" i="11"/>
  <c r="D27" i="11"/>
  <c r="D31" i="11" s="1"/>
  <c r="D35" i="11" s="1"/>
  <c r="D39" i="11" s="1"/>
  <c r="D43" i="11" s="1"/>
  <c r="D47" i="11" s="1"/>
  <c r="D24" i="11"/>
  <c r="D28" i="11"/>
  <c r="D32" i="11" s="1"/>
  <c r="D36" i="11" s="1"/>
  <c r="D40" i="11" s="1"/>
  <c r="D44" i="11" s="1"/>
  <c r="D48" i="11" s="1"/>
  <c r="D25" i="11"/>
  <c r="D29" i="11"/>
  <c r="D29" i="9" l="1"/>
  <c r="D25" i="9"/>
</calcChain>
</file>

<file path=xl/sharedStrings.xml><?xml version="1.0" encoding="utf-8"?>
<sst xmlns="http://schemas.openxmlformats.org/spreadsheetml/2006/main" count="5574" uniqueCount="206">
  <si>
    <t>CUSTOMER EXPERIENCE PERFORMANCE DATA</t>
  </si>
  <si>
    <t>2025 - 2026</t>
  </si>
  <si>
    <t>ITDC</t>
  </si>
  <si>
    <t>No</t>
  </si>
  <si>
    <t>Parameters</t>
  </si>
  <si>
    <t>Unit</t>
  </si>
  <si>
    <t>JAN</t>
  </si>
  <si>
    <t>FEB</t>
  </si>
  <si>
    <t>MAR</t>
  </si>
  <si>
    <t>APR</t>
  </si>
  <si>
    <t>MAY</t>
  </si>
  <si>
    <t>JUN</t>
  </si>
  <si>
    <t>JUL</t>
  </si>
  <si>
    <t>AUG</t>
  </si>
  <si>
    <t>SEP</t>
  </si>
  <si>
    <t>OCT</t>
  </si>
  <si>
    <t>NOV</t>
  </si>
  <si>
    <t>DEC</t>
  </si>
  <si>
    <t>TOTAL</t>
  </si>
  <si>
    <t>MEI</t>
  </si>
  <si>
    <t>JUNI</t>
  </si>
  <si>
    <t>Customer Satisfaction (Survey Sensum)</t>
  </si>
  <si>
    <t>a.</t>
  </si>
  <si>
    <t>CSAT - Overall</t>
  </si>
  <si>
    <t>Scale 1-5</t>
  </si>
  <si>
    <t>b.</t>
  </si>
  <si>
    <t>CSAT - People</t>
  </si>
  <si>
    <t>c.</t>
  </si>
  <si>
    <t>CSAT - Process</t>
  </si>
  <si>
    <t>d.</t>
  </si>
  <si>
    <t>CSAT - Premises</t>
  </si>
  <si>
    <t>Social Media Monitoring</t>
  </si>
  <si>
    <t>Volume of Interaction</t>
  </si>
  <si>
    <t>Numbers</t>
  </si>
  <si>
    <t>Net Sentiment Score</t>
  </si>
  <si>
    <t>Percentage (%)</t>
  </si>
  <si>
    <t>Average Response Time</t>
  </si>
  <si>
    <t>Hours</t>
  </si>
  <si>
    <t>N/A</t>
  </si>
  <si>
    <t>Respons to Sentiment Ratio</t>
  </si>
  <si>
    <t>0,00 - 1,00</t>
  </si>
  <si>
    <t>Complaint Handling</t>
  </si>
  <si>
    <t>Total</t>
  </si>
  <si>
    <t>Completed</t>
  </si>
  <si>
    <t>Progress</t>
  </si>
  <si>
    <t>Untouch</t>
  </si>
  <si>
    <t>e.</t>
  </si>
  <si>
    <t>Complaint Resolution Rate</t>
  </si>
  <si>
    <t>f.</t>
  </si>
  <si>
    <t>Average Time Resolution</t>
  </si>
  <si>
    <t>Day</t>
  </si>
  <si>
    <t>*Data Januari - December 2025 hanya menggunakan data Themandalikagp</t>
  </si>
  <si>
    <t xml:space="preserve">*Tidak ada data Average Response Time dari akun Themandalikagp </t>
  </si>
  <si>
    <t xml:space="preserve">*Volume of Interaction adalah jumlah data dari 5 akun (Themandalikagp, ITDC, The Nusa Dua The Mandalika, dan The Golo Mori) </t>
  </si>
  <si>
    <t>*NSS, Average Response Time, dan RSR tahun 2026 pada bulan Januari - Juni adalah rata-rata data dari akun ITDC, The Nusa Dua, The Mandalika, The Golo Mori dan Themandalikagp, namun data pada bulan Januari - Maret juga merupakan data sample karena langitbiru baru GoLive di bulan April</t>
  </si>
  <si>
    <t xml:space="preserve">     **NSS, Average Response Time, dan RSR pada bulan Januari, data hanya terdapat di akun ITDC, The Nusa Dua, dan Themandalikagp (gambar tertera di bawah)</t>
  </si>
  <si>
    <t xml:space="preserve">     **NSS, Average Response Time, dan RSR pada bulan Februari, data hanya terdapat di akun ITDC, The Nusa Dua, The Golo Mori, dan Themandalikagp  (gambar tertera di bawah)</t>
  </si>
  <si>
    <t xml:space="preserve">     **NSS, Average Response Time, dan RSR pada bulan Maret, data hanya terdapat di akun ITDC, The Mandalika, dan Themandalikagp  (gambar tertera di bawah)</t>
  </si>
  <si>
    <t xml:space="preserve">* Data Complain Handling diperoleh dari Data Pengaduan - Service Recovery INJ : 
</t>
  </si>
  <si>
    <t>https://injourneygroup-my.sharepoint.com/:x:/g/personal/cx_injourney_id/IQBWzSqU9QDrUNy2prbMgXzfAW-J4ysM73bBhVFq6kWq6pk</t>
  </si>
  <si>
    <t>Item Data</t>
  </si>
  <si>
    <t>Keterangan Pengisian</t>
  </si>
  <si>
    <t>Mei-26</t>
  </si>
  <si>
    <t>Jun-26</t>
  </si>
  <si>
    <t>Jumlah Pengunjung</t>
  </si>
  <si>
    <t>Data Total Pengunjung (Per Cabang / Line of Business)</t>
  </si>
  <si>
    <t>Total Interaksi</t>
  </si>
  <si>
    <t>Total Interaksi (Per Cabang / Line of Business) dari Voice of Customer (pengaduan, permintaan, pertanyaan, informasi dan apresiasi).</t>
  </si>
  <si>
    <t>Jumlah interaksi per-kategory</t>
  </si>
  <si>
    <t> </t>
  </si>
  <si>
    <t>a</t>
  </si>
  <si>
    <t>Permintaan Informasi</t>
  </si>
  <si>
    <t>Bersumber dari Telepon, Customer Service/tatap muka, Email, Kotak Saran, Live Chat, Whatsapp, Instagram dan Twitter</t>
  </si>
  <si>
    <t>b</t>
  </si>
  <si>
    <t>Request</t>
  </si>
  <si>
    <t>c</t>
  </si>
  <si>
    <t>Keluhan</t>
  </si>
  <si>
    <t>d</t>
  </si>
  <si>
    <t>Interaksi per channel</t>
  </si>
  <si>
    <t>Telepon</t>
  </si>
  <si>
    <t>Customer Sevice/tatap muka</t>
  </si>
  <si>
    <t>Permintaan/Reservasi/Product Inquiry</t>
  </si>
  <si>
    <t>Email</t>
  </si>
  <si>
    <t>Kotak Saran</t>
  </si>
  <si>
    <t>e</t>
  </si>
  <si>
    <t>Live Chat</t>
  </si>
  <si>
    <t>f</t>
  </si>
  <si>
    <t>SP4N Lapor!</t>
  </si>
  <si>
    <t>Apresiasi</t>
  </si>
  <si>
    <t>g</t>
  </si>
  <si>
    <t>Whtasapp</t>
  </si>
  <si>
    <t>h</t>
  </si>
  <si>
    <t>Instagram</t>
  </si>
  <si>
    <t>i</t>
  </si>
  <si>
    <t>Twitter</t>
  </si>
  <si>
    <t>j</t>
  </si>
  <si>
    <t>Google Review</t>
  </si>
  <si>
    <t>Jumlah Customer Resolution per Service Level Agreement (SLA)</t>
  </si>
  <si>
    <t>Kategorisasi SLA disesuaikan dengan SLA yang di terapkan di masing-masing member (Per Cabang / Line of Business)</t>
  </si>
  <si>
    <t>FCR (Frist Contact Resolution)</t>
  </si>
  <si>
    <t>Jumlah kasus yang selesai pada kontak pertama/Total Kasus yang Diterima x 100%</t>
  </si>
  <si>
    <t>&lt; 1 hari</t>
  </si>
  <si>
    <t>&lt; 7 hari</t>
  </si>
  <si>
    <t>&gt; 30 hari</t>
  </si>
  <si>
    <t>Lainnya (silahkan ditambahkan)</t>
  </si>
  <si>
    <t>Average Handling Time (Call/Contact Center)</t>
  </si>
  <si>
    <t>(Total Talk Time+Total Hold Time+Total ACW)/Jumlah Interaksi yang Ditangani</t>
  </si>
  <si>
    <t>Untuk daftar channel dapat di tambahkan sesuai dengan channel yang ada di member (Per Cabang / Line of Business)</t>
  </si>
  <si>
    <t>CP CX Injourney Group</t>
  </si>
  <si>
    <t>(Erwan) 08213354446</t>
  </si>
  <si>
    <t>(Rumiris) 081807882087</t>
  </si>
  <si>
    <t>(Rikza) 081539393436</t>
  </si>
  <si>
    <t>Definisi</t>
  </si>
  <si>
    <t>Pengaduan</t>
  </si>
  <si>
    <t>Bentuk ketidakpuasan Pelanggan terhadap produk, jasa, atau pelayanan yang diterima, baik terkait kualitas, proses, maupun hasil, yang disampaikan dengan harapan adanya perbaikan atau penyelesaian.</t>
  </si>
  <si>
    <t>Bentuk kebutuhan atau keinginan pelanggan terhadap suatu layanan, informasi, atau tindakan tertentu dari perusahaan yang belum tentu berkaitan dengan masalah atau ketidakpuasan.</t>
  </si>
  <si>
    <t>Pertanyaan</t>
  </si>
  <si>
    <t>Bentuk permohonan informasi atau klarifikasi dari Pelanggan terkait produk, jasa, kebijakan, atau prosedur yang dimiliki organisasi.</t>
  </si>
  <si>
    <t>Informasi</t>
  </si>
  <si>
    <t>Bentuk komunikasi dari pelanggan berupa pemberian data, masukan, atau laporan yang dapat bersifat netral, informatif, atau sebagai bahan pertimbangan bagi organisasi.</t>
  </si>
  <si>
    <t>Bentuk ungkapan kepuasan atau penghargaan dari Pelanggan terhadap kualitas produk, jasa, pelayanan, atau pengalaman yang diberikan oleh organisasi.</t>
  </si>
  <si>
    <t>Lost and Found</t>
  </si>
  <si>
    <t>Layanan pengelolaan barang hilang atau tertinggal yang mencakup proses penerimaan laporan, identifikasi, penyimpanan, penelusuran, verifikasi kepemilikan, hingga pengembalian barang kepada pemilik sesuai dengan prosedur yang berlaku</t>
  </si>
  <si>
    <t>Priority Service</t>
  </si>
  <si>
    <t>Layanan yang diberikan dengan tingkat prioritas kepada pelanggan yang memenuhi kriteria tertentu atau memiliki kebutuhan khusus, guna memastikan pelayanan diberikan secara cepat, tepat, aman, nyaman, dan sesuai dengan standar pelayanan yang berlaku.</t>
  </si>
  <si>
    <t>Service Level Agreement</t>
  </si>
  <si>
    <t>Kesepakatan tingkat layanan yang menetapkan standar waktu/respons/penyelesaian layanan yang harus dipenuhi.</t>
  </si>
  <si>
    <t>Customer Resolution</t>
  </si>
  <si>
    <t>Proses penyelesaian masalah, pertanyaan, atau permintaan pelanggan hingga pelanggan memperoleh solusi yang sesuai dan kebutuhannya dianggap telah terpenuhi</t>
  </si>
  <si>
    <t>Frist Contact Resolution (FCR)</t>
  </si>
  <si>
    <t>Persentase interaksi pelanggan yang berhasil diselesaikan secara tuntas pada kontak pertama, sehingga pelanggan tidak perlu melakukan kontak ulang terkait isu yang sama.</t>
  </si>
  <si>
    <t>Average Handling Time (Call Center/Contact Center)</t>
  </si>
  <si>
    <t>Rata-rata durasi yang diperlukan untuk menangani satu interaksi pelanggan, yang mencakup waktu berbicara (talk time), waktu menunggu (hold time), dan waktu penyelesaian administrasi setelah interaksi (after call work/ACW).</t>
  </si>
  <si>
    <t>Total Talk Time</t>
  </si>
  <si>
    <t>Waktu agent berkomunikasi langsung dengan pelanggan</t>
  </si>
  <si>
    <t>Total Hold Time</t>
  </si>
  <si>
    <t>Waktu pelanggan menunggu saat agent melakukan pengecekan atau koordinasi</t>
  </si>
  <si>
    <t>Total After Call Work (ACW)</t>
  </si>
  <si>
    <t>Waktu yang digunakan agent setelah interaksi berakhir untuk mencatat hasil, mengisi sistem, atau menyelesaikan administrasi</t>
  </si>
  <si>
    <t>Oct</t>
  </si>
  <si>
    <t>Nov</t>
  </si>
  <si>
    <t>Dec</t>
  </si>
  <si>
    <t>Jan</t>
  </si>
  <si>
    <t>Feb</t>
  </si>
  <si>
    <t>Mar</t>
  </si>
  <si>
    <t>Apr</t>
  </si>
  <si>
    <t>May</t>
  </si>
  <si>
    <t>Jun</t>
  </si>
  <si>
    <t>Jul</t>
  </si>
  <si>
    <t>Aug</t>
  </si>
  <si>
    <t>Sep</t>
  </si>
  <si>
    <t>Total Complaint</t>
  </si>
  <si>
    <t>Mei 2026</t>
  </si>
  <si>
    <t>Juni 2026</t>
  </si>
  <si>
    <t>noted: data sementara. untuk data kunjungan bulan Juni akan kami pada tanggal 10 Juni</t>
  </si>
  <si>
    <t>Total Interaksi (Per Cabang / Line of Business)</t>
  </si>
  <si>
    <t>Total interaksi per kategori (kategori disesuaikan dengan yang ada di member)(Per Cabang / Line of Business)</t>
  </si>
  <si>
    <t xml:space="preserve">Request </t>
  </si>
  <si>
    <t xml:space="preserve">Keluhan </t>
  </si>
  <si>
    <t>Permintaan informasi dari media, tenant</t>
  </si>
  <si>
    <t>Request/Reservasi/Product Inquiry</t>
  </si>
  <si>
    <t>Jumlah Customer Resolution per SLA</t>
  </si>
  <si>
    <t>1 hari</t>
  </si>
  <si>
    <t>2 hari</t>
  </si>
  <si>
    <t>3 hari</t>
  </si>
  <si>
    <t>Average Handling Time (Contact Center)</t>
  </si>
  <si>
    <t>Durasi rata-rata interaksi pelanggan &amp; untuk daftar channel dapat di tambahkan sesuai dengan channel yang ada di member (Per Cabang / Line of Business)</t>
  </si>
  <si>
    <t>Voice (diisi jika ada)</t>
  </si>
  <si>
    <t>WA Chat (diisi jika ada)</t>
  </si>
  <si>
    <t>Live Chat (diisi jika ada)</t>
  </si>
  <si>
    <t>Social Media (diisi jika ada)</t>
  </si>
  <si>
    <t>Lainnya (email)</t>
  </si>
  <si>
    <t>belum memuliki contact center</t>
  </si>
  <si>
    <t>Kami belum memiliki live chat</t>
  </si>
  <si>
    <t>-</t>
  </si>
  <si>
    <t>Data Total Pengunjung (Per Cabang/Line of Business)</t>
  </si>
  <si>
    <t>Total Interaksi (Per Cabang/Line of Business)</t>
  </si>
  <si>
    <t>Jumlah interaksi per-kategori</t>
  </si>
  <si>
    <t>Total interaksi per kategori (kategori disesuaikan dengan yang ada di member)(Per Cabang/Line of Business)</t>
  </si>
  <si>
    <t xml:space="preserve">Permintaan Informasi </t>
  </si>
  <si>
    <t>Voice</t>
  </si>
  <si>
    <t>Whatsapp Chat</t>
  </si>
  <si>
    <t>Customer Service</t>
  </si>
  <si>
    <t>Kami belum memiliki customer service</t>
  </si>
  <si>
    <t>Kategorisasi SLA disesuaikan dengan SLA yang di terapkan di masing-masing member (Per Cabang/Line of Business)</t>
  </si>
  <si>
    <t>Durasi rata-rata interaksi pelanggan &amp; untuk daftar channel dapat di tambahkan sesuai dengan channel yang ada di member (Per Cabang/Line of Business)</t>
  </si>
  <si>
    <t>Permintaan Informasi (contoh)</t>
  </si>
  <si>
    <t>Request (Contoh)</t>
  </si>
  <si>
    <t>Keluhan (Contoh)</t>
  </si>
  <si>
    <t>Permintaan dari Komentar dan Direct Message</t>
  </si>
  <si>
    <t xml:space="preserve">Total dari komentar dan Direct Message </t>
  </si>
  <si>
    <t>Juni-26</t>
  </si>
  <si>
    <t>Total Interaksi per channel (channel disesuaikan dengan yang ada di member)(Per Cabang / Line of Business)</t>
  </si>
  <si>
    <t>Comment</t>
  </si>
  <si>
    <t>Direct Massage</t>
  </si>
  <si>
    <t>Average Handling Time</t>
  </si>
  <si>
    <t>Email (diisi jika ada)</t>
  </si>
  <si>
    <t>Comment Chat (diisi jika ada)</t>
  </si>
  <si>
    <t>8 jam</t>
  </si>
  <si>
    <t>Direct Massage (diisi jika ada)</t>
  </si>
  <si>
    <t>Keterangan</t>
  </si>
  <si>
    <t>sesuai dgn jumlah tenant yg dilayani utilitas INU</t>
  </si>
  <si>
    <t>sesuai dengan kunjungan ke tenant tiap-tiap bulannya</t>
  </si>
  <si>
    <t>sesuai dengan jumlah keluhan yang diterima melalui chat oleh tenant</t>
  </si>
  <si>
    <t>SLA penanganan keluhan INU</t>
  </si>
  <si>
    <t>Lainnya (silahkan ditambahkan)(Nb : survey kepuasan pelanggan ke tenant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</si>
</sst>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32">
    <font>
      <sz val="11"/>
      <color theme="1"/>
      <name val="Segoe UI"/>
      <family val="2"/>
    </font>
    <font>
      <u/>
      <sz val="11"/>
      <color theme="10"/>
      <name val="Segoe UI"/>
      <family val="2"/>
    </font>
    <font>
      <u/>
      <sz val="11"/>
      <color theme="10"/>
      <name val="Poppins"/>
    </font>
    <font>
      <sz val="10"/>
      <color theme="1"/>
      <name val="Poppins"/>
    </font>
    <font>
      <b/>
      <sz val="10"/>
      <color theme="1"/>
      <name val="Poppins"/>
    </font>
    <font>
      <b/>
      <sz val="16"/>
      <color theme="1"/>
      <name val="Poppins"/>
    </font>
    <font>
      <sz val="16"/>
      <color theme="1"/>
      <name val="Poppins"/>
    </font>
    <font>
      <sz val="9"/>
      <color theme="1"/>
      <name val="Poppins"/>
    </font>
    <font>
      <b/>
      <sz val="9"/>
      <color theme="1"/>
      <name val="Poppins"/>
    </font>
    <font>
      <sz val="10"/>
      <color rgb="FF000000"/>
      <name val="Poppins"/>
    </font>
    <font>
      <b/>
      <sz val="11"/>
      <color theme="1"/>
      <name val="Poppins"/>
    </font>
    <font>
      <sz val="11"/>
      <color theme="1"/>
      <name val="Poppins"/>
    </font>
    <font>
      <b/>
      <sz val="9"/>
      <name val="Poppins"/>
    </font>
    <font>
      <b/>
      <sz val="9"/>
      <color rgb="FF000000"/>
      <name val="Poppins"/>
    </font>
    <font>
      <sz val="10"/>
      <color theme="1"/>
      <name val="Arial"/>
      <charset val="1"/>
    </font>
    <font>
      <b/>
      <sz val="10"/>
      <color theme="1"/>
      <name val="Arial"/>
      <charset val="1"/>
    </font>
    <font>
      <i/>
      <sz val="10"/>
      <color theme="1"/>
      <name val="Arial"/>
      <charset val="1"/>
    </font>
    <font>
      <sz val="10"/>
      <color theme="1"/>
      <name val="Century Gothic"/>
    </font>
    <font>
      <b/>
      <sz val="10"/>
      <color theme="1"/>
      <name val="Century Gothic"/>
    </font>
    <font>
      <sz val="11"/>
      <color theme="1"/>
      <name val="Century Gothic"/>
    </font>
    <font>
      <sz val="10"/>
      <color rgb="FFFF0000"/>
      <name val="Century Gothic"/>
    </font>
    <font>
      <i/>
      <sz val="10"/>
      <color theme="1"/>
      <name val="Century Gothic"/>
    </font>
    <font>
      <sz val="10"/>
      <color rgb="FF000000"/>
      <name val="Century Gothic"/>
    </font>
    <font>
      <b/>
      <sz val="10"/>
      <color rgb="FF000000"/>
      <name val="Century Gothic"/>
    </font>
    <font>
      <i/>
      <sz val="10"/>
      <color rgb="FF000000"/>
      <name val="Century Gothic"/>
    </font>
    <font>
      <sz val="11"/>
      <color rgb="FF000000"/>
      <name val="Century Gothic"/>
    </font>
    <font>
      <sz val="12"/>
      <color rgb="FF000000"/>
      <name val="Century Gothic"/>
    </font>
    <font>
      <sz val="10"/>
      <name val="Century Gothic"/>
    </font>
    <font>
      <sz val="9"/>
      <color theme="1"/>
      <name val="Century Gothic"/>
    </font>
    <font>
      <b/>
      <sz val="9"/>
      <color theme="1"/>
      <name val="Century Gothic"/>
    </font>
    <font>
      <i/>
      <sz val="9"/>
      <color theme="1"/>
      <name val="Century Gothic"/>
    </font>
    <font>
      <u/>
      <sz val="11"/>
      <color theme="10"/>
      <name val="Century Gothic"/>
    </font>
  </fonts>
  <fills count="9">
    <fill>
      <patternFill patternType="none"/>
    </fill>
    <fill>
      <patternFill patternType="gray125"/>
    </fill>
    <fill>
      <patternFill patternType="solid">
        <fgColor rgb="FFD9D9D9"/>
        <bgColor indexed="64"/>
      </patternFill>
    </fill>
    <fill>
      <patternFill patternType="solid">
        <fgColor rgb="FFFFFF00"/>
        <bgColor indexed="64"/>
      </patternFill>
    </fill>
    <fill>
      <patternFill patternType="solid">
        <fgColor rgb="FFFFFFFF"/>
        <bgColor rgb="FFFFFFFF"/>
      </patternFill>
    </fill>
    <fill>
      <patternFill patternType="solid">
        <fgColor theme="0"/>
        <bgColor indexed="64"/>
      </patternFill>
    </fill>
    <fill>
      <patternFill patternType="solid">
        <fgColor theme="1"/>
        <bgColor indexed="64"/>
      </patternFill>
    </fill>
    <fill>
      <patternFill patternType="solid">
        <fgColor theme="5" tint="0.79998168889431442"/>
        <bgColor indexed="64"/>
      </patternFill>
    </fill>
    <fill>
      <patternFill patternType="solid">
        <fgColor theme="2"/>
        <bgColor indexed="64"/>
      </patternFill>
    </fill>
  </fills>
  <borders count="5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000000"/>
      </right>
      <top style="thin">
        <color rgb="FFCCCCCC"/>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CCCCCC"/>
      </left>
      <right style="thin">
        <color rgb="FF000000"/>
      </right>
      <top style="thin">
        <color rgb="FFCCCCCC"/>
      </top>
      <bottom/>
      <diagonal/>
    </border>
    <border>
      <left style="thin">
        <color rgb="FFCCCCCC"/>
      </left>
      <right style="thin">
        <color rgb="FF000000"/>
      </right>
      <top/>
      <bottom/>
      <diagonal/>
    </border>
    <border>
      <left style="thin">
        <color rgb="FFCCCCCC"/>
      </left>
      <right style="thin">
        <color rgb="FF000000"/>
      </right>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top style="thin">
        <color rgb="FFCCCCCC"/>
      </top>
      <bottom/>
      <diagonal/>
    </border>
    <border>
      <left/>
      <right/>
      <top style="thin">
        <color rgb="FFCCCCCC"/>
      </top>
      <bottom/>
      <diagonal/>
    </border>
    <border>
      <left/>
      <right style="thin">
        <color rgb="FF000000"/>
      </right>
      <top style="thin">
        <color rgb="FFCCCCCC"/>
      </top>
      <bottom/>
      <diagonal/>
    </border>
    <border>
      <left style="thin">
        <color rgb="FFCCCCCC"/>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indexed="64"/>
      </left>
      <right style="thin">
        <color indexed="64"/>
      </right>
      <top style="thin">
        <color indexed="64"/>
      </top>
      <bottom/>
      <diagonal/>
    </border>
    <border>
      <left/>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rgb="FF000000"/>
      </left>
      <right/>
      <top style="thin">
        <color rgb="FF000000"/>
      </top>
      <bottom/>
      <diagonal/>
    </border>
    <border>
      <left/>
      <right style="thin">
        <color rgb="FFCCCCCC"/>
      </right>
      <top style="thin">
        <color rgb="FF000000"/>
      </top>
      <bottom style="thin">
        <color rgb="FFCCCCCC"/>
      </bottom>
      <diagonal/>
    </border>
    <border>
      <left/>
      <right style="thin">
        <color rgb="FFCCCCCC"/>
      </right>
      <top style="thin">
        <color rgb="FFCCCCCC"/>
      </top>
      <bottom style="thin">
        <color rgb="FFCCCCCC"/>
      </bottom>
      <diagonal/>
    </border>
    <border>
      <left/>
      <right style="thin">
        <color rgb="FFCCCCCC"/>
      </right>
      <top style="thin">
        <color rgb="FFCCCCCC"/>
      </top>
      <bottom style="thin">
        <color rgb="FF000000"/>
      </bottom>
      <diagonal/>
    </border>
    <border>
      <left style="thin">
        <color rgb="FF000000"/>
      </left>
      <right style="thin">
        <color rgb="FF000000"/>
      </right>
      <top/>
      <bottom style="thin">
        <color rgb="FFCCCCCC"/>
      </bottom>
      <diagonal/>
    </border>
    <border>
      <left style="thin">
        <color rgb="FF000000"/>
      </left>
      <right/>
      <top/>
      <bottom style="thin">
        <color rgb="FFCCCCCC"/>
      </bottom>
      <diagonal/>
    </border>
    <border>
      <left style="thin">
        <color rgb="FFCCCCCC"/>
      </left>
      <right style="thin">
        <color rgb="FF000000"/>
      </right>
      <top style="thin">
        <color rgb="FF000000"/>
      </top>
      <bottom/>
      <diagonal/>
    </border>
    <border>
      <left style="thin">
        <color rgb="FFCCCCCC"/>
      </left>
      <right/>
      <top style="thin">
        <color rgb="FF000000"/>
      </top>
      <bottom/>
      <diagonal/>
    </border>
    <border>
      <left/>
      <right style="thin">
        <color rgb="FFCCCCCC"/>
      </right>
      <top/>
      <bottom style="thin">
        <color rgb="FFCCCCCC"/>
      </bottom>
      <diagonal/>
    </border>
  </borders>
  <cellStyleXfs count="2">
    <xf numFmtId="0" fontId="0" fillId="0" borderId="0"/>
    <xf numFmtId="0" fontId="1" fillId="0" borderId="0" applyNumberFormat="0" applyFill="0" applyBorder="0" applyAlignment="0" applyProtection="0"/>
  </cellStyleXfs>
  <cellXfs count="505">
    <xf numFmtId="0" fontId="0" fillId="0" borderId="0" xfId="0"/>
    <xf numFmtId="0" fontId="2" fillId="0" borderId="0" xfId="1" applyFont="1" applyAlignment="1">
      <alignment horizontal="left" vertical="top"/>
    </xf>
    <xf numFmtId="0" fontId="3" fillId="0" borderId="0" xfId="0" applyFont="1" applyAlignment="1">
      <alignment horizontal="left" vertical="top"/>
    </xf>
    <xf numFmtId="0" fontId="4" fillId="0" borderId="0" xfId="0" applyFont="1" applyAlignment="1">
      <alignment horizontal="left" vertical="top"/>
    </xf>
    <xf numFmtId="0" fontId="5" fillId="0" borderId="0" xfId="0" applyFont="1" applyAlignment="1">
      <alignment horizontal="left"/>
    </xf>
    <xf numFmtId="0" fontId="6" fillId="0" borderId="0" xfId="0" applyFont="1"/>
    <xf numFmtId="0" fontId="7" fillId="0" borderId="0" xfId="0" applyFont="1"/>
    <xf numFmtId="0" fontId="7" fillId="0" borderId="0" xfId="0" applyFont="1" applyAlignment="1">
      <alignment horizontal="right"/>
    </xf>
    <xf numFmtId="0" fontId="6" fillId="0" borderId="0" xfId="0" applyFont="1" applyAlignment="1">
      <alignment horizontal="left"/>
    </xf>
    <xf numFmtId="0" fontId="7" fillId="0" borderId="0" xfId="0" applyFont="1" applyAlignment="1">
      <alignment horizontal="center"/>
    </xf>
    <xf numFmtId="0" fontId="8" fillId="0" borderId="0" xfId="0" applyFont="1"/>
    <xf numFmtId="0" fontId="4" fillId="0" borderId="1" xfId="0" applyFont="1" applyBorder="1" applyAlignment="1">
      <alignment horizontal="center"/>
    </xf>
    <xf numFmtId="0" fontId="3" fillId="0" borderId="1" xfId="0" applyFont="1" applyBorder="1" applyAlignment="1">
      <alignment horizontal="center"/>
    </xf>
    <xf numFmtId="0" fontId="4" fillId="0" borderId="1" xfId="0" applyFont="1" applyBorder="1"/>
    <xf numFmtId="0" fontId="3" fillId="0" borderId="1" xfId="0" applyFont="1" applyBorder="1"/>
    <xf numFmtId="2" fontId="4" fillId="0" borderId="1" xfId="0" applyNumberFormat="1" applyFont="1" applyBorder="1" applyAlignment="1">
      <alignment horizontal="center"/>
    </xf>
    <xf numFmtId="0" fontId="3" fillId="0" borderId="1" xfId="0" applyFont="1" applyBorder="1" applyAlignment="1">
      <alignment horizontal="right"/>
    </xf>
    <xf numFmtId="164" fontId="3" fillId="0" borderId="1" xfId="0" applyNumberFormat="1" applyFont="1" applyBorder="1"/>
    <xf numFmtId="164" fontId="3" fillId="0" borderId="1" xfId="0" applyNumberFormat="1" applyFont="1" applyBorder="1" applyAlignment="1">
      <alignment horizontal="right"/>
    </xf>
    <xf numFmtId="10" fontId="3" fillId="0" borderId="1" xfId="0" applyNumberFormat="1" applyFont="1" applyBorder="1" applyAlignment="1">
      <alignment horizontal="right"/>
    </xf>
    <xf numFmtId="3" fontId="4" fillId="0" borderId="1" xfId="0" applyNumberFormat="1" applyFont="1" applyBorder="1"/>
    <xf numFmtId="9" fontId="3" fillId="0" borderId="1" xfId="0" applyNumberFormat="1" applyFont="1" applyBorder="1"/>
    <xf numFmtId="10" fontId="3" fillId="0" borderId="1" xfId="0" applyNumberFormat="1" applyFont="1" applyBorder="1"/>
    <xf numFmtId="10" fontId="4" fillId="0" borderId="1" xfId="0" applyNumberFormat="1" applyFont="1" applyBorder="1"/>
    <xf numFmtId="0" fontId="3" fillId="0" borderId="0" xfId="0" applyFont="1" applyAlignment="1">
      <alignment horizontal="center"/>
    </xf>
    <xf numFmtId="0" fontId="3" fillId="0" borderId="0" xfId="0" applyFont="1"/>
    <xf numFmtId="0" fontId="3" fillId="0" borderId="0" xfId="0" applyFont="1" applyAlignment="1">
      <alignment horizontal="right"/>
    </xf>
    <xf numFmtId="0" fontId="4" fillId="0" borderId="0" xfId="0" applyFont="1"/>
    <xf numFmtId="0" fontId="10" fillId="0" borderId="0" xfId="0" applyFont="1"/>
    <xf numFmtId="16" fontId="10" fillId="0" borderId="0" xfId="0" applyNumberFormat="1" applyFont="1"/>
    <xf numFmtId="0" fontId="11" fillId="0" borderId="0" xfId="0" applyFont="1"/>
    <xf numFmtId="0" fontId="8" fillId="0" borderId="2" xfId="0" applyFont="1" applyBorder="1" applyAlignment="1">
      <alignment horizontal="center"/>
    </xf>
    <xf numFmtId="0" fontId="8" fillId="0" borderId="1" xfId="0" applyFont="1" applyBorder="1" applyAlignment="1">
      <alignment horizontal="center"/>
    </xf>
    <xf numFmtId="0" fontId="8" fillId="0" borderId="0" xfId="0" applyFont="1" applyAlignment="1">
      <alignment horizontal="center"/>
    </xf>
    <xf numFmtId="0" fontId="7" fillId="0" borderId="1" xfId="0" applyFont="1" applyBorder="1" applyAlignment="1">
      <alignment horizontal="center"/>
    </xf>
    <xf numFmtId="0" fontId="7" fillId="0" borderId="1" xfId="0" applyFont="1" applyBorder="1"/>
    <xf numFmtId="0" fontId="8" fillId="0" borderId="1" xfId="0" applyFont="1" applyBorder="1" applyAlignment="1">
      <alignment horizontal="right"/>
    </xf>
    <xf numFmtId="0" fontId="8" fillId="0" borderId="0" xfId="0" applyFont="1" applyAlignment="1">
      <alignment horizontal="right"/>
    </xf>
    <xf numFmtId="0" fontId="8" fillId="0" borderId="1" xfId="0" applyFont="1" applyBorder="1"/>
    <xf numFmtId="164" fontId="7" fillId="0" borderId="1" xfId="0" applyNumberFormat="1" applyFont="1" applyBorder="1"/>
    <xf numFmtId="164" fontId="7" fillId="0" borderId="1" xfId="0" applyNumberFormat="1" applyFont="1" applyBorder="1" applyAlignment="1">
      <alignment horizontal="right"/>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1" xfId="0" applyFont="1" applyBorder="1" applyAlignment="1">
      <alignment horizontal="center" vertical="center"/>
    </xf>
    <xf numFmtId="0" fontId="12" fillId="0" borderId="7" xfId="0" applyFont="1" applyBorder="1" applyAlignment="1">
      <alignment horizontal="center" vertical="center"/>
    </xf>
    <xf numFmtId="0" fontId="3" fillId="0" borderId="2" xfId="0" applyFont="1" applyBorder="1" applyAlignment="1">
      <alignment horizontal="right"/>
    </xf>
    <xf numFmtId="164" fontId="3" fillId="0" borderId="2" xfId="0" applyNumberFormat="1" applyFont="1" applyBorder="1" applyAlignment="1">
      <alignment horizontal="right"/>
    </xf>
    <xf numFmtId="10" fontId="3" fillId="0" borderId="2" xfId="0" applyNumberFormat="1" applyFont="1" applyBorder="1" applyAlignment="1">
      <alignment horizontal="right"/>
    </xf>
    <xf numFmtId="0" fontId="3" fillId="0" borderId="2" xfId="0" applyFont="1" applyBorder="1"/>
    <xf numFmtId="10" fontId="3" fillId="0" borderId="2" xfId="0" applyNumberFormat="1" applyFont="1" applyBorder="1"/>
    <xf numFmtId="0" fontId="9" fillId="0" borderId="0" xfId="0" applyFont="1"/>
    <xf numFmtId="2" fontId="3" fillId="0" borderId="1" xfId="0" applyNumberFormat="1" applyFont="1" applyBorder="1" applyAlignment="1">
      <alignment horizontal="right"/>
    </xf>
    <xf numFmtId="2" fontId="3" fillId="0" borderId="2" xfId="0" applyNumberFormat="1" applyFont="1" applyBorder="1" applyAlignment="1">
      <alignment horizontal="right"/>
    </xf>
    <xf numFmtId="0" fontId="14" fillId="0" borderId="16" xfId="0" applyFont="1" applyBorder="1" applyAlignment="1">
      <alignment readingOrder="1"/>
    </xf>
    <xf numFmtId="0" fontId="14" fillId="0" borderId="17" xfId="0" applyFont="1" applyBorder="1" applyAlignment="1">
      <alignment readingOrder="1"/>
    </xf>
    <xf numFmtId="0" fontId="14" fillId="0" borderId="19" xfId="0" applyFont="1" applyBorder="1" applyAlignment="1">
      <alignment readingOrder="1"/>
    </xf>
    <xf numFmtId="0" fontId="14" fillId="0" borderId="23" xfId="0" applyFont="1" applyBorder="1" applyAlignment="1">
      <alignment readingOrder="1"/>
    </xf>
    <xf numFmtId="0" fontId="14" fillId="0" borderId="24" xfId="0" applyFont="1" applyBorder="1" applyAlignment="1">
      <alignment readingOrder="1"/>
    </xf>
    <xf numFmtId="0" fontId="14" fillId="0" borderId="31" xfId="0" applyFont="1" applyBorder="1" applyAlignment="1">
      <alignment readingOrder="1"/>
    </xf>
    <xf numFmtId="0" fontId="4" fillId="0" borderId="2" xfId="0" applyFont="1" applyBorder="1" applyAlignment="1">
      <alignment horizontal="center"/>
    </xf>
    <xf numFmtId="0" fontId="4" fillId="0" borderId="27" xfId="0" applyFont="1" applyBorder="1" applyAlignment="1">
      <alignment horizontal="right"/>
    </xf>
    <xf numFmtId="0" fontId="4" fillId="0" borderId="11" xfId="0" applyFont="1" applyBorder="1" applyAlignment="1">
      <alignment horizontal="right"/>
    </xf>
    <xf numFmtId="0" fontId="4" fillId="0" borderId="11" xfId="0" applyFont="1" applyBorder="1" applyAlignment="1">
      <alignment horizontal="center"/>
    </xf>
    <xf numFmtId="0" fontId="14" fillId="0" borderId="19" xfId="0" applyFont="1" applyBorder="1" applyAlignment="1">
      <alignment vertical="center" readingOrder="1"/>
    </xf>
    <xf numFmtId="0" fontId="14" fillId="0" borderId="47" xfId="0" applyFont="1" applyBorder="1" applyAlignment="1">
      <alignment readingOrder="1"/>
    </xf>
    <xf numFmtId="0" fontId="14" fillId="0" borderId="48" xfId="0" applyFont="1" applyBorder="1" applyAlignment="1">
      <alignment readingOrder="1"/>
    </xf>
    <xf numFmtId="0" fontId="14" fillId="0" borderId="49" xfId="0" applyFont="1" applyBorder="1" applyAlignment="1">
      <alignment readingOrder="1"/>
    </xf>
    <xf numFmtId="0" fontId="15" fillId="0" borderId="1" xfId="0" applyFont="1" applyBorder="1" applyAlignment="1">
      <alignment vertical="center" readingOrder="1"/>
    </xf>
    <xf numFmtId="0" fontId="15" fillId="0" borderId="13" xfId="0" applyFont="1" applyBorder="1" applyAlignment="1">
      <alignment vertical="center" readingOrder="1"/>
    </xf>
    <xf numFmtId="17" fontId="15" fillId="0" borderId="13" xfId="0" applyNumberFormat="1" applyFont="1" applyBorder="1" applyAlignment="1">
      <alignment vertical="center" readingOrder="1"/>
    </xf>
    <xf numFmtId="17" fontId="15" fillId="0" borderId="14" xfId="0" applyNumberFormat="1" applyFont="1" applyBorder="1" applyAlignment="1">
      <alignment vertical="center" readingOrder="1"/>
    </xf>
    <xf numFmtId="0" fontId="14" fillId="0" borderId="18" xfId="0" applyFont="1" applyBorder="1" applyAlignment="1">
      <alignment vertical="center" readingOrder="1"/>
    </xf>
    <xf numFmtId="0" fontId="14" fillId="0" borderId="20" xfId="0" applyFont="1" applyBorder="1" applyAlignment="1">
      <alignment vertical="center" readingOrder="1"/>
    </xf>
    <xf numFmtId="0" fontId="14" fillId="0" borderId="19" xfId="0" applyFont="1" applyBorder="1" applyAlignment="1">
      <alignment vertical="center" wrapText="1" readingOrder="1"/>
    </xf>
    <xf numFmtId="0" fontId="14" fillId="0" borderId="1" xfId="0" applyFont="1" applyBorder="1" applyAlignment="1">
      <alignment vertical="center" readingOrder="1"/>
    </xf>
    <xf numFmtId="0" fontId="14" fillId="0" borderId="26" xfId="0" applyFont="1" applyBorder="1" applyAlignment="1">
      <alignment vertical="center" readingOrder="1"/>
    </xf>
    <xf numFmtId="0" fontId="14" fillId="0" borderId="27" xfId="0" applyFont="1" applyBorder="1" applyAlignment="1">
      <alignment vertical="center" readingOrder="1"/>
    </xf>
    <xf numFmtId="0" fontId="16" fillId="0" borderId="19" xfId="0" applyFont="1" applyBorder="1" applyAlignment="1">
      <alignment vertical="center" readingOrder="1"/>
    </xf>
    <xf numFmtId="0" fontId="15" fillId="0" borderId="10" xfId="0" applyFont="1" applyBorder="1" applyAlignment="1">
      <alignment vertical="center" readingOrder="1"/>
    </xf>
    <xf numFmtId="0" fontId="4" fillId="0" borderId="27" xfId="0" applyFont="1" applyBorder="1" applyAlignment="1">
      <alignment horizontal="center"/>
    </xf>
    <xf numFmtId="0" fontId="3" fillId="0" borderId="2" xfId="0" applyFont="1" applyBorder="1" applyAlignment="1">
      <alignment horizontal="center"/>
    </xf>
    <xf numFmtId="0" fontId="3" fillId="5" borderId="1" xfId="0" applyFont="1" applyFill="1" applyBorder="1" applyAlignment="1">
      <alignment horizontal="center"/>
    </xf>
    <xf numFmtId="0" fontId="3" fillId="5" borderId="2" xfId="0" applyFont="1" applyFill="1" applyBorder="1" applyAlignment="1">
      <alignment horizontal="center"/>
    </xf>
    <xf numFmtId="0" fontId="7" fillId="5" borderId="1" xfId="0" applyFont="1" applyFill="1" applyBorder="1" applyAlignment="1">
      <alignment horizontal="center"/>
    </xf>
    <xf numFmtId="0" fontId="7" fillId="5" borderId="1" xfId="0" applyFont="1" applyFill="1" applyBorder="1"/>
    <xf numFmtId="164" fontId="7" fillId="5" borderId="1" xfId="0" applyNumberFormat="1" applyFont="1" applyFill="1" applyBorder="1"/>
    <xf numFmtId="9" fontId="7" fillId="5" borderId="1" xfId="0" applyNumberFormat="1" applyFont="1" applyFill="1" applyBorder="1"/>
    <xf numFmtId="10" fontId="7" fillId="5" borderId="1" xfId="0" applyNumberFormat="1" applyFont="1" applyFill="1" applyBorder="1"/>
    <xf numFmtId="0" fontId="17" fillId="0" borderId="1" xfId="0" applyFont="1" applyBorder="1" applyAlignment="1">
      <alignment readingOrder="1"/>
    </xf>
    <xf numFmtId="0" fontId="18" fillId="0" borderId="13" xfId="0" applyFont="1" applyBorder="1" applyAlignment="1">
      <alignment readingOrder="1"/>
    </xf>
    <xf numFmtId="17" fontId="18" fillId="0" borderId="13" xfId="0" applyNumberFormat="1" applyFont="1" applyBorder="1" applyAlignment="1">
      <alignment readingOrder="1"/>
    </xf>
    <xf numFmtId="0" fontId="17" fillId="0" borderId="16" xfId="0" applyFont="1" applyBorder="1" applyAlignment="1">
      <alignment readingOrder="1"/>
    </xf>
    <xf numFmtId="0" fontId="17" fillId="0" borderId="17" xfId="0" applyFont="1" applyBorder="1" applyAlignment="1">
      <alignment readingOrder="1"/>
    </xf>
    <xf numFmtId="0" fontId="19" fillId="0" borderId="0" xfId="0" applyFont="1"/>
    <xf numFmtId="0" fontId="17" fillId="0" borderId="18" xfId="0" applyFont="1" applyBorder="1" applyAlignment="1">
      <alignment vertical="center" readingOrder="1"/>
    </xf>
    <xf numFmtId="0" fontId="17" fillId="0" borderId="20" xfId="0" applyFont="1" applyBorder="1" applyAlignment="1">
      <alignment vertical="center" readingOrder="1"/>
    </xf>
    <xf numFmtId="0" fontId="17" fillId="0" borderId="22" xfId="0" applyFont="1" applyBorder="1" applyAlignment="1">
      <alignment vertical="center" readingOrder="1"/>
    </xf>
    <xf numFmtId="0" fontId="17" fillId="0" borderId="19" xfId="0" applyFont="1" applyBorder="1" applyAlignment="1">
      <alignment vertical="center" wrapText="1" readingOrder="1"/>
    </xf>
    <xf numFmtId="3" fontId="17" fillId="0" borderId="19" xfId="0" applyNumberFormat="1" applyFont="1" applyBorder="1" applyAlignment="1">
      <alignment vertical="center" readingOrder="1"/>
    </xf>
    <xf numFmtId="3" fontId="20" fillId="0" borderId="19" xfId="0" applyNumberFormat="1" applyFont="1" applyBorder="1" applyAlignment="1">
      <alignment vertical="center" readingOrder="1"/>
    </xf>
    <xf numFmtId="0" fontId="20" fillId="0" borderId="23" xfId="0" applyFont="1" applyBorder="1" applyAlignment="1">
      <alignment horizontal="center" vertical="center" wrapText="1" readingOrder="1"/>
    </xf>
    <xf numFmtId="0" fontId="17" fillId="0" borderId="23" xfId="0" applyFont="1" applyBorder="1" applyAlignment="1">
      <alignment vertical="center" readingOrder="1"/>
    </xf>
    <xf numFmtId="0" fontId="17" fillId="0" borderId="24" xfId="0" applyFont="1" applyBorder="1" applyAlignment="1">
      <alignment vertical="center" readingOrder="1"/>
    </xf>
    <xf numFmtId="0" fontId="19" fillId="0" borderId="0" xfId="0" applyFont="1" applyAlignment="1">
      <alignment vertical="center"/>
    </xf>
    <xf numFmtId="0" fontId="17" fillId="0" borderId="18" xfId="0" applyFont="1" applyBorder="1" applyAlignment="1">
      <alignment readingOrder="1"/>
    </xf>
    <xf numFmtId="0" fontId="17" fillId="0" borderId="28" xfId="0" applyFont="1" applyBorder="1" applyAlignment="1">
      <alignment wrapText="1" readingOrder="1"/>
    </xf>
    <xf numFmtId="0" fontId="17" fillId="0" borderId="19" xfId="0" applyFont="1" applyBorder="1" applyAlignment="1">
      <alignment readingOrder="1"/>
    </xf>
    <xf numFmtId="0" fontId="17" fillId="0" borderId="23" xfId="0" applyFont="1" applyBorder="1" applyAlignment="1">
      <alignment readingOrder="1"/>
    </xf>
    <xf numFmtId="0" fontId="17" fillId="0" borderId="24" xfId="0" applyFont="1" applyBorder="1" applyAlignment="1">
      <alignment readingOrder="1"/>
    </xf>
    <xf numFmtId="0" fontId="17" fillId="0" borderId="22" xfId="0" applyFont="1" applyBorder="1" applyAlignment="1">
      <alignment readingOrder="1"/>
    </xf>
    <xf numFmtId="0" fontId="22" fillId="0" borderId="7" xfId="0" applyFont="1" applyBorder="1" applyAlignment="1">
      <alignment vertical="center" wrapText="1"/>
    </xf>
    <xf numFmtId="0" fontId="22" fillId="0" borderId="36" xfId="0" applyFont="1" applyBorder="1" applyAlignment="1">
      <alignment vertical="center"/>
    </xf>
    <xf numFmtId="0" fontId="22" fillId="0" borderId="12" xfId="0" applyFont="1" applyBorder="1" applyAlignment="1">
      <alignment vertical="center"/>
    </xf>
    <xf numFmtId="0" fontId="22" fillId="0" borderId="27" xfId="0" applyFont="1" applyBorder="1" applyAlignment="1">
      <alignment vertical="center"/>
    </xf>
    <xf numFmtId="0" fontId="22" fillId="0" borderId="0" xfId="0" applyFont="1" applyAlignment="1">
      <alignment vertical="center"/>
    </xf>
    <xf numFmtId="0" fontId="22" fillId="0" borderId="0" xfId="0" applyFont="1"/>
    <xf numFmtId="0" fontId="22" fillId="0" borderId="26" xfId="0" applyFont="1" applyBorder="1" applyAlignment="1">
      <alignment horizontal="center" vertical="center"/>
    </xf>
    <xf numFmtId="0" fontId="24" fillId="0" borderId="36" xfId="0" applyFont="1" applyBorder="1" applyAlignment="1">
      <alignment vertical="center"/>
    </xf>
    <xf numFmtId="0" fontId="25" fillId="0" borderId="36" xfId="0" applyFont="1" applyBorder="1" applyAlignment="1">
      <alignment vertical="center"/>
    </xf>
    <xf numFmtId="0" fontId="22" fillId="0" borderId="1" xfId="0" applyFont="1" applyBorder="1" applyAlignment="1">
      <alignment vertical="center"/>
    </xf>
    <xf numFmtId="0" fontId="24" fillId="0" borderId="36" xfId="0" applyFont="1" applyBorder="1" applyAlignment="1">
      <alignment vertical="center" wrapText="1"/>
    </xf>
    <xf numFmtId="0" fontId="22" fillId="4" borderId="36" xfId="0" applyFont="1" applyFill="1" applyBorder="1" applyAlignment="1">
      <alignment vertical="center"/>
    </xf>
    <xf numFmtId="0" fontId="24" fillId="4" borderId="36" xfId="0" applyFont="1" applyFill="1" applyBorder="1" applyAlignment="1">
      <alignment vertical="center"/>
    </xf>
    <xf numFmtId="0" fontId="22" fillId="4" borderId="12" xfId="0" applyFont="1" applyFill="1" applyBorder="1" applyAlignment="1">
      <alignment vertical="center"/>
    </xf>
    <xf numFmtId="0" fontId="24" fillId="0" borderId="42" xfId="0" applyFont="1" applyBorder="1" applyAlignment="1">
      <alignment vertical="center"/>
    </xf>
    <xf numFmtId="0" fontId="22" fillId="4" borderId="7" xfId="0" applyFont="1" applyFill="1" applyBorder="1" applyAlignment="1">
      <alignment vertical="center"/>
    </xf>
    <xf numFmtId="0" fontId="22" fillId="0" borderId="7" xfId="0" applyFont="1" applyBorder="1" applyAlignment="1">
      <alignment vertical="center"/>
    </xf>
    <xf numFmtId="0" fontId="26" fillId="0" borderId="36" xfId="0" applyFont="1" applyBorder="1" applyAlignment="1">
      <alignment vertical="center"/>
    </xf>
    <xf numFmtId="0" fontId="26" fillId="0" borderId="12" xfId="0" applyFont="1" applyBorder="1" applyAlignment="1">
      <alignment vertical="center"/>
    </xf>
    <xf numFmtId="0" fontId="26" fillId="0" borderId="1" xfId="0" applyFont="1" applyBorder="1" applyAlignment="1">
      <alignment vertical="center"/>
    </xf>
    <xf numFmtId="0" fontId="26" fillId="0" borderId="0" xfId="0" applyFont="1" applyAlignment="1">
      <alignment vertical="center"/>
    </xf>
    <xf numFmtId="9" fontId="22" fillId="0" borderId="36" xfId="0" applyNumberFormat="1" applyFont="1" applyBorder="1" applyAlignment="1">
      <alignment vertical="center"/>
    </xf>
    <xf numFmtId="0" fontId="24" fillId="0" borderId="12" xfId="0" applyFont="1" applyBorder="1" applyAlignment="1">
      <alignment vertical="center"/>
    </xf>
    <xf numFmtId="0" fontId="27" fillId="0" borderId="12" xfId="0" applyFont="1" applyBorder="1" applyAlignment="1">
      <alignment vertical="center"/>
    </xf>
    <xf numFmtId="0" fontId="22" fillId="0" borderId="38" xfId="0" applyFont="1" applyBorder="1" applyAlignment="1">
      <alignment vertical="center"/>
    </xf>
    <xf numFmtId="0" fontId="22" fillId="0" borderId="1" xfId="0" applyFont="1" applyBorder="1" applyAlignment="1">
      <alignment horizontal="center" vertical="center"/>
    </xf>
    <xf numFmtId="0" fontId="22" fillId="0" borderId="41" xfId="0" applyFont="1" applyBorder="1" applyAlignment="1">
      <alignment vertical="center" wrapText="1"/>
    </xf>
    <xf numFmtId="0" fontId="22" fillId="0" borderId="8" xfId="0" applyFont="1" applyBorder="1" applyAlignment="1">
      <alignment vertical="center"/>
    </xf>
    <xf numFmtId="0" fontId="22" fillId="0" borderId="41" xfId="0" applyFont="1" applyBorder="1" applyAlignment="1">
      <alignment horizontal="center" vertical="center"/>
    </xf>
    <xf numFmtId="0" fontId="24" fillId="0" borderId="0" xfId="0" applyFont="1" applyAlignment="1">
      <alignment vertical="center"/>
    </xf>
    <xf numFmtId="0" fontId="24" fillId="0" borderId="38" xfId="0" applyFont="1" applyBorder="1" applyAlignment="1">
      <alignment vertical="center"/>
    </xf>
    <xf numFmtId="0" fontId="22" fillId="0" borderId="0" xfId="0" applyFont="1" applyAlignment="1">
      <alignment vertical="center" wrapText="1"/>
    </xf>
    <xf numFmtId="0" fontId="17" fillId="6" borderId="19" xfId="0" applyFont="1" applyFill="1" applyBorder="1" applyAlignment="1">
      <alignment readingOrder="1"/>
    </xf>
    <xf numFmtId="0" fontId="17" fillId="6" borderId="23" xfId="0" applyFont="1" applyFill="1" applyBorder="1" applyAlignment="1">
      <alignment readingOrder="1"/>
    </xf>
    <xf numFmtId="0" fontId="17" fillId="6" borderId="24" xfId="0" applyFont="1" applyFill="1" applyBorder="1" applyAlignment="1">
      <alignment readingOrder="1"/>
    </xf>
    <xf numFmtId="0" fontId="19" fillId="6" borderId="0" xfId="0" applyFont="1" applyFill="1"/>
    <xf numFmtId="9" fontId="17" fillId="6" borderId="19" xfId="0" applyNumberFormat="1" applyFont="1" applyFill="1" applyBorder="1" applyAlignment="1">
      <alignment readingOrder="1"/>
    </xf>
    <xf numFmtId="0" fontId="17" fillId="6" borderId="31" xfId="0" applyFont="1" applyFill="1" applyBorder="1" applyAlignment="1">
      <alignment readingOrder="1"/>
    </xf>
    <xf numFmtId="0" fontId="18" fillId="0" borderId="1" xfId="0" applyFont="1" applyBorder="1" applyAlignment="1">
      <alignment readingOrder="1"/>
    </xf>
    <xf numFmtId="0" fontId="17" fillId="0" borderId="20" xfId="0" applyFont="1" applyBorder="1" applyAlignment="1">
      <alignment readingOrder="1"/>
    </xf>
    <xf numFmtId="0" fontId="17" fillId="0" borderId="19" xfId="0" applyFont="1" applyBorder="1" applyAlignment="1">
      <alignment wrapText="1" readingOrder="1"/>
    </xf>
    <xf numFmtId="164" fontId="17" fillId="0" borderId="19" xfId="0" applyNumberFormat="1" applyFont="1" applyBorder="1" applyAlignment="1">
      <alignment readingOrder="1"/>
    </xf>
    <xf numFmtId="0" fontId="17" fillId="0" borderId="19" xfId="0" quotePrefix="1" applyFont="1" applyBorder="1" applyAlignment="1">
      <alignment readingOrder="1"/>
    </xf>
    <xf numFmtId="0" fontId="17" fillId="0" borderId="28" xfId="0" applyFont="1" applyBorder="1" applyAlignment="1">
      <alignment readingOrder="1"/>
    </xf>
    <xf numFmtId="0" fontId="27" fillId="0" borderId="7" xfId="0" applyFont="1" applyBorder="1" applyAlignment="1">
      <alignment vertical="center" wrapText="1"/>
    </xf>
    <xf numFmtId="9" fontId="17" fillId="0" borderId="19" xfId="0" applyNumberFormat="1" applyFont="1" applyBorder="1" applyAlignment="1">
      <alignment readingOrder="1"/>
    </xf>
    <xf numFmtId="0" fontId="27" fillId="0" borderId="7" xfId="0" applyFont="1" applyBorder="1" applyAlignment="1">
      <alignment vertical="center"/>
    </xf>
    <xf numFmtId="0" fontId="27" fillId="0" borderId="44" xfId="0" applyFont="1" applyBorder="1" applyAlignment="1">
      <alignment vertical="center"/>
    </xf>
    <xf numFmtId="0" fontId="22" fillId="0" borderId="8" xfId="0" applyFont="1" applyBorder="1" applyAlignment="1">
      <alignment horizontal="center" vertical="center"/>
    </xf>
    <xf numFmtId="0" fontId="22" fillId="0" borderId="9" xfId="0" applyFont="1" applyBorder="1" applyAlignment="1">
      <alignment horizontal="center" vertical="center"/>
    </xf>
    <xf numFmtId="0" fontId="17" fillId="3" borderId="23" xfId="0" applyFont="1" applyFill="1" applyBorder="1" applyAlignment="1">
      <alignment readingOrder="1"/>
    </xf>
    <xf numFmtId="0" fontId="17" fillId="3" borderId="24" xfId="0" applyFont="1" applyFill="1" applyBorder="1" applyAlignment="1">
      <alignment readingOrder="1"/>
    </xf>
    <xf numFmtId="0" fontId="19" fillId="3" borderId="0" xfId="0" applyFont="1" applyFill="1"/>
    <xf numFmtId="0" fontId="28" fillId="6" borderId="19" xfId="0" applyFont="1" applyFill="1" applyBorder="1" applyAlignment="1">
      <alignment readingOrder="1"/>
    </xf>
    <xf numFmtId="0" fontId="17" fillId="6" borderId="19" xfId="0" quotePrefix="1" applyFont="1" applyFill="1" applyBorder="1" applyAlignment="1">
      <alignment readingOrder="1"/>
    </xf>
    <xf numFmtId="0" fontId="17" fillId="3" borderId="31" xfId="0" applyFont="1" applyFill="1" applyBorder="1" applyAlignment="1">
      <alignment readingOrder="1"/>
    </xf>
    <xf numFmtId="0" fontId="17" fillId="3" borderId="19" xfId="0" applyFont="1" applyFill="1" applyBorder="1" applyAlignment="1">
      <alignment readingOrder="1"/>
    </xf>
    <xf numFmtId="0" fontId="29" fillId="2" borderId="1" xfId="0" applyFont="1" applyFill="1" applyBorder="1" applyAlignment="1">
      <alignment readingOrder="1"/>
    </xf>
    <xf numFmtId="0" fontId="29" fillId="2" borderId="15" xfId="0" applyFont="1" applyFill="1" applyBorder="1" applyAlignment="1">
      <alignment readingOrder="1"/>
    </xf>
    <xf numFmtId="17" fontId="29" fillId="2" borderId="15" xfId="0" applyNumberFormat="1" applyFont="1" applyFill="1" applyBorder="1" applyAlignment="1">
      <alignment readingOrder="1"/>
    </xf>
    <xf numFmtId="17" fontId="29" fillId="2" borderId="15" xfId="0" applyNumberFormat="1" applyFont="1" applyFill="1" applyBorder="1" applyAlignment="1">
      <alignment horizontal="center" readingOrder="1"/>
    </xf>
    <xf numFmtId="0" fontId="29" fillId="0" borderId="15" xfId="0" applyFont="1" applyBorder="1" applyAlignment="1">
      <alignment horizontal="center" readingOrder="1"/>
    </xf>
    <xf numFmtId="0" fontId="17" fillId="0" borderId="0" xfId="0" applyFont="1" applyAlignment="1">
      <alignment readingOrder="1"/>
    </xf>
    <xf numFmtId="0" fontId="28" fillId="0" borderId="27" xfId="0" applyFont="1" applyBorder="1" applyAlignment="1">
      <alignment readingOrder="1"/>
    </xf>
    <xf numFmtId="0" fontId="28" fillId="0" borderId="36" xfId="0" applyFont="1" applyBorder="1" applyAlignment="1">
      <alignment wrapText="1" readingOrder="1"/>
    </xf>
    <xf numFmtId="3" fontId="28" fillId="0" borderId="36" xfId="0" applyNumberFormat="1" applyFont="1" applyBorder="1" applyAlignment="1">
      <alignment horizontal="center" vertical="center" readingOrder="1"/>
    </xf>
    <xf numFmtId="164" fontId="17" fillId="0" borderId="36" xfId="0" applyNumberFormat="1" applyFont="1" applyBorder="1" applyAlignment="1">
      <alignment horizontal="center" vertical="center" readingOrder="1"/>
    </xf>
    <xf numFmtId="0" fontId="28" fillId="0" borderId="36" xfId="0" applyFont="1" applyBorder="1" applyAlignment="1">
      <alignment horizontal="center" vertical="center" readingOrder="1"/>
    </xf>
    <xf numFmtId="0" fontId="17" fillId="2" borderId="36" xfId="0" applyFont="1" applyFill="1" applyBorder="1" applyAlignment="1">
      <alignment horizontal="center" vertical="center" readingOrder="1"/>
    </xf>
    <xf numFmtId="0" fontId="17" fillId="0" borderId="36" xfId="0" applyFont="1" applyBorder="1" applyAlignment="1">
      <alignment readingOrder="1"/>
    </xf>
    <xf numFmtId="0" fontId="17" fillId="0" borderId="36" xfId="0" applyFont="1" applyBorder="1" applyAlignment="1">
      <alignment horizontal="center" vertical="center" readingOrder="1"/>
    </xf>
    <xf numFmtId="0" fontId="17" fillId="0" borderId="38" xfId="0" applyFont="1" applyBorder="1" applyAlignment="1">
      <alignment readingOrder="1"/>
    </xf>
    <xf numFmtId="9" fontId="22" fillId="0" borderId="27" xfId="0" applyNumberFormat="1" applyFont="1" applyBorder="1" applyAlignment="1">
      <alignment vertical="center"/>
    </xf>
    <xf numFmtId="9" fontId="26" fillId="0" borderId="36" xfId="0" applyNumberFormat="1" applyFont="1" applyBorder="1" applyAlignment="1">
      <alignment vertical="center"/>
    </xf>
    <xf numFmtId="9" fontId="26" fillId="0" borderId="1" xfId="0" applyNumberFormat="1" applyFont="1" applyBorder="1" applyAlignment="1">
      <alignment vertical="center"/>
    </xf>
    <xf numFmtId="9" fontId="26" fillId="0" borderId="12" xfId="0" applyNumberFormat="1" applyFont="1" applyBorder="1" applyAlignment="1">
      <alignment vertical="center"/>
    </xf>
    <xf numFmtId="9" fontId="22" fillId="0" borderId="12" xfId="0" applyNumberFormat="1" applyFont="1" applyBorder="1" applyAlignment="1">
      <alignment vertical="center"/>
    </xf>
    <xf numFmtId="9" fontId="22" fillId="0" borderId="1" xfId="0" applyNumberFormat="1" applyFont="1" applyBorder="1" applyAlignment="1">
      <alignment vertical="center"/>
    </xf>
    <xf numFmtId="0" fontId="28" fillId="6" borderId="36" xfId="0" applyFont="1" applyFill="1" applyBorder="1" applyAlignment="1">
      <alignment readingOrder="1"/>
    </xf>
    <xf numFmtId="0" fontId="17" fillId="6" borderId="0" xfId="0" applyFont="1" applyFill="1" applyAlignment="1">
      <alignment readingOrder="1"/>
    </xf>
    <xf numFmtId="0" fontId="17" fillId="6" borderId="36" xfId="0" applyFont="1" applyFill="1" applyBorder="1" applyAlignment="1">
      <alignment readingOrder="1"/>
    </xf>
    <xf numFmtId="0" fontId="30" fillId="6" borderId="36" xfId="0" applyFont="1" applyFill="1" applyBorder="1" applyAlignment="1">
      <alignment readingOrder="1"/>
    </xf>
    <xf numFmtId="0" fontId="28" fillId="6" borderId="36" xfId="0" applyFont="1" applyFill="1" applyBorder="1" applyAlignment="1">
      <alignment horizontal="center" vertical="center" readingOrder="1"/>
    </xf>
    <xf numFmtId="0" fontId="17" fillId="6" borderId="36" xfId="0" applyFont="1" applyFill="1" applyBorder="1" applyAlignment="1">
      <alignment horizontal="center" vertical="center" readingOrder="1"/>
    </xf>
    <xf numFmtId="0" fontId="17" fillId="6" borderId="38" xfId="0" applyFont="1" applyFill="1" applyBorder="1" applyAlignment="1">
      <alignment readingOrder="1"/>
    </xf>
    <xf numFmtId="0" fontId="28" fillId="6" borderId="38" xfId="0" applyFont="1" applyFill="1" applyBorder="1" applyAlignment="1">
      <alignment readingOrder="1"/>
    </xf>
    <xf numFmtId="0" fontId="17" fillId="6" borderId="1" xfId="0" applyFont="1" applyFill="1" applyBorder="1" applyAlignment="1">
      <alignment readingOrder="1"/>
    </xf>
    <xf numFmtId="0" fontId="28" fillId="6" borderId="1" xfId="0" applyFont="1" applyFill="1" applyBorder="1" applyAlignment="1">
      <alignment readingOrder="1"/>
    </xf>
    <xf numFmtId="0" fontId="28" fillId="6" borderId="43" xfId="0" applyFont="1" applyFill="1" applyBorder="1" applyAlignment="1">
      <alignment readingOrder="1"/>
    </xf>
    <xf numFmtId="0" fontId="28" fillId="6" borderId="38" xfId="0" applyFont="1" applyFill="1" applyBorder="1" applyAlignment="1">
      <alignment vertical="center" wrapText="1" readingOrder="1"/>
    </xf>
    <xf numFmtId="0" fontId="18" fillId="0" borderId="13" xfId="0" applyFont="1" applyBorder="1" applyAlignment="1">
      <alignment horizontal="left" readingOrder="1"/>
    </xf>
    <xf numFmtId="17" fontId="18" fillId="0" borderId="14" xfId="0" applyNumberFormat="1" applyFont="1" applyBorder="1" applyAlignment="1">
      <alignment readingOrder="1"/>
    </xf>
    <xf numFmtId="16" fontId="18" fillId="0" borderId="1" xfId="0" applyNumberFormat="1" applyFont="1" applyBorder="1" applyAlignment="1">
      <alignment readingOrder="1"/>
    </xf>
    <xf numFmtId="0" fontId="17" fillId="0" borderId="47" xfId="0" applyFont="1" applyBorder="1" applyAlignment="1">
      <alignment readingOrder="1"/>
    </xf>
    <xf numFmtId="0" fontId="17" fillId="0" borderId="19" xfId="0" applyFont="1" applyBorder="1" applyAlignment="1">
      <alignment horizontal="left" wrapText="1" readingOrder="1"/>
    </xf>
    <xf numFmtId="164" fontId="17" fillId="0" borderId="19" xfId="0" applyNumberFormat="1" applyFont="1" applyBorder="1" applyAlignment="1">
      <alignment horizontal="center" readingOrder="1"/>
    </xf>
    <xf numFmtId="164" fontId="17" fillId="0" borderId="20" xfId="0" applyNumberFormat="1" applyFont="1" applyBorder="1" applyAlignment="1">
      <alignment horizontal="center" readingOrder="1"/>
    </xf>
    <xf numFmtId="164" fontId="17" fillId="0" borderId="1" xfId="0" applyNumberFormat="1" applyFont="1" applyBorder="1" applyAlignment="1">
      <alignment horizontal="center" readingOrder="1"/>
    </xf>
    <xf numFmtId="0" fontId="17" fillId="0" borderId="48" xfId="0" applyFont="1" applyBorder="1" applyAlignment="1">
      <alignment readingOrder="1"/>
    </xf>
    <xf numFmtId="0" fontId="17" fillId="0" borderId="28" xfId="0" applyFont="1" applyBorder="1" applyAlignment="1">
      <alignment horizontal="left" wrapText="1" readingOrder="1"/>
    </xf>
    <xf numFmtId="0" fontId="25" fillId="0" borderId="36" xfId="0" applyFont="1" applyBorder="1" applyAlignment="1">
      <alignment horizontal="right" vertical="center"/>
    </xf>
    <xf numFmtId="0" fontId="25" fillId="0" borderId="36" xfId="0" applyFont="1" applyBorder="1" applyAlignment="1">
      <alignment horizontal="right" vertical="center" wrapText="1"/>
    </xf>
    <xf numFmtId="0" fontId="25" fillId="0" borderId="27" xfId="0" applyFont="1" applyBorder="1" applyAlignment="1">
      <alignment horizontal="right" vertical="center" wrapText="1"/>
    </xf>
    <xf numFmtId="0" fontId="19" fillId="0" borderId="0" xfId="0" applyFont="1" applyAlignment="1">
      <alignment horizontal="left"/>
    </xf>
    <xf numFmtId="0" fontId="17" fillId="0" borderId="19" xfId="0" applyFont="1" applyBorder="1" applyAlignment="1">
      <alignment vertical="center" readingOrder="1"/>
    </xf>
    <xf numFmtId="0" fontId="17" fillId="0" borderId="1" xfId="0" applyFont="1" applyBorder="1" applyAlignment="1">
      <alignment vertical="center" readingOrder="1"/>
    </xf>
    <xf numFmtId="0" fontId="17" fillId="0" borderId="48" xfId="0" applyFont="1" applyBorder="1" applyAlignment="1">
      <alignment vertical="center" readingOrder="1"/>
    </xf>
    <xf numFmtId="0" fontId="17" fillId="0" borderId="28" xfId="0" applyFont="1" applyBorder="1" applyAlignment="1">
      <alignment vertical="center" wrapText="1" readingOrder="1"/>
    </xf>
    <xf numFmtId="0" fontId="22" fillId="0" borderId="39" xfId="0" applyFont="1" applyBorder="1" applyAlignment="1">
      <alignment vertical="center" wrapText="1"/>
    </xf>
    <xf numFmtId="0" fontId="17" fillId="3" borderId="19" xfId="0" applyFont="1" applyFill="1" applyBorder="1" applyAlignment="1">
      <alignment vertical="center" readingOrder="1"/>
    </xf>
    <xf numFmtId="0" fontId="17" fillId="3" borderId="20" xfId="0" applyFont="1" applyFill="1" applyBorder="1" applyAlignment="1">
      <alignment vertical="center" readingOrder="1"/>
    </xf>
    <xf numFmtId="0" fontId="17" fillId="3" borderId="1" xfId="0" applyFont="1" applyFill="1" applyBorder="1" applyAlignment="1">
      <alignment vertical="center" readingOrder="1"/>
    </xf>
    <xf numFmtId="0" fontId="22" fillId="0" borderId="46" xfId="0" applyFont="1" applyBorder="1" applyAlignment="1">
      <alignment horizontal="center" vertical="center"/>
    </xf>
    <xf numFmtId="0" fontId="22" fillId="0" borderId="12" xfId="0" applyFont="1" applyBorder="1" applyAlignment="1">
      <alignment vertical="center" wrapText="1"/>
    </xf>
    <xf numFmtId="0" fontId="17" fillId="6" borderId="1" xfId="0" applyFont="1" applyFill="1" applyBorder="1" applyAlignment="1">
      <alignment vertical="center" readingOrder="1"/>
    </xf>
    <xf numFmtId="0" fontId="17" fillId="6" borderId="22" xfId="0" applyFont="1" applyFill="1" applyBorder="1" applyAlignment="1">
      <alignment vertical="center" readingOrder="1"/>
    </xf>
    <xf numFmtId="0" fontId="17" fillId="6" borderId="19" xfId="0" applyFont="1" applyFill="1" applyBorder="1" applyAlignment="1">
      <alignment vertical="center" readingOrder="1"/>
    </xf>
    <xf numFmtId="0" fontId="17" fillId="6" borderId="20" xfId="0" applyFont="1" applyFill="1" applyBorder="1" applyAlignment="1">
      <alignment vertical="center" readingOrder="1"/>
    </xf>
    <xf numFmtId="0" fontId="17" fillId="6" borderId="48" xfId="0" applyFont="1" applyFill="1" applyBorder="1" applyAlignment="1">
      <alignment vertical="center" readingOrder="1"/>
    </xf>
    <xf numFmtId="0" fontId="17" fillId="6" borderId="23" xfId="0" applyFont="1" applyFill="1" applyBorder="1" applyAlignment="1">
      <alignment vertical="center" readingOrder="1"/>
    </xf>
    <xf numFmtId="0" fontId="17" fillId="6" borderId="24" xfId="0" applyFont="1" applyFill="1" applyBorder="1" applyAlignment="1">
      <alignment vertical="center" readingOrder="1"/>
    </xf>
    <xf numFmtId="0" fontId="19" fillId="6" borderId="0" xfId="0" applyFont="1" applyFill="1" applyAlignment="1">
      <alignment vertical="center"/>
    </xf>
    <xf numFmtId="0" fontId="21" fillId="6" borderId="19" xfId="0" applyFont="1" applyFill="1" applyBorder="1" applyAlignment="1">
      <alignment vertical="center" readingOrder="1"/>
    </xf>
    <xf numFmtId="0" fontId="17" fillId="6" borderId="31" xfId="0" applyFont="1" applyFill="1" applyBorder="1" applyAlignment="1">
      <alignment vertical="center" readingOrder="1"/>
    </xf>
    <xf numFmtId="0" fontId="18" fillId="0" borderId="1" xfId="0" applyFont="1" applyBorder="1" applyAlignment="1">
      <alignment horizontal="center" vertical="center" readingOrder="1"/>
    </xf>
    <xf numFmtId="0" fontId="18" fillId="0" borderId="13" xfId="0" applyFont="1" applyBorder="1" applyAlignment="1">
      <alignment horizontal="center" vertical="center" readingOrder="1"/>
    </xf>
    <xf numFmtId="17" fontId="18" fillId="0" borderId="13" xfId="0" applyNumberFormat="1" applyFont="1" applyBorder="1" applyAlignment="1">
      <alignment horizontal="center" vertical="center" readingOrder="1"/>
    </xf>
    <xf numFmtId="17" fontId="18" fillId="0" borderId="52" xfId="0" applyNumberFormat="1" applyFont="1" applyBorder="1" applyAlignment="1">
      <alignment horizontal="center" vertical="center" readingOrder="1"/>
    </xf>
    <xf numFmtId="0" fontId="17" fillId="0" borderId="16" xfId="0" applyFont="1" applyBorder="1" applyAlignment="1">
      <alignment horizontal="center" vertical="center" readingOrder="1"/>
    </xf>
    <xf numFmtId="0" fontId="17" fillId="0" borderId="17" xfId="0" applyFont="1" applyBorder="1" applyAlignment="1">
      <alignment horizontal="center" vertical="center" readingOrder="1"/>
    </xf>
    <xf numFmtId="0" fontId="19" fillId="0" borderId="0" xfId="0" applyFont="1" applyAlignment="1">
      <alignment horizontal="center" vertical="center"/>
    </xf>
    <xf numFmtId="0" fontId="23" fillId="0" borderId="1" xfId="0" applyFont="1" applyBorder="1" applyAlignment="1">
      <alignment horizontal="center" vertical="center"/>
    </xf>
    <xf numFmtId="0" fontId="23" fillId="0" borderId="15" xfId="0" applyFont="1" applyBorder="1" applyAlignment="1">
      <alignment vertical="center"/>
    </xf>
    <xf numFmtId="17" fontId="23" fillId="0" borderId="15" xfId="0" applyNumberFormat="1" applyFont="1" applyBorder="1" applyAlignment="1">
      <alignment vertical="center"/>
    </xf>
    <xf numFmtId="17" fontId="23" fillId="0" borderId="3" xfId="0" applyNumberFormat="1" applyFont="1" applyBorder="1" applyAlignment="1">
      <alignment vertical="center"/>
    </xf>
    <xf numFmtId="0" fontId="23" fillId="0" borderId="1" xfId="0" applyFont="1" applyBorder="1" applyAlignment="1">
      <alignment horizontal="right" vertical="center"/>
    </xf>
    <xf numFmtId="16" fontId="23" fillId="0" borderId="1" xfId="0" quotePrefix="1" applyNumberFormat="1" applyFont="1" applyBorder="1" applyAlignment="1">
      <alignment horizontal="right" vertical="center"/>
    </xf>
    <xf numFmtId="0" fontId="31" fillId="0" borderId="0" xfId="1" applyFont="1"/>
    <xf numFmtId="0" fontId="22" fillId="0" borderId="27" xfId="0" applyFont="1" applyBorder="1" applyAlignment="1">
      <alignment horizontal="center" vertical="center"/>
    </xf>
    <xf numFmtId="0" fontId="22" fillId="0" borderId="36" xfId="0" applyFont="1" applyBorder="1" applyAlignment="1">
      <alignment vertical="center" wrapText="1"/>
    </xf>
    <xf numFmtId="3" fontId="22" fillId="0" borderId="36" xfId="0" applyNumberFormat="1" applyFont="1" applyBorder="1" applyAlignment="1">
      <alignment vertical="center"/>
    </xf>
    <xf numFmtId="3" fontId="22" fillId="0" borderId="0" xfId="0" applyNumberFormat="1" applyFont="1" applyAlignment="1">
      <alignment vertical="center"/>
    </xf>
    <xf numFmtId="0" fontId="22" fillId="0" borderId="38" xfId="0" applyFont="1" applyBorder="1" applyAlignment="1">
      <alignment vertical="center" wrapText="1"/>
    </xf>
    <xf numFmtId="0" fontId="17" fillId="3" borderId="22" xfId="0" applyFont="1" applyFill="1" applyBorder="1" applyAlignment="1">
      <alignment vertical="center" readingOrder="1"/>
    </xf>
    <xf numFmtId="0" fontId="22" fillId="3" borderId="36" xfId="0" applyFont="1" applyFill="1" applyBorder="1" applyAlignment="1">
      <alignment vertical="center"/>
    </xf>
    <xf numFmtId="0" fontId="24" fillId="3" borderId="36" xfId="0" applyFont="1" applyFill="1" applyBorder="1" applyAlignment="1">
      <alignment vertical="center"/>
    </xf>
    <xf numFmtId="0" fontId="22" fillId="3" borderId="12" xfId="0" applyFont="1" applyFill="1" applyBorder="1" applyAlignment="1">
      <alignment vertical="center"/>
    </xf>
    <xf numFmtId="0" fontId="22" fillId="3" borderId="7" xfId="0" applyFont="1" applyFill="1" applyBorder="1" applyAlignment="1">
      <alignment vertical="center" wrapText="1"/>
    </xf>
    <xf numFmtId="0" fontId="25" fillId="3" borderId="36" xfId="0" applyFont="1" applyFill="1" applyBorder="1" applyAlignment="1">
      <alignment vertical="center"/>
    </xf>
    <xf numFmtId="0" fontId="22" fillId="3" borderId="0" xfId="0" applyFont="1" applyFill="1" applyAlignment="1">
      <alignment vertical="center"/>
    </xf>
    <xf numFmtId="0" fontId="22" fillId="3" borderId="0" xfId="0" applyFont="1" applyFill="1"/>
    <xf numFmtId="0" fontId="22" fillId="3" borderId="26" xfId="0" applyFont="1" applyFill="1" applyBorder="1" applyAlignment="1">
      <alignment horizontal="center" vertical="center"/>
    </xf>
    <xf numFmtId="0" fontId="22" fillId="3" borderId="7" xfId="0" applyFont="1" applyFill="1" applyBorder="1" applyAlignment="1">
      <alignment vertical="center"/>
    </xf>
    <xf numFmtId="0" fontId="22" fillId="5" borderId="41" xfId="0" applyFont="1" applyFill="1" applyBorder="1" applyAlignment="1">
      <alignment vertical="center" wrapText="1"/>
    </xf>
    <xf numFmtId="0" fontId="22" fillId="5" borderId="38" xfId="0" applyFont="1" applyFill="1" applyBorder="1" applyAlignment="1">
      <alignment vertical="center"/>
    </xf>
    <xf numFmtId="0" fontId="22" fillId="5" borderId="0" xfId="0" applyFont="1" applyFill="1" applyAlignment="1">
      <alignment vertical="center"/>
    </xf>
    <xf numFmtId="0" fontId="22" fillId="5" borderId="1" xfId="0" applyFont="1" applyFill="1" applyBorder="1" applyAlignment="1">
      <alignment vertical="center"/>
    </xf>
    <xf numFmtId="0" fontId="22" fillId="5" borderId="0" xfId="0" applyFont="1" applyFill="1"/>
    <xf numFmtId="0" fontId="19" fillId="5" borderId="0" xfId="0" applyFont="1" applyFill="1"/>
    <xf numFmtId="0" fontId="22" fillId="5" borderId="8" xfId="0" applyFont="1" applyFill="1" applyBorder="1" applyAlignment="1">
      <alignment vertical="center"/>
    </xf>
    <xf numFmtId="0" fontId="22" fillId="5" borderId="41" xfId="0" applyFont="1" applyFill="1" applyBorder="1" applyAlignment="1">
      <alignment horizontal="center" vertical="center"/>
    </xf>
    <xf numFmtId="0" fontId="22" fillId="0" borderId="0" xfId="0" applyFont="1" applyAlignment="1">
      <alignment horizontal="center" vertical="center"/>
    </xf>
    <xf numFmtId="0" fontId="23" fillId="0" borderId="0" xfId="0" applyFont="1" applyAlignment="1">
      <alignment vertical="center"/>
    </xf>
    <xf numFmtId="1" fontId="23" fillId="0" borderId="0" xfId="0" applyNumberFormat="1" applyFont="1" applyAlignment="1">
      <alignment vertical="center"/>
    </xf>
    <xf numFmtId="0" fontId="22" fillId="0" borderId="42" xfId="0" applyFont="1" applyBorder="1" applyAlignment="1">
      <alignment vertical="center"/>
    </xf>
    <xf numFmtId="0" fontId="17" fillId="0" borderId="25" xfId="0" applyFont="1" applyBorder="1" applyAlignment="1">
      <alignment readingOrder="1"/>
    </xf>
    <xf numFmtId="0" fontId="17" fillId="0" borderId="1" xfId="0" applyFont="1" applyBorder="1" applyAlignment="1">
      <alignment vertical="center" wrapText="1" readingOrder="1"/>
    </xf>
    <xf numFmtId="0" fontId="17" fillId="3" borderId="1" xfId="0" applyFont="1" applyFill="1" applyBorder="1" applyAlignment="1">
      <alignment vertical="center" wrapText="1" readingOrder="1"/>
    </xf>
    <xf numFmtId="17" fontId="18" fillId="0" borderId="53" xfId="0" applyNumberFormat="1" applyFont="1" applyBorder="1" applyAlignment="1">
      <alignment horizontal="center" vertical="center" readingOrder="1"/>
    </xf>
    <xf numFmtId="0" fontId="17" fillId="0" borderId="2" xfId="0" applyFont="1" applyBorder="1" applyAlignment="1">
      <alignment vertical="center" readingOrder="1"/>
    </xf>
    <xf numFmtId="0" fontId="22" fillId="0" borderId="2" xfId="0" applyFont="1" applyBorder="1" applyAlignment="1">
      <alignment vertical="center"/>
    </xf>
    <xf numFmtId="0" fontId="22" fillId="0" borderId="11" xfId="0" applyFont="1" applyBorder="1" applyAlignment="1">
      <alignment vertical="center"/>
    </xf>
    <xf numFmtId="0" fontId="25" fillId="0" borderId="12" xfId="0" applyFont="1" applyBorder="1" applyAlignment="1">
      <alignment vertical="center"/>
    </xf>
    <xf numFmtId="0" fontId="17" fillId="3" borderId="2" xfId="0" applyFont="1" applyFill="1" applyBorder="1" applyAlignment="1">
      <alignment vertical="center" readingOrder="1"/>
    </xf>
    <xf numFmtId="0" fontId="26" fillId="0" borderId="2" xfId="0" applyFont="1" applyBorder="1" applyAlignment="1">
      <alignment vertical="center"/>
    </xf>
    <xf numFmtId="0" fontId="22" fillId="0" borderId="5" xfId="0" applyFont="1" applyBorder="1" applyAlignment="1">
      <alignment horizontal="center" vertical="center"/>
    </xf>
    <xf numFmtId="0" fontId="17" fillId="6" borderId="2" xfId="0" applyFont="1" applyFill="1" applyBorder="1" applyAlignment="1">
      <alignment vertical="center" readingOrder="1"/>
    </xf>
    <xf numFmtId="0" fontId="17" fillId="0" borderId="47" xfId="0" applyFont="1" applyBorder="1" applyAlignment="1">
      <alignment horizontal="center" vertical="center" readingOrder="1"/>
    </xf>
    <xf numFmtId="0" fontId="17" fillId="6" borderId="54" xfId="0" applyFont="1" applyFill="1" applyBorder="1" applyAlignment="1">
      <alignment vertical="center" readingOrder="1"/>
    </xf>
    <xf numFmtId="0" fontId="17" fillId="7" borderId="22" xfId="0" applyFont="1" applyFill="1" applyBorder="1" applyAlignment="1">
      <alignment readingOrder="1"/>
    </xf>
    <xf numFmtId="0" fontId="17" fillId="7" borderId="19" xfId="0" applyFont="1" applyFill="1" applyBorder="1" applyAlignment="1">
      <alignment readingOrder="1"/>
    </xf>
    <xf numFmtId="0" fontId="17" fillId="3" borderId="22" xfId="0" applyFont="1" applyFill="1" applyBorder="1" applyAlignment="1">
      <alignment readingOrder="1"/>
    </xf>
    <xf numFmtId="0" fontId="17" fillId="7" borderId="22" xfId="0" applyFont="1" applyFill="1" applyBorder="1" applyAlignment="1">
      <alignment vertical="center" readingOrder="1"/>
    </xf>
    <xf numFmtId="0" fontId="17" fillId="8" borderId="22" xfId="0" applyFont="1" applyFill="1" applyBorder="1" applyAlignment="1">
      <alignment readingOrder="1"/>
    </xf>
    <xf numFmtId="0" fontId="17" fillId="8" borderId="19" xfId="0" applyFont="1" applyFill="1" applyBorder="1" applyAlignment="1">
      <alignment readingOrder="1"/>
    </xf>
    <xf numFmtId="0" fontId="28" fillId="3" borderId="36" xfId="0" applyFont="1" applyFill="1" applyBorder="1" applyAlignment="1">
      <alignment horizontal="center" vertical="center" readingOrder="1"/>
    </xf>
    <xf numFmtId="0" fontId="17" fillId="3" borderId="36" xfId="0" applyFont="1" applyFill="1" applyBorder="1" applyAlignment="1">
      <alignment horizontal="center" vertical="center" readingOrder="1"/>
    </xf>
    <xf numFmtId="0" fontId="18" fillId="0" borderId="14" xfId="0" applyFont="1" applyBorder="1" applyAlignment="1">
      <alignment readingOrder="1"/>
    </xf>
    <xf numFmtId="0" fontId="18" fillId="0" borderId="3" xfId="0" applyFont="1" applyBorder="1" applyAlignment="1">
      <alignment readingOrder="1"/>
    </xf>
    <xf numFmtId="0" fontId="18" fillId="0" borderId="15" xfId="0" applyFont="1" applyBorder="1" applyAlignment="1">
      <alignment readingOrder="1"/>
    </xf>
    <xf numFmtId="0" fontId="17" fillId="0" borderId="20" xfId="0" applyFont="1" applyBorder="1" applyAlignment="1">
      <alignment readingOrder="1"/>
    </xf>
    <xf numFmtId="0" fontId="17" fillId="0" borderId="21" xfId="0" applyFont="1" applyBorder="1" applyAlignment="1">
      <alignment readingOrder="1"/>
    </xf>
    <xf numFmtId="0" fontId="17" fillId="0" borderId="22" xfId="0" applyFont="1" applyBorder="1" applyAlignment="1">
      <alignment readingOrder="1"/>
    </xf>
    <xf numFmtId="0" fontId="17" fillId="0" borderId="32" xfId="0" applyFont="1" applyBorder="1" applyAlignment="1">
      <alignment readingOrder="1"/>
    </xf>
    <xf numFmtId="0" fontId="17" fillId="0" borderId="33" xfId="0" applyFont="1" applyBorder="1" applyAlignment="1">
      <alignment readingOrder="1"/>
    </xf>
    <xf numFmtId="0" fontId="17" fillId="0" borderId="34" xfId="0" applyFont="1" applyBorder="1" applyAlignment="1">
      <alignment readingOrder="1"/>
    </xf>
    <xf numFmtId="0" fontId="17" fillId="0" borderId="2" xfId="0" applyFont="1" applyBorder="1" applyAlignment="1">
      <alignment readingOrder="1"/>
    </xf>
    <xf numFmtId="0" fontId="17" fillId="0" borderId="3" xfId="0" applyFont="1" applyBorder="1" applyAlignment="1">
      <alignment readingOrder="1"/>
    </xf>
    <xf numFmtId="0" fontId="17" fillId="0" borderId="15" xfId="0" applyFont="1" applyBorder="1" applyAlignment="1">
      <alignment readingOrder="1"/>
    </xf>
    <xf numFmtId="0" fontId="17" fillId="0" borderId="15" xfId="0" applyFont="1" applyBorder="1" applyAlignment="1">
      <alignment horizontal="left" vertical="center" wrapText="1" readingOrder="1"/>
    </xf>
    <xf numFmtId="0" fontId="17" fillId="0" borderId="46" xfId="0" applyFont="1" applyBorder="1" applyAlignment="1">
      <alignment horizontal="right" readingOrder="1"/>
    </xf>
    <xf numFmtId="0" fontId="17" fillId="0" borderId="43" xfId="0" applyFont="1" applyBorder="1" applyAlignment="1">
      <alignment horizontal="right" readingOrder="1"/>
    </xf>
    <xf numFmtId="0" fontId="17" fillId="0" borderId="51" xfId="0" applyFont="1" applyBorder="1" applyAlignment="1">
      <alignment horizontal="right" readingOrder="1"/>
    </xf>
    <xf numFmtId="0" fontId="22" fillId="0" borderId="10" xfId="0" applyFont="1" applyBorder="1" applyAlignment="1">
      <alignment horizontal="center" vertical="center"/>
    </xf>
    <xf numFmtId="0" fontId="22" fillId="0" borderId="26" xfId="0" applyFont="1" applyBorder="1" applyAlignment="1">
      <alignment horizontal="center" vertical="center"/>
    </xf>
    <xf numFmtId="0" fontId="23" fillId="0" borderId="12" xfId="0" applyFont="1" applyBorder="1" applyAlignment="1">
      <alignment vertical="center"/>
    </xf>
    <xf numFmtId="0" fontId="24" fillId="0" borderId="3" xfId="0" applyFont="1" applyBorder="1" applyAlignment="1">
      <alignment vertical="center"/>
    </xf>
    <xf numFmtId="0" fontId="23" fillId="0" borderId="3" xfId="0" applyFont="1" applyBorder="1" applyAlignment="1">
      <alignment vertical="center"/>
    </xf>
    <xf numFmtId="0" fontId="21" fillId="0" borderId="20" xfId="0" applyFont="1" applyBorder="1" applyAlignment="1">
      <alignment readingOrder="1"/>
    </xf>
    <xf numFmtId="0" fontId="21" fillId="0" borderId="22" xfId="0" applyFont="1" applyBorder="1" applyAlignment="1">
      <alignment readingOrder="1"/>
    </xf>
    <xf numFmtId="0" fontId="21" fillId="7" borderId="20" xfId="0" applyFont="1" applyFill="1" applyBorder="1" applyAlignment="1">
      <alignment readingOrder="1"/>
    </xf>
    <xf numFmtId="0" fontId="21" fillId="7" borderId="22" xfId="0" applyFont="1" applyFill="1" applyBorder="1" applyAlignment="1">
      <alignment readingOrder="1"/>
    </xf>
    <xf numFmtId="0" fontId="21" fillId="0" borderId="3" xfId="0" applyFont="1" applyBorder="1" applyAlignment="1">
      <alignment horizontal="left" readingOrder="1"/>
    </xf>
    <xf numFmtId="0" fontId="21" fillId="0" borderId="15" xfId="0" applyFont="1" applyBorder="1" applyAlignment="1">
      <alignment horizontal="left" readingOrder="1"/>
    </xf>
    <xf numFmtId="0" fontId="22" fillId="0" borderId="40" xfId="0" applyFont="1" applyBorder="1" applyAlignment="1">
      <alignment vertical="center"/>
    </xf>
    <xf numFmtId="0" fontId="22" fillId="0" borderId="1" xfId="0" applyFont="1" applyBorder="1" applyAlignment="1">
      <alignment horizontal="center" vertical="center"/>
    </xf>
    <xf numFmtId="0" fontId="23" fillId="0" borderId="5" xfId="0" applyFont="1" applyBorder="1" applyAlignment="1">
      <alignment vertical="center"/>
    </xf>
    <xf numFmtId="0" fontId="23" fillId="0" borderId="41" xfId="0" applyFont="1" applyBorder="1" applyAlignment="1">
      <alignment vertical="center"/>
    </xf>
    <xf numFmtId="0" fontId="24" fillId="0" borderId="5" xfId="0" applyFont="1" applyBorder="1" applyAlignment="1">
      <alignment vertical="center"/>
    </xf>
    <xf numFmtId="0" fontId="24" fillId="0" borderId="41" xfId="0" applyFont="1" applyBorder="1" applyAlignment="1">
      <alignment vertical="center"/>
    </xf>
    <xf numFmtId="0" fontId="22" fillId="0" borderId="44" xfId="0" applyFont="1" applyBorder="1" applyAlignment="1">
      <alignment vertical="center" wrapText="1"/>
    </xf>
    <xf numFmtId="0" fontId="22" fillId="0" borderId="45" xfId="0" applyFont="1" applyBorder="1" applyAlignment="1">
      <alignment vertical="center" wrapText="1"/>
    </xf>
    <xf numFmtId="0" fontId="24" fillId="0" borderId="6" xfId="0" applyFont="1" applyBorder="1" applyAlignment="1">
      <alignment vertical="center"/>
    </xf>
    <xf numFmtId="0" fontId="4" fillId="0" borderId="1" xfId="0" applyFont="1" applyBorder="1" applyAlignment="1">
      <alignment horizontal="center"/>
    </xf>
    <xf numFmtId="0" fontId="3" fillId="0" borderId="0" xfId="0" applyFont="1" applyAlignment="1">
      <alignment horizontal="left" vertical="top" wrapText="1"/>
    </xf>
    <xf numFmtId="0" fontId="4" fillId="0" borderId="1" xfId="0" applyFont="1" applyBorder="1" applyAlignment="1">
      <alignment horizontal="center" vertical="center"/>
    </xf>
    <xf numFmtId="0" fontId="4" fillId="0" borderId="2" xfId="0" applyFont="1" applyBorder="1" applyAlignment="1">
      <alignment horizontal="center"/>
    </xf>
    <xf numFmtId="0" fontId="9" fillId="0" borderId="0" xfId="0" applyFont="1" applyAlignment="1">
      <alignment horizontal="left" wrapText="1"/>
    </xf>
    <xf numFmtId="0" fontId="4" fillId="0" borderId="46" xfId="0" applyFont="1" applyBorder="1" applyAlignment="1">
      <alignment horizontal="center"/>
    </xf>
    <xf numFmtId="0" fontId="4" fillId="0" borderId="40" xfId="0" applyFont="1" applyBorder="1" applyAlignment="1">
      <alignment horizontal="center"/>
    </xf>
    <xf numFmtId="0" fontId="4" fillId="0" borderId="37" xfId="0" applyFont="1" applyBorder="1" applyAlignment="1">
      <alignment horizontal="center"/>
    </xf>
    <xf numFmtId="0" fontId="4" fillId="0" borderId="43" xfId="0" applyFont="1" applyBorder="1" applyAlignment="1">
      <alignment horizontal="center"/>
    </xf>
    <xf numFmtId="0" fontId="4" fillId="0" borderId="0" xfId="0" applyFont="1" applyAlignment="1">
      <alignment horizontal="center"/>
    </xf>
    <xf numFmtId="0" fontId="4" fillId="0" borderId="38" xfId="0"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4" fillId="0" borderId="36" xfId="0" applyFont="1" applyBorder="1" applyAlignment="1">
      <alignment horizontal="center"/>
    </xf>
    <xf numFmtId="0" fontId="23" fillId="0" borderId="15" xfId="0" applyFont="1" applyBorder="1" applyAlignment="1">
      <alignment vertical="center"/>
    </xf>
    <xf numFmtId="0" fontId="22" fillId="0" borderId="15" xfId="0" applyFont="1" applyBorder="1" applyAlignment="1">
      <alignment vertical="center" wrapText="1"/>
    </xf>
    <xf numFmtId="0" fontId="24" fillId="0" borderId="1" xfId="0" applyFont="1" applyBorder="1" applyAlignment="1">
      <alignment vertical="center"/>
    </xf>
    <xf numFmtId="0" fontId="24" fillId="5" borderId="5" xfId="0" applyFont="1" applyFill="1" applyBorder="1" applyAlignment="1">
      <alignment vertical="center"/>
    </xf>
    <xf numFmtId="0" fontId="24" fillId="5" borderId="41" xfId="0" applyFont="1" applyFill="1" applyBorder="1" applyAlignment="1">
      <alignment vertical="center"/>
    </xf>
    <xf numFmtId="0" fontId="24" fillId="5" borderId="6" xfId="0" applyFont="1" applyFill="1" applyBorder="1" applyAlignment="1">
      <alignment vertical="center"/>
    </xf>
    <xf numFmtId="0" fontId="23" fillId="0" borderId="40" xfId="0" applyFont="1" applyBorder="1" applyAlignment="1">
      <alignment vertical="center"/>
    </xf>
    <xf numFmtId="0" fontId="22" fillId="5" borderId="1" xfId="0" applyFont="1" applyFill="1" applyBorder="1" applyAlignment="1">
      <alignment horizontal="center" vertical="center"/>
    </xf>
    <xf numFmtId="0" fontId="23" fillId="5" borderId="5" xfId="0" applyFont="1" applyFill="1" applyBorder="1" applyAlignment="1">
      <alignment vertical="center"/>
    </xf>
    <xf numFmtId="0" fontId="23" fillId="5" borderId="41" xfId="0" applyFont="1" applyFill="1" applyBorder="1" applyAlignment="1">
      <alignment vertical="center"/>
    </xf>
    <xf numFmtId="0" fontId="27" fillId="0" borderId="39" xfId="0" applyFont="1" applyBorder="1" applyAlignment="1">
      <alignment horizontal="center" vertical="center" wrapText="1"/>
    </xf>
    <xf numFmtId="0" fontId="27" fillId="0" borderId="44" xfId="0" applyFont="1" applyBorder="1" applyAlignment="1">
      <alignment horizontal="center" vertical="center" wrapText="1"/>
    </xf>
    <xf numFmtId="0" fontId="27" fillId="0" borderId="7" xfId="0" applyFont="1" applyBorder="1" applyAlignment="1">
      <alignment horizontal="center" vertical="center" wrapText="1"/>
    </xf>
    <xf numFmtId="0" fontId="22" fillId="0" borderId="5" xfId="0" applyFont="1" applyBorder="1" applyAlignment="1">
      <alignment vertical="center"/>
    </xf>
    <xf numFmtId="0" fontId="22" fillId="0" borderId="41" xfId="0" applyFont="1" applyBorder="1" applyAlignment="1">
      <alignment vertical="center"/>
    </xf>
    <xf numFmtId="0" fontId="22" fillId="0" borderId="5" xfId="0" applyFont="1" applyBorder="1" applyAlignment="1">
      <alignment vertical="center" wrapText="1"/>
    </xf>
    <xf numFmtId="0" fontId="22" fillId="0" borderId="6" xfId="0" applyFont="1" applyBorder="1" applyAlignment="1">
      <alignment vertical="center" wrapText="1"/>
    </xf>
    <xf numFmtId="0" fontId="22" fillId="5" borderId="44" xfId="0" applyFont="1" applyFill="1" applyBorder="1" applyAlignment="1">
      <alignment vertical="center" wrapText="1"/>
    </xf>
    <xf numFmtId="0" fontId="22" fillId="5" borderId="45" xfId="0" applyFont="1" applyFill="1" applyBorder="1" applyAlignment="1">
      <alignment vertical="center" wrapText="1"/>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xf>
    <xf numFmtId="0" fontId="8" fillId="0" borderId="3" xfId="0" applyFont="1" applyBorder="1" applyAlignment="1">
      <alignment horizontal="center"/>
    </xf>
    <xf numFmtId="0" fontId="8" fillId="0" borderId="1" xfId="0" applyFont="1" applyBorder="1" applyAlignment="1">
      <alignment horizontal="center"/>
    </xf>
    <xf numFmtId="0" fontId="17" fillId="0" borderId="20" xfId="0" applyFont="1" applyBorder="1" applyAlignment="1">
      <alignment vertical="center" readingOrder="1"/>
    </xf>
    <xf numFmtId="0" fontId="17" fillId="0" borderId="21" xfId="0" applyFont="1" applyBorder="1" applyAlignment="1">
      <alignment vertical="center" readingOrder="1"/>
    </xf>
    <xf numFmtId="0" fontId="17" fillId="0" borderId="22" xfId="0" applyFont="1" applyBorder="1" applyAlignment="1">
      <alignment vertical="center" readingOrder="1"/>
    </xf>
    <xf numFmtId="0" fontId="21" fillId="0" borderId="1" xfId="0" applyFont="1" applyBorder="1" applyAlignment="1">
      <alignment horizontal="left" readingOrder="1"/>
    </xf>
    <xf numFmtId="0" fontId="17" fillId="0" borderId="11" xfId="0" applyFont="1" applyBorder="1" applyAlignment="1">
      <alignment horizontal="right" readingOrder="1"/>
    </xf>
    <xf numFmtId="0" fontId="17" fillId="0" borderId="1" xfId="0" applyFont="1" applyBorder="1" applyAlignment="1">
      <alignment readingOrder="1"/>
    </xf>
    <xf numFmtId="0" fontId="21" fillId="0" borderId="1" xfId="0" applyFont="1" applyBorder="1" applyAlignment="1">
      <alignment readingOrder="1"/>
    </xf>
    <xf numFmtId="0" fontId="21" fillId="7" borderId="1" xfId="0" applyFont="1" applyFill="1" applyBorder="1" applyAlignment="1">
      <alignment readingOrder="1"/>
    </xf>
    <xf numFmtId="0" fontId="17" fillId="6" borderId="25" xfId="0" applyFont="1" applyFill="1" applyBorder="1" applyAlignment="1">
      <alignment readingOrder="1"/>
    </xf>
    <xf numFmtId="0" fontId="17" fillId="6" borderId="26" xfId="0" applyFont="1" applyFill="1" applyBorder="1" applyAlignment="1">
      <alignment readingOrder="1"/>
    </xf>
    <xf numFmtId="0" fontId="17" fillId="6" borderId="27" xfId="0" applyFont="1" applyFill="1" applyBorder="1" applyAlignment="1">
      <alignment readingOrder="1"/>
    </xf>
    <xf numFmtId="0" fontId="17" fillId="6" borderId="20" xfId="0" applyFont="1" applyFill="1" applyBorder="1" applyAlignment="1">
      <alignment readingOrder="1"/>
    </xf>
    <xf numFmtId="0" fontId="17" fillId="6" borderId="21" xfId="0" applyFont="1" applyFill="1" applyBorder="1" applyAlignment="1">
      <alignment readingOrder="1"/>
    </xf>
    <xf numFmtId="0" fontId="17" fillId="6" borderId="22" xfId="0" applyFont="1" applyFill="1" applyBorder="1" applyAlignment="1">
      <alignment readingOrder="1"/>
    </xf>
    <xf numFmtId="0" fontId="17" fillId="6" borderId="28" xfId="0" applyFont="1" applyFill="1" applyBorder="1" applyAlignment="1">
      <alignment wrapText="1" readingOrder="1"/>
    </xf>
    <xf numFmtId="0" fontId="17" fillId="6" borderId="29" xfId="0" applyFont="1" applyFill="1" applyBorder="1" applyAlignment="1">
      <alignment wrapText="1" readingOrder="1"/>
    </xf>
    <xf numFmtId="0" fontId="17" fillId="6" borderId="30" xfId="0" applyFont="1" applyFill="1" applyBorder="1" applyAlignment="1">
      <alignment wrapText="1" readingOrder="1"/>
    </xf>
    <xf numFmtId="0" fontId="21" fillId="6" borderId="20" xfId="0" applyFont="1" applyFill="1" applyBorder="1" applyAlignment="1">
      <alignment readingOrder="1"/>
    </xf>
    <xf numFmtId="0" fontId="21" fillId="6" borderId="22" xfId="0" applyFont="1" applyFill="1" applyBorder="1" applyAlignment="1">
      <alignment readingOrder="1"/>
    </xf>
    <xf numFmtId="0" fontId="17" fillId="0" borderId="10" xfId="0" applyFont="1" applyBorder="1" applyAlignment="1">
      <alignment horizontal="right" readingOrder="1"/>
    </xf>
    <xf numFmtId="0" fontId="17" fillId="0" borderId="26" xfId="0" applyFont="1" applyBorder="1" applyAlignment="1">
      <alignment horizontal="right" readingOrder="1"/>
    </xf>
    <xf numFmtId="0" fontId="17" fillId="0" borderId="27" xfId="0" applyFont="1" applyBorder="1" applyAlignment="1">
      <alignment horizontal="right" readingOrder="1"/>
    </xf>
    <xf numFmtId="0" fontId="17" fillId="0" borderId="1" xfId="0" applyFont="1" applyBorder="1" applyAlignment="1">
      <alignment horizontal="left" vertical="center" wrapText="1" readingOrder="1"/>
    </xf>
    <xf numFmtId="0" fontId="21" fillId="0" borderId="2" xfId="0" applyFont="1" applyBorder="1" applyAlignment="1">
      <alignment horizontal="left" readingOrder="1"/>
    </xf>
    <xf numFmtId="0" fontId="21" fillId="0" borderId="21" xfId="0" applyFont="1" applyBorder="1" applyAlignment="1">
      <alignment readingOrder="1"/>
    </xf>
    <xf numFmtId="0" fontId="21" fillId="7" borderId="32" xfId="0" applyFont="1" applyFill="1" applyBorder="1" applyAlignment="1">
      <alignment readingOrder="1"/>
    </xf>
    <xf numFmtId="0" fontId="21" fillId="7" borderId="33" xfId="0" applyFont="1" applyFill="1" applyBorder="1" applyAlignment="1">
      <alignment readingOrder="1"/>
    </xf>
    <xf numFmtId="0" fontId="17" fillId="6" borderId="46" xfId="0" applyFont="1" applyFill="1" applyBorder="1" applyAlignment="1">
      <alignment horizontal="center" vertical="center" readingOrder="1"/>
    </xf>
    <xf numFmtId="0" fontId="17" fillId="6" borderId="40" xfId="0" applyFont="1" applyFill="1" applyBorder="1" applyAlignment="1">
      <alignment horizontal="center" vertical="center" readingOrder="1"/>
    </xf>
    <xf numFmtId="0" fontId="17" fillId="6" borderId="37" xfId="0" applyFont="1" applyFill="1" applyBorder="1" applyAlignment="1">
      <alignment horizontal="center" vertical="center" readingOrder="1"/>
    </xf>
    <xf numFmtId="0" fontId="17" fillId="6" borderId="28" xfId="0" applyFont="1" applyFill="1" applyBorder="1" applyAlignment="1">
      <alignment vertical="center" wrapText="1" readingOrder="1"/>
    </xf>
    <xf numFmtId="0" fontId="17" fillId="6" borderId="29" xfId="0" applyFont="1" applyFill="1" applyBorder="1" applyAlignment="1">
      <alignment vertical="center" wrapText="1" readingOrder="1"/>
    </xf>
    <xf numFmtId="0" fontId="17" fillId="6" borderId="30" xfId="0" applyFont="1" applyFill="1" applyBorder="1" applyAlignment="1">
      <alignment vertical="center" wrapText="1" readingOrder="1"/>
    </xf>
    <xf numFmtId="0" fontId="22" fillId="0" borderId="10" xfId="0" applyFont="1" applyBorder="1" applyAlignment="1">
      <alignment horizontal="right"/>
    </xf>
    <xf numFmtId="0" fontId="22" fillId="0" borderId="26" xfId="0" applyFont="1" applyBorder="1" applyAlignment="1">
      <alignment horizontal="right"/>
    </xf>
    <xf numFmtId="0" fontId="28" fillId="6" borderId="46" xfId="0" applyFont="1" applyFill="1" applyBorder="1" applyAlignment="1">
      <alignment horizontal="center" vertical="center" readingOrder="1"/>
    </xf>
    <xf numFmtId="0" fontId="28" fillId="6" borderId="40" xfId="0" applyFont="1" applyFill="1" applyBorder="1" applyAlignment="1">
      <alignment horizontal="center" vertical="center" readingOrder="1"/>
    </xf>
    <xf numFmtId="0" fontId="28" fillId="6" borderId="37" xfId="0" applyFont="1" applyFill="1" applyBorder="1" applyAlignment="1">
      <alignment horizontal="center" vertical="center" readingOrder="1"/>
    </xf>
    <xf numFmtId="0" fontId="28" fillId="6" borderId="11" xfId="0" applyFont="1" applyFill="1" applyBorder="1" applyAlignment="1">
      <alignment horizontal="center" vertical="center" readingOrder="1"/>
    </xf>
    <xf numFmtId="0" fontId="28" fillId="6" borderId="12" xfId="0" applyFont="1" applyFill="1" applyBorder="1" applyAlignment="1">
      <alignment horizontal="center" vertical="center" readingOrder="1"/>
    </xf>
    <xf numFmtId="0" fontId="28" fillId="6" borderId="36" xfId="0" applyFont="1" applyFill="1" applyBorder="1" applyAlignment="1">
      <alignment horizontal="center" vertical="center" readingOrder="1"/>
    </xf>
    <xf numFmtId="0" fontId="29" fillId="2" borderId="2" xfId="0" applyFont="1" applyFill="1" applyBorder="1" applyAlignment="1">
      <alignment readingOrder="1"/>
    </xf>
    <xf numFmtId="0" fontId="29" fillId="2" borderId="3" xfId="0" applyFont="1" applyFill="1" applyBorder="1" applyAlignment="1">
      <alignment readingOrder="1"/>
    </xf>
    <xf numFmtId="0" fontId="29" fillId="2" borderId="15" xfId="0" applyFont="1" applyFill="1" applyBorder="1" applyAlignment="1">
      <alignment readingOrder="1"/>
    </xf>
    <xf numFmtId="0" fontId="28" fillId="0" borderId="2" xfId="0" applyFont="1" applyBorder="1" applyAlignment="1">
      <alignment readingOrder="1"/>
    </xf>
    <xf numFmtId="0" fontId="28" fillId="0" borderId="3" xfId="0" applyFont="1" applyBorder="1" applyAlignment="1">
      <alignment readingOrder="1"/>
    </xf>
    <xf numFmtId="0" fontId="28" fillId="0" borderId="15" xfId="0" applyFont="1" applyBorder="1" applyAlignment="1">
      <alignment readingOrder="1"/>
    </xf>
    <xf numFmtId="0" fontId="17" fillId="6" borderId="2" xfId="0" applyFont="1" applyFill="1" applyBorder="1" applyAlignment="1">
      <alignment horizontal="center" vertical="center" readingOrder="1"/>
    </xf>
    <xf numFmtId="0" fontId="17" fillId="6" borderId="3" xfId="0" applyFont="1" applyFill="1" applyBorder="1" applyAlignment="1">
      <alignment horizontal="center" vertical="center" readingOrder="1"/>
    </xf>
    <xf numFmtId="0" fontId="17" fillId="6" borderId="15" xfId="0" applyFont="1" applyFill="1" applyBorder="1" applyAlignment="1">
      <alignment horizontal="center" vertical="center" readingOrder="1"/>
    </xf>
    <xf numFmtId="0" fontId="28" fillId="2" borderId="2" xfId="0" applyFont="1" applyFill="1" applyBorder="1" applyAlignment="1">
      <alignment readingOrder="1"/>
    </xf>
    <xf numFmtId="0" fontId="28" fillId="2" borderId="3" xfId="0" applyFont="1" applyFill="1" applyBorder="1" applyAlignment="1">
      <alignment readingOrder="1"/>
    </xf>
    <xf numFmtId="0" fontId="28" fillId="2" borderId="15" xfId="0" applyFont="1" applyFill="1" applyBorder="1" applyAlignment="1">
      <alignment readingOrder="1"/>
    </xf>
    <xf numFmtId="0" fontId="28" fillId="0" borderId="10" xfId="0" applyFont="1" applyBorder="1" applyAlignment="1">
      <alignment horizontal="right" readingOrder="1"/>
    </xf>
    <xf numFmtId="0" fontId="28" fillId="0" borderId="26" xfId="0" applyFont="1" applyBorder="1" applyAlignment="1">
      <alignment horizontal="right" readingOrder="1"/>
    </xf>
    <xf numFmtId="0" fontId="28" fillId="0" borderId="27" xfId="0" applyFont="1" applyBorder="1" applyAlignment="1">
      <alignment horizontal="right" readingOrder="1"/>
    </xf>
    <xf numFmtId="0" fontId="28" fillId="6" borderId="37" xfId="0" applyFont="1" applyFill="1" applyBorder="1" applyAlignment="1">
      <alignment horizontal="center" vertical="center" wrapText="1" readingOrder="1"/>
    </xf>
    <xf numFmtId="0" fontId="28" fillId="6" borderId="38" xfId="0" applyFont="1" applyFill="1" applyBorder="1" applyAlignment="1">
      <alignment horizontal="center" vertical="center" wrapText="1" readingOrder="1"/>
    </xf>
    <xf numFmtId="0" fontId="28" fillId="6" borderId="36" xfId="0" applyFont="1" applyFill="1" applyBorder="1" applyAlignment="1">
      <alignment horizontal="center" vertical="center" wrapText="1" readingOrder="1"/>
    </xf>
    <xf numFmtId="0" fontId="30" fillId="0" borderId="2" xfId="0" applyFont="1" applyBorder="1" applyAlignment="1">
      <alignment readingOrder="1"/>
    </xf>
    <xf numFmtId="0" fontId="30" fillId="0" borderId="15" xfId="0" applyFont="1" applyBorder="1" applyAlignment="1">
      <alignment readingOrder="1"/>
    </xf>
    <xf numFmtId="0" fontId="30" fillId="7" borderId="46" xfId="0" applyFont="1" applyFill="1" applyBorder="1" applyAlignment="1">
      <alignment readingOrder="1"/>
    </xf>
    <xf numFmtId="0" fontId="30" fillId="7" borderId="37" xfId="0" applyFont="1" applyFill="1" applyBorder="1" applyAlignment="1">
      <alignment readingOrder="1"/>
    </xf>
    <xf numFmtId="0" fontId="30" fillId="0" borderId="1" xfId="0" applyFont="1" applyBorder="1" applyAlignment="1">
      <alignment horizontal="left" readingOrder="1"/>
    </xf>
    <xf numFmtId="0" fontId="28" fillId="0" borderId="10" xfId="0" applyFont="1" applyBorder="1" applyAlignment="1">
      <alignment horizontal="left" vertical="center" wrapText="1" readingOrder="1"/>
    </xf>
    <xf numFmtId="0" fontId="28" fillId="0" borderId="26" xfId="0" applyFont="1" applyBorder="1" applyAlignment="1">
      <alignment horizontal="left" vertical="center" wrapText="1" readingOrder="1"/>
    </xf>
    <xf numFmtId="0" fontId="28" fillId="0" borderId="36" xfId="0" applyFont="1" applyBorder="1" applyAlignment="1">
      <alignment horizontal="left" vertical="center" wrapText="1" readingOrder="1"/>
    </xf>
    <xf numFmtId="0" fontId="28" fillId="6" borderId="10" xfId="0" applyFont="1" applyFill="1" applyBorder="1" applyAlignment="1">
      <alignment horizontal="center" vertical="center" wrapText="1" readingOrder="1"/>
    </xf>
    <xf numFmtId="0" fontId="28" fillId="6" borderId="26" xfId="0" applyFont="1" applyFill="1" applyBorder="1" applyAlignment="1">
      <alignment horizontal="center" vertical="center" wrapText="1" readingOrder="1"/>
    </xf>
    <xf numFmtId="0" fontId="28" fillId="6" borderId="27" xfId="0" applyFont="1" applyFill="1" applyBorder="1" applyAlignment="1">
      <alignment horizontal="center" vertical="center" wrapText="1" readingOrder="1"/>
    </xf>
    <xf numFmtId="0" fontId="30" fillId="6" borderId="2" xfId="0" applyFont="1" applyFill="1" applyBorder="1" applyAlignment="1">
      <alignment readingOrder="1"/>
    </xf>
    <xf numFmtId="0" fontId="30" fillId="6" borderId="15" xfId="0" applyFont="1" applyFill="1" applyBorder="1" applyAlignment="1">
      <alignment readingOrder="1"/>
    </xf>
    <xf numFmtId="0" fontId="28" fillId="6" borderId="2" xfId="0" applyFont="1" applyFill="1" applyBorder="1" applyAlignment="1">
      <alignment readingOrder="1"/>
    </xf>
    <xf numFmtId="0" fontId="28" fillId="6" borderId="15" xfId="0" applyFont="1" applyFill="1" applyBorder="1" applyAlignment="1">
      <alignment readingOrder="1"/>
    </xf>
    <xf numFmtId="0" fontId="28" fillId="6" borderId="10" xfId="0" applyFont="1" applyFill="1" applyBorder="1" applyAlignment="1">
      <alignment wrapText="1" readingOrder="1"/>
    </xf>
    <xf numFmtId="0" fontId="28" fillId="6" borderId="26" xfId="0" applyFont="1" applyFill="1" applyBorder="1" applyAlignment="1">
      <alignment wrapText="1" readingOrder="1"/>
    </xf>
    <xf numFmtId="0" fontId="28" fillId="6" borderId="27" xfId="0" applyFont="1" applyFill="1" applyBorder="1" applyAlignment="1">
      <alignment wrapText="1" readingOrder="1"/>
    </xf>
    <xf numFmtId="0" fontId="28" fillId="6" borderId="10" xfId="0" applyFont="1" applyFill="1" applyBorder="1" applyAlignment="1">
      <alignment readingOrder="1"/>
    </xf>
    <xf numFmtId="0" fontId="28" fillId="6" borderId="26" xfId="0" applyFont="1" applyFill="1" applyBorder="1" applyAlignment="1">
      <alignment readingOrder="1"/>
    </xf>
    <xf numFmtId="0" fontId="28" fillId="0" borderId="26" xfId="0" applyFont="1" applyBorder="1" applyAlignment="1">
      <alignment readingOrder="1"/>
    </xf>
    <xf numFmtId="0" fontId="28" fillId="0" borderId="27" xfId="0" applyFont="1" applyBorder="1" applyAlignment="1">
      <alignment readingOrder="1"/>
    </xf>
    <xf numFmtId="0" fontId="28" fillId="6" borderId="3" xfId="0" applyFont="1" applyFill="1" applyBorder="1" applyAlignment="1">
      <alignment readingOrder="1"/>
    </xf>
    <xf numFmtId="0" fontId="28" fillId="6" borderId="27" xfId="0" applyFont="1" applyFill="1" applyBorder="1" applyAlignment="1">
      <alignment readingOrder="1"/>
    </xf>
    <xf numFmtId="0" fontId="28" fillId="6" borderId="11" xfId="0" applyFont="1" applyFill="1" applyBorder="1" applyAlignment="1">
      <alignment readingOrder="1"/>
    </xf>
    <xf numFmtId="0" fontId="28" fillId="6" borderId="12" xfId="0" applyFont="1" applyFill="1" applyBorder="1" applyAlignment="1">
      <alignment readingOrder="1"/>
    </xf>
    <xf numFmtId="0" fontId="28" fillId="6" borderId="36" xfId="0" applyFont="1" applyFill="1" applyBorder="1" applyAlignment="1">
      <alignment readingOrder="1"/>
    </xf>
    <xf numFmtId="0" fontId="15" fillId="0" borderId="14" xfId="0" applyFont="1" applyBorder="1" applyAlignment="1">
      <alignment vertical="center" readingOrder="1"/>
    </xf>
    <xf numFmtId="0" fontId="15" fillId="0" borderId="3" xfId="0" applyFont="1" applyBorder="1" applyAlignment="1">
      <alignment vertical="center" readingOrder="1"/>
    </xf>
    <xf numFmtId="0" fontId="15" fillId="0" borderId="15" xfId="0" applyFont="1" applyBorder="1" applyAlignment="1">
      <alignment vertical="center" readingOrder="1"/>
    </xf>
    <xf numFmtId="0" fontId="14" fillId="0" borderId="20" xfId="0" applyFont="1" applyBorder="1" applyAlignment="1">
      <alignment vertical="center" readingOrder="1"/>
    </xf>
    <xf numFmtId="0" fontId="14" fillId="0" borderId="21" xfId="0" applyFont="1" applyBorder="1" applyAlignment="1">
      <alignment vertical="center" readingOrder="1"/>
    </xf>
    <xf numFmtId="0" fontId="14" fillId="0" borderId="22" xfId="0" applyFont="1" applyBorder="1" applyAlignment="1">
      <alignment vertical="center" readingOrder="1"/>
    </xf>
    <xf numFmtId="0" fontId="14" fillId="0" borderId="25" xfId="0" applyFont="1" applyBorder="1" applyAlignment="1">
      <alignment vertical="center" readingOrder="1"/>
    </xf>
    <xf numFmtId="0" fontId="14" fillId="0" borderId="26" xfId="0" applyFont="1" applyBorder="1" applyAlignment="1">
      <alignment vertical="center" readingOrder="1"/>
    </xf>
    <xf numFmtId="0" fontId="14" fillId="0" borderId="27" xfId="0" applyFont="1" applyBorder="1" applyAlignment="1">
      <alignment vertical="center" readingOrder="1"/>
    </xf>
    <xf numFmtId="0" fontId="14" fillId="0" borderId="28" xfId="0" applyFont="1" applyBorder="1" applyAlignment="1">
      <alignment vertical="center" wrapText="1" readingOrder="1"/>
    </xf>
    <xf numFmtId="0" fontId="14" fillId="0" borderId="29" xfId="0" applyFont="1" applyBorder="1" applyAlignment="1">
      <alignment vertical="center" wrapText="1" readingOrder="1"/>
    </xf>
    <xf numFmtId="0" fontId="14" fillId="0" borderId="30" xfId="0" applyFont="1" applyBorder="1" applyAlignment="1">
      <alignment vertical="center" wrapText="1" readingOrder="1"/>
    </xf>
    <xf numFmtId="0" fontId="16" fillId="0" borderId="20" xfId="0" applyFont="1" applyBorder="1" applyAlignment="1">
      <alignment vertical="center" readingOrder="1"/>
    </xf>
    <xf numFmtId="0" fontId="16" fillId="0" borderId="22" xfId="0" applyFont="1" applyBorder="1" applyAlignment="1">
      <alignment vertical="center" readingOrder="1"/>
    </xf>
    <xf numFmtId="0" fontId="16" fillId="0" borderId="3" xfId="0" applyFont="1" applyBorder="1" applyAlignment="1">
      <alignment horizontal="left" vertical="center" readingOrder="1"/>
    </xf>
    <xf numFmtId="0" fontId="16" fillId="0" borderId="15" xfId="0" applyFont="1" applyBorder="1" applyAlignment="1">
      <alignment horizontal="left" vertical="center" readingOrder="1"/>
    </xf>
    <xf numFmtId="0" fontId="14" fillId="0" borderId="10" xfId="0" applyFont="1" applyBorder="1" applyAlignment="1">
      <alignment horizontal="left" vertical="center" wrapText="1" readingOrder="1"/>
    </xf>
    <xf numFmtId="0" fontId="14" fillId="0" borderId="26" xfId="0" applyFont="1" applyBorder="1" applyAlignment="1">
      <alignment horizontal="left" vertical="center" wrapText="1" readingOrder="1"/>
    </xf>
    <xf numFmtId="0" fontId="14" fillId="0" borderId="50" xfId="0" applyFont="1" applyBorder="1" applyAlignment="1">
      <alignment horizontal="left" vertical="center" wrapText="1" readingOrder="1"/>
    </xf>
    <xf numFmtId="0" fontId="18" fillId="0" borderId="14" xfId="0" applyFont="1" applyBorder="1" applyAlignment="1">
      <alignment horizontal="center" vertical="center" readingOrder="1"/>
    </xf>
    <xf numFmtId="0" fontId="18" fillId="0" borderId="3" xfId="0" applyFont="1" applyBorder="1" applyAlignment="1">
      <alignment horizontal="center" vertical="center" readingOrder="1"/>
    </xf>
    <xf numFmtId="0" fontId="18" fillId="0" borderId="15" xfId="0" applyFont="1" applyBorder="1" applyAlignment="1">
      <alignment horizontal="center" vertical="center" readingOrder="1"/>
    </xf>
    <xf numFmtId="0" fontId="17" fillId="0" borderId="32" xfId="0" applyFont="1" applyBorder="1" applyAlignment="1">
      <alignment vertical="center" readingOrder="1"/>
    </xf>
    <xf numFmtId="0" fontId="17" fillId="0" borderId="33" xfId="0" applyFont="1" applyBorder="1" applyAlignment="1">
      <alignment vertical="center" readingOrder="1"/>
    </xf>
    <xf numFmtId="0" fontId="17" fillId="0" borderId="34" xfId="0" applyFont="1" applyBorder="1" applyAlignment="1">
      <alignment vertical="center" readingOrder="1"/>
    </xf>
    <xf numFmtId="0" fontId="17" fillId="6" borderId="1" xfId="0" applyFont="1" applyFill="1" applyBorder="1" applyAlignment="1">
      <alignment vertical="center" readingOrder="1"/>
    </xf>
    <xf numFmtId="0" fontId="17" fillId="6" borderId="25" xfId="0" applyFont="1" applyFill="1" applyBorder="1" applyAlignment="1">
      <alignment vertical="center" readingOrder="1"/>
    </xf>
    <xf numFmtId="0" fontId="17" fillId="6" borderId="26" xfId="0" applyFont="1" applyFill="1" applyBorder="1" applyAlignment="1">
      <alignment vertical="center" readingOrder="1"/>
    </xf>
    <xf numFmtId="0" fontId="17" fillId="6" borderId="27" xfId="0" applyFont="1" applyFill="1" applyBorder="1" applyAlignment="1">
      <alignment vertical="center" readingOrder="1"/>
    </xf>
    <xf numFmtId="0" fontId="17" fillId="6" borderId="35" xfId="0" applyFont="1" applyFill="1" applyBorder="1" applyAlignment="1">
      <alignment vertical="center" readingOrder="1"/>
    </xf>
    <xf numFmtId="0" fontId="17" fillId="6" borderId="12" xfId="0" applyFont="1" applyFill="1" applyBorder="1" applyAlignment="1">
      <alignment vertical="center" readingOrder="1"/>
    </xf>
    <xf numFmtId="0" fontId="17" fillId="6" borderId="36" xfId="0" applyFont="1" applyFill="1" applyBorder="1" applyAlignment="1">
      <alignment vertical="center" readingOrder="1"/>
    </xf>
    <xf numFmtId="0" fontId="17" fillId="6" borderId="46" xfId="0" applyFont="1" applyFill="1" applyBorder="1" applyAlignment="1">
      <alignment horizontal="right" vertical="center" readingOrder="1"/>
    </xf>
    <xf numFmtId="0" fontId="17" fillId="6" borderId="43" xfId="0" applyFont="1" applyFill="1" applyBorder="1" applyAlignment="1">
      <alignment horizontal="right" vertical="center" readingOrder="1"/>
    </xf>
    <xf numFmtId="0" fontId="17" fillId="6" borderId="51" xfId="0" applyFont="1" applyFill="1" applyBorder="1" applyAlignment="1">
      <alignment horizontal="right" vertical="center" readingOrder="1"/>
    </xf>
    <xf numFmtId="0" fontId="21" fillId="6" borderId="1" xfId="0" applyFont="1" applyFill="1" applyBorder="1" applyAlignment="1">
      <alignment vertical="center" readingOrder="1"/>
    </xf>
    <xf numFmtId="0" fontId="21" fillId="6" borderId="1" xfId="0" applyFont="1" applyFill="1" applyBorder="1" applyAlignment="1">
      <alignment horizontal="left" vertical="center" readingOrder="1"/>
    </xf>
    <xf numFmtId="0" fontId="17" fillId="6" borderId="1" xfId="0" applyFont="1" applyFill="1" applyBorder="1" applyAlignment="1">
      <alignment horizontal="left" vertical="center" wrapText="1" readingOrder="1"/>
    </xf>
    <xf numFmtId="0" fontId="17" fillId="6" borderId="20" xfId="0" applyFont="1" applyFill="1" applyBorder="1" applyAlignment="1">
      <alignment vertical="center" readingOrder="1"/>
    </xf>
    <xf numFmtId="0" fontId="17" fillId="6" borderId="21" xfId="0" applyFont="1" applyFill="1" applyBorder="1" applyAlignment="1">
      <alignment vertical="center" readingOrder="1"/>
    </xf>
    <xf numFmtId="0" fontId="17" fillId="6" borderId="22" xfId="0" applyFont="1" applyFill="1" applyBorder="1" applyAlignment="1">
      <alignment vertical="center" readingOrder="1"/>
    </xf>
    <xf numFmtId="0" fontId="21" fillId="6" borderId="20" xfId="0" applyFont="1" applyFill="1" applyBorder="1" applyAlignment="1">
      <alignment vertical="center" readingOrder="1"/>
    </xf>
    <xf numFmtId="0" fontId="21" fillId="6" borderId="22" xfId="0" applyFont="1" applyFill="1" applyBorder="1" applyAlignment="1">
      <alignment vertical="center" readingOrder="1"/>
    </xf>
    <xf numFmtId="0" fontId="17" fillId="6" borderId="20" xfId="0" applyFont="1" applyFill="1" applyBorder="1" applyAlignment="1">
      <alignment vertical="center" wrapText="1" readingOrder="1"/>
    </xf>
    <xf numFmtId="0" fontId="17" fillId="6" borderId="22" xfId="0" applyFont="1" applyFill="1" applyBorder="1" applyAlignment="1">
      <alignment vertical="center" wrapText="1" readingOrder="1"/>
    </xf>
    <xf numFmtId="0" fontId="24" fillId="7" borderId="1" xfId="0" applyFont="1" applyFill="1" applyBorder="1" applyAlignment="1">
      <alignment vertical="center"/>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Rekap!$A$7:$B$7</c:f>
              <c:strCache>
                <c:ptCount val="2"/>
                <c:pt idx="1">
                  <c:v>CSAT - Overall</c:v>
                </c:pt>
              </c:strCache>
            </c:strRef>
          </c:tx>
          <c:spPr>
            <a:solidFill>
              <a:schemeClr val="accent1"/>
            </a:solidFill>
            <a:ln>
              <a:noFill/>
            </a:ln>
            <a:effectLst/>
          </c:spPr>
          <c:invertIfNegative val="0"/>
          <c:cat>
            <c:multiLvlStrRef>
              <c:f>Rekap!$C$5:$H$6</c:f>
              <c:multiLvlStrCache>
                <c:ptCount val="6"/>
                <c:lvl>
                  <c:pt idx="0">
                    <c:v>Oct</c:v>
                  </c:pt>
                  <c:pt idx="1">
                    <c:v>Nov</c:v>
                  </c:pt>
                  <c:pt idx="2">
                    <c:v>Dec</c:v>
                  </c:pt>
                  <c:pt idx="3">
                    <c:v>Jan</c:v>
                  </c:pt>
                  <c:pt idx="4">
                    <c:v>Feb</c:v>
                  </c:pt>
                  <c:pt idx="5">
                    <c:v>Mar</c:v>
                  </c:pt>
                </c:lvl>
                <c:lvl>
                  <c:pt idx="0">
                    <c:v>2025</c:v>
                  </c:pt>
                  <c:pt idx="3">
                    <c:v>2026</c:v>
                  </c:pt>
                </c:lvl>
              </c:multiLvlStrCache>
            </c:multiLvlStrRef>
          </c:cat>
          <c:val>
            <c:numRef>
              <c:f>Rekap!$C$7:$H$7</c:f>
              <c:numCache>
                <c:formatCode>General</c:formatCode>
                <c:ptCount val="6"/>
                <c:pt idx="0">
                  <c:v>4.75</c:v>
                </c:pt>
                <c:pt idx="1">
                  <c:v>3.67</c:v>
                </c:pt>
                <c:pt idx="2">
                  <c:v>4.67</c:v>
                </c:pt>
                <c:pt idx="3">
                  <c:v>1</c:v>
                </c:pt>
                <c:pt idx="4">
                  <c:v>3</c:v>
                </c:pt>
                <c:pt idx="5">
                  <c:v>4.5</c:v>
                </c:pt>
              </c:numCache>
            </c:numRef>
          </c:val>
          <c:extLst>
            <c:ext xmlns:c16="http://schemas.microsoft.com/office/drawing/2014/chart" uri="{C3380CC4-5D6E-409C-BE32-E72D297353CC}">
              <c16:uniqueId val="{00000000-EAD0-460F-A432-0FB74B097F1E}"/>
            </c:ext>
          </c:extLst>
        </c:ser>
        <c:dLbls>
          <c:showLegendKey val="0"/>
          <c:showVal val="0"/>
          <c:showCatName val="0"/>
          <c:showSerName val="0"/>
          <c:showPercent val="0"/>
          <c:showBubbleSize val="0"/>
        </c:dLbls>
        <c:gapWidth val="219"/>
        <c:overlap val="-27"/>
        <c:axId val="622921735"/>
        <c:axId val="622939655"/>
      </c:barChart>
      <c:catAx>
        <c:axId val="622921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39655"/>
        <c:crosses val="autoZero"/>
        <c:auto val="1"/>
        <c:lblAlgn val="ctr"/>
        <c:lblOffset val="100"/>
        <c:noMultiLvlLbl val="0"/>
      </c:catAx>
      <c:valAx>
        <c:axId val="622939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21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Rekap!$A$11:$B$11</c:f>
              <c:strCache>
                <c:ptCount val="2"/>
                <c:pt idx="1">
                  <c:v>Volume of Interaction</c:v>
                </c:pt>
              </c:strCache>
            </c:strRef>
          </c:tx>
          <c:spPr>
            <a:solidFill>
              <a:schemeClr val="accent1"/>
            </a:solidFill>
            <a:ln>
              <a:noFill/>
            </a:ln>
            <a:effectLst/>
          </c:spPr>
          <c:invertIfNegative val="0"/>
          <c:cat>
            <c:multiLvlStrRef>
              <c:f>Rekap!$C$9:$Q$10</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2025</c:v>
                  </c:pt>
                  <c:pt idx="12">
                    <c:v>2026</c:v>
                  </c:pt>
                </c:lvl>
              </c:multiLvlStrCache>
            </c:multiLvlStrRef>
          </c:cat>
          <c:val>
            <c:numRef>
              <c:f>Rekap!$C$11:$Q$11</c:f>
              <c:numCache>
                <c:formatCode>_(* #,##0_);_(* \(#,##0\);_(* "-"??_);_(@_)</c:formatCode>
                <c:ptCount val="15"/>
                <c:pt idx="0">
                  <c:v>5163</c:v>
                </c:pt>
                <c:pt idx="1">
                  <c:v>13231</c:v>
                </c:pt>
                <c:pt idx="2">
                  <c:v>6111</c:v>
                </c:pt>
                <c:pt idx="3">
                  <c:v>765544</c:v>
                </c:pt>
                <c:pt idx="4">
                  <c:v>1806885</c:v>
                </c:pt>
                <c:pt idx="5">
                  <c:v>1201571</c:v>
                </c:pt>
                <c:pt idx="6">
                  <c:v>3205926</c:v>
                </c:pt>
                <c:pt idx="7">
                  <c:v>3619231</c:v>
                </c:pt>
                <c:pt idx="8">
                  <c:v>6804712</c:v>
                </c:pt>
                <c:pt idx="9">
                  <c:v>11014888</c:v>
                </c:pt>
                <c:pt idx="10">
                  <c:v>1702441</c:v>
                </c:pt>
                <c:pt idx="11">
                  <c:v>2603558</c:v>
                </c:pt>
                <c:pt idx="12">
                  <c:v>2723112</c:v>
                </c:pt>
                <c:pt idx="13">
                  <c:v>2337556</c:v>
                </c:pt>
                <c:pt idx="14">
                  <c:v>2261757</c:v>
                </c:pt>
              </c:numCache>
            </c:numRef>
          </c:val>
          <c:extLst>
            <c:ext xmlns:c16="http://schemas.microsoft.com/office/drawing/2014/chart" uri="{C3380CC4-5D6E-409C-BE32-E72D297353CC}">
              <c16:uniqueId val="{00000000-8A8B-452F-BAC5-9CA4752D9D49}"/>
            </c:ext>
          </c:extLst>
        </c:ser>
        <c:dLbls>
          <c:showLegendKey val="0"/>
          <c:showVal val="0"/>
          <c:showCatName val="0"/>
          <c:showSerName val="0"/>
          <c:showPercent val="0"/>
          <c:showBubbleSize val="0"/>
        </c:dLbls>
        <c:gapWidth val="219"/>
        <c:overlap val="-27"/>
        <c:axId val="1509623303"/>
        <c:axId val="1509673479"/>
      </c:barChart>
      <c:catAx>
        <c:axId val="1509623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673479"/>
        <c:crosses val="autoZero"/>
        <c:auto val="1"/>
        <c:lblAlgn val="ctr"/>
        <c:lblOffset val="100"/>
        <c:noMultiLvlLbl val="0"/>
      </c:catAx>
      <c:valAx>
        <c:axId val="15096734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623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Rekap!$B$16</c:f>
              <c:strCache>
                <c:ptCount val="1"/>
                <c:pt idx="0">
                  <c:v>Total Complaint</c:v>
                </c:pt>
              </c:strCache>
            </c:strRef>
          </c:tx>
          <c:spPr>
            <a:solidFill>
              <a:schemeClr val="accent1"/>
            </a:solidFill>
            <a:ln>
              <a:noFill/>
            </a:ln>
            <a:effectLst/>
          </c:spPr>
          <c:invertIfNegative val="0"/>
          <c:cat>
            <c:multiLvlStrRef>
              <c:f>Rekap!$C$14:$Q$15</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2025</c:v>
                  </c:pt>
                  <c:pt idx="12">
                    <c:v>2026</c:v>
                  </c:pt>
                </c:lvl>
              </c:multiLvlStrCache>
            </c:multiLvlStrRef>
          </c:cat>
          <c:val>
            <c:numRef>
              <c:f>Rekap!$C$16:$Q$16</c:f>
              <c:numCache>
                <c:formatCode>General</c:formatCode>
                <c:ptCount val="15"/>
                <c:pt idx="0">
                  <c:v>1</c:v>
                </c:pt>
                <c:pt idx="1">
                  <c:v>7</c:v>
                </c:pt>
                <c:pt idx="2">
                  <c:v>3</c:v>
                </c:pt>
                <c:pt idx="3">
                  <c:v>4</c:v>
                </c:pt>
                <c:pt idx="4">
                  <c:v>4</c:v>
                </c:pt>
                <c:pt idx="5">
                  <c:v>2</c:v>
                </c:pt>
                <c:pt idx="6">
                  <c:v>3</c:v>
                </c:pt>
                <c:pt idx="7">
                  <c:v>1</c:v>
                </c:pt>
                <c:pt idx="8">
                  <c:v>18</c:v>
                </c:pt>
                <c:pt idx="9">
                  <c:v>10</c:v>
                </c:pt>
                <c:pt idx="10">
                  <c:v>5</c:v>
                </c:pt>
                <c:pt idx="11">
                  <c:v>6</c:v>
                </c:pt>
                <c:pt idx="12">
                  <c:v>14</c:v>
                </c:pt>
                <c:pt idx="13">
                  <c:v>7</c:v>
                </c:pt>
                <c:pt idx="14">
                  <c:v>3</c:v>
                </c:pt>
              </c:numCache>
            </c:numRef>
          </c:val>
          <c:extLst>
            <c:ext xmlns:c16="http://schemas.microsoft.com/office/drawing/2014/chart" uri="{C3380CC4-5D6E-409C-BE32-E72D297353CC}">
              <c16:uniqueId val="{00000000-F0F2-4788-BA11-856104B6B8EA}"/>
            </c:ext>
          </c:extLst>
        </c:ser>
        <c:dLbls>
          <c:showLegendKey val="0"/>
          <c:showVal val="0"/>
          <c:showCatName val="0"/>
          <c:showSerName val="0"/>
          <c:showPercent val="0"/>
          <c:showBubbleSize val="0"/>
        </c:dLbls>
        <c:gapWidth val="219"/>
        <c:overlap val="-27"/>
        <c:axId val="1508827655"/>
        <c:axId val="1508829703"/>
      </c:barChart>
      <c:catAx>
        <c:axId val="1508827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829703"/>
        <c:crosses val="autoZero"/>
        <c:auto val="1"/>
        <c:lblAlgn val="ctr"/>
        <c:lblOffset val="100"/>
        <c:noMultiLvlLbl val="0"/>
      </c:catAx>
      <c:valAx>
        <c:axId val="1508829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827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'Bisa dihapus'!$A$7:$B$7</c:f>
              <c:strCache>
                <c:ptCount val="2"/>
                <c:pt idx="1">
                  <c:v>CSAT - Overall</c:v>
                </c:pt>
              </c:strCache>
            </c:strRef>
          </c:tx>
          <c:spPr>
            <a:solidFill>
              <a:schemeClr val="accent1"/>
            </a:solidFill>
            <a:ln>
              <a:noFill/>
            </a:ln>
            <a:effectLst/>
          </c:spPr>
          <c:invertIfNegative val="0"/>
          <c:cat>
            <c:multiLvlStrRef>
              <c:f>'Bisa dihapus'!$C$5:$H$6</c:f>
              <c:multiLvlStrCache>
                <c:ptCount val="6"/>
                <c:lvl>
                  <c:pt idx="0">
                    <c:v>Oct</c:v>
                  </c:pt>
                  <c:pt idx="1">
                    <c:v>Nov</c:v>
                  </c:pt>
                  <c:pt idx="2">
                    <c:v>Dec</c:v>
                  </c:pt>
                  <c:pt idx="3">
                    <c:v>Jan</c:v>
                  </c:pt>
                  <c:pt idx="4">
                    <c:v>Feb</c:v>
                  </c:pt>
                  <c:pt idx="5">
                    <c:v>Mar</c:v>
                  </c:pt>
                </c:lvl>
                <c:lvl>
                  <c:pt idx="0">
                    <c:v>2025</c:v>
                  </c:pt>
                  <c:pt idx="3">
                    <c:v>2026</c:v>
                  </c:pt>
                </c:lvl>
              </c:multiLvlStrCache>
            </c:multiLvlStrRef>
          </c:cat>
          <c:val>
            <c:numRef>
              <c:f>'Bisa dihapus'!$C$7:$H$7</c:f>
              <c:numCache>
                <c:formatCode>General</c:formatCode>
                <c:ptCount val="6"/>
                <c:pt idx="0">
                  <c:v>4.75</c:v>
                </c:pt>
                <c:pt idx="1">
                  <c:v>3.67</c:v>
                </c:pt>
                <c:pt idx="2">
                  <c:v>4.67</c:v>
                </c:pt>
                <c:pt idx="3">
                  <c:v>1</c:v>
                </c:pt>
                <c:pt idx="4">
                  <c:v>3</c:v>
                </c:pt>
                <c:pt idx="5">
                  <c:v>4.5</c:v>
                </c:pt>
              </c:numCache>
            </c:numRef>
          </c:val>
          <c:extLst>
            <c:ext xmlns:c16="http://schemas.microsoft.com/office/drawing/2014/chart" uri="{C3380CC4-5D6E-409C-BE32-E72D297353CC}">
              <c16:uniqueId val="{00000000-699A-4E46-91D0-CF32F0766B7C}"/>
            </c:ext>
          </c:extLst>
        </c:ser>
        <c:dLbls>
          <c:showLegendKey val="0"/>
          <c:showVal val="0"/>
          <c:showCatName val="0"/>
          <c:showSerName val="0"/>
          <c:showPercent val="0"/>
          <c:showBubbleSize val="0"/>
        </c:dLbls>
        <c:gapWidth val="219"/>
        <c:overlap val="-27"/>
        <c:axId val="622921735"/>
        <c:axId val="622939655"/>
      </c:barChart>
      <c:catAx>
        <c:axId val="622921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39655"/>
        <c:crosses val="autoZero"/>
        <c:auto val="1"/>
        <c:lblAlgn val="ctr"/>
        <c:lblOffset val="100"/>
        <c:noMultiLvlLbl val="0"/>
      </c:catAx>
      <c:valAx>
        <c:axId val="622939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21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'Bisa dihapus'!$A$11:$B$11</c:f>
              <c:strCache>
                <c:ptCount val="2"/>
                <c:pt idx="1">
                  <c:v>Volume of Interaction</c:v>
                </c:pt>
              </c:strCache>
            </c:strRef>
          </c:tx>
          <c:spPr>
            <a:solidFill>
              <a:schemeClr val="accent1"/>
            </a:solidFill>
            <a:ln>
              <a:noFill/>
            </a:ln>
            <a:effectLst/>
          </c:spPr>
          <c:invertIfNegative val="0"/>
          <c:cat>
            <c:multiLvlStrRef>
              <c:f>'Bisa dihapus'!$C$9:$Q$10</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2025</c:v>
                  </c:pt>
                  <c:pt idx="12">
                    <c:v>2026</c:v>
                  </c:pt>
                </c:lvl>
              </c:multiLvlStrCache>
            </c:multiLvlStrRef>
          </c:cat>
          <c:val>
            <c:numRef>
              <c:f>'Bisa dihapus'!$C$11:$Q$11</c:f>
              <c:numCache>
                <c:formatCode>_(* #,##0_);_(* \(#,##0\);_(* "-"??_);_(@_)</c:formatCode>
                <c:ptCount val="15"/>
                <c:pt idx="0">
                  <c:v>5163</c:v>
                </c:pt>
                <c:pt idx="1">
                  <c:v>13231</c:v>
                </c:pt>
                <c:pt idx="2">
                  <c:v>6111</c:v>
                </c:pt>
                <c:pt idx="3">
                  <c:v>765544</c:v>
                </c:pt>
                <c:pt idx="4">
                  <c:v>1806885</c:v>
                </c:pt>
                <c:pt idx="5">
                  <c:v>1201571</c:v>
                </c:pt>
                <c:pt idx="6">
                  <c:v>3205926</c:v>
                </c:pt>
                <c:pt idx="7">
                  <c:v>3619231</c:v>
                </c:pt>
                <c:pt idx="8">
                  <c:v>6804712</c:v>
                </c:pt>
                <c:pt idx="9">
                  <c:v>11014888</c:v>
                </c:pt>
                <c:pt idx="10">
                  <c:v>1702441</c:v>
                </c:pt>
                <c:pt idx="11">
                  <c:v>2603558</c:v>
                </c:pt>
                <c:pt idx="12">
                  <c:v>2723112</c:v>
                </c:pt>
                <c:pt idx="13">
                  <c:v>2337556</c:v>
                </c:pt>
                <c:pt idx="14">
                  <c:v>2261757</c:v>
                </c:pt>
              </c:numCache>
            </c:numRef>
          </c:val>
          <c:extLst>
            <c:ext xmlns:c16="http://schemas.microsoft.com/office/drawing/2014/chart" uri="{C3380CC4-5D6E-409C-BE32-E72D297353CC}">
              <c16:uniqueId val="{00000000-1185-40DD-958E-357239CE49DA}"/>
            </c:ext>
          </c:extLst>
        </c:ser>
        <c:dLbls>
          <c:showLegendKey val="0"/>
          <c:showVal val="0"/>
          <c:showCatName val="0"/>
          <c:showSerName val="0"/>
          <c:showPercent val="0"/>
          <c:showBubbleSize val="0"/>
        </c:dLbls>
        <c:gapWidth val="219"/>
        <c:overlap val="-27"/>
        <c:axId val="1509623303"/>
        <c:axId val="1509673479"/>
      </c:barChart>
      <c:catAx>
        <c:axId val="1509623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673479"/>
        <c:crosses val="autoZero"/>
        <c:auto val="1"/>
        <c:lblAlgn val="ctr"/>
        <c:lblOffset val="100"/>
        <c:noMultiLvlLbl val="0"/>
      </c:catAx>
      <c:valAx>
        <c:axId val="15096734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623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'Bisa dihapus'!$B$16</c:f>
              <c:strCache>
                <c:ptCount val="1"/>
                <c:pt idx="0">
                  <c:v>Total Complaint</c:v>
                </c:pt>
              </c:strCache>
            </c:strRef>
          </c:tx>
          <c:spPr>
            <a:solidFill>
              <a:schemeClr val="accent1"/>
            </a:solidFill>
            <a:ln>
              <a:noFill/>
            </a:ln>
            <a:effectLst/>
          </c:spPr>
          <c:invertIfNegative val="0"/>
          <c:cat>
            <c:multiLvlStrRef>
              <c:f>'Bisa dihapus'!$C$14:$Q$15</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2025</c:v>
                  </c:pt>
                  <c:pt idx="12">
                    <c:v>2026</c:v>
                  </c:pt>
                </c:lvl>
              </c:multiLvlStrCache>
            </c:multiLvlStrRef>
          </c:cat>
          <c:val>
            <c:numRef>
              <c:f>'Bisa dihapus'!$C$16:$Q$16</c:f>
              <c:numCache>
                <c:formatCode>General</c:formatCode>
                <c:ptCount val="15"/>
                <c:pt idx="0">
                  <c:v>80</c:v>
                </c:pt>
                <c:pt idx="1">
                  <c:v>95</c:v>
                </c:pt>
                <c:pt idx="2">
                  <c:v>110</c:v>
                </c:pt>
                <c:pt idx="3">
                  <c:v>120</c:v>
                </c:pt>
                <c:pt idx="4">
                  <c:v>185</c:v>
                </c:pt>
                <c:pt idx="5">
                  <c:v>160</c:v>
                </c:pt>
                <c:pt idx="6">
                  <c:v>245</c:v>
                </c:pt>
                <c:pt idx="7">
                  <c:v>275</c:v>
                </c:pt>
                <c:pt idx="8">
                  <c:v>230</c:v>
                </c:pt>
                <c:pt idx="9">
                  <c:v>210</c:v>
                </c:pt>
                <c:pt idx="10">
                  <c:v>195</c:v>
                </c:pt>
                <c:pt idx="11">
                  <c:v>180</c:v>
                </c:pt>
                <c:pt idx="12">
                  <c:v>190</c:v>
                </c:pt>
                <c:pt idx="13">
                  <c:v>205</c:v>
                </c:pt>
                <c:pt idx="14">
                  <c:v>220</c:v>
                </c:pt>
              </c:numCache>
            </c:numRef>
          </c:val>
          <c:extLst>
            <c:ext xmlns:c16="http://schemas.microsoft.com/office/drawing/2014/chart" uri="{C3380CC4-5D6E-409C-BE32-E72D297353CC}">
              <c16:uniqueId val="{00000000-3E99-421D-AFE2-0BD350082180}"/>
            </c:ext>
          </c:extLst>
        </c:ser>
        <c:dLbls>
          <c:showLegendKey val="0"/>
          <c:showVal val="0"/>
          <c:showCatName val="0"/>
          <c:showSerName val="0"/>
          <c:showPercent val="0"/>
          <c:showBubbleSize val="0"/>
        </c:dLbls>
        <c:gapWidth val="219"/>
        <c:overlap val="-27"/>
        <c:axId val="1508827655"/>
        <c:axId val="1508829703"/>
      </c:barChart>
      <c:catAx>
        <c:axId val="1508827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829703"/>
        <c:crosses val="autoZero"/>
        <c:auto val="1"/>
        <c:lblAlgn val="ctr"/>
        <c:lblOffset val="100"/>
        <c:noMultiLvlLbl val="0"/>
      </c:catAx>
      <c:valAx>
        <c:axId val="1508829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827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35</xdr:row>
      <xdr:rowOff>0</xdr:rowOff>
    </xdr:from>
    <xdr:to>
      <xdr:col>4</xdr:col>
      <xdr:colOff>609600</xdr:colOff>
      <xdr:row>46</xdr:row>
      <xdr:rowOff>9525</xdr:rowOff>
    </xdr:to>
    <xdr:pic>
      <xdr:nvPicPr>
        <xdr:cNvPr id="2" name="">
          <a:extLst>
            <a:ext uri="{FF2B5EF4-FFF2-40B4-BE49-F238E27FC236}">
              <a16:creationId xmlns:a16="http://schemas.microsoft.com/office/drawing/2014/main" id="{60D27266-FB57-A257-6235-76B5C3B75A68}"/>
            </a:ext>
          </a:extLst>
        </xdr:cNvPr>
        <xdr:cNvPicPr>
          <a:picLocks noChangeAspect="1"/>
        </xdr:cNvPicPr>
      </xdr:nvPicPr>
      <xdr:blipFill>
        <a:blip xmlns:r="http://schemas.openxmlformats.org/officeDocument/2006/relationships" r:embed="rId1"/>
        <a:stretch>
          <a:fillRect/>
        </a:stretch>
      </xdr:blipFill>
      <xdr:spPr>
        <a:xfrm>
          <a:off x="762000" y="9563100"/>
          <a:ext cx="4572000" cy="2647950"/>
        </a:xfrm>
        <a:prstGeom prst="rect">
          <a:avLst/>
        </a:prstGeom>
      </xdr:spPr>
    </xdr:pic>
    <xdr:clientData/>
  </xdr:twoCellAnchor>
  <xdr:twoCellAnchor editAs="oneCell">
    <xdr:from>
      <xdr:col>6</xdr:col>
      <xdr:colOff>0</xdr:colOff>
      <xdr:row>35</xdr:row>
      <xdr:rowOff>0</xdr:rowOff>
    </xdr:from>
    <xdr:to>
      <xdr:col>10</xdr:col>
      <xdr:colOff>466725</xdr:colOff>
      <xdr:row>46</xdr:row>
      <xdr:rowOff>66675</xdr:rowOff>
    </xdr:to>
    <xdr:pic>
      <xdr:nvPicPr>
        <xdr:cNvPr id="3" name="">
          <a:extLst>
            <a:ext uri="{FF2B5EF4-FFF2-40B4-BE49-F238E27FC236}">
              <a16:creationId xmlns:a16="http://schemas.microsoft.com/office/drawing/2014/main" id="{BB248DA4-17C5-6CEA-727E-FF92E0F95794}"/>
            </a:ext>
            <a:ext uri="{147F2762-F138-4A5C-976F-8EAC2B608ADB}">
              <a16:predDERef xmlns:a16="http://schemas.microsoft.com/office/drawing/2014/main" pred="{60D27266-FB57-A257-6235-76B5C3B75A68}"/>
            </a:ext>
          </a:extLst>
        </xdr:cNvPr>
        <xdr:cNvPicPr>
          <a:picLocks noChangeAspect="1"/>
        </xdr:cNvPicPr>
      </xdr:nvPicPr>
      <xdr:blipFill>
        <a:blip xmlns:r="http://schemas.openxmlformats.org/officeDocument/2006/relationships" r:embed="rId2"/>
        <a:stretch>
          <a:fillRect/>
        </a:stretch>
      </xdr:blipFill>
      <xdr:spPr>
        <a:xfrm>
          <a:off x="5705475" y="9563100"/>
          <a:ext cx="4572000" cy="2705100"/>
        </a:xfrm>
        <a:prstGeom prst="rect">
          <a:avLst/>
        </a:prstGeom>
      </xdr:spPr>
    </xdr:pic>
    <xdr:clientData/>
  </xdr:twoCellAnchor>
  <xdr:twoCellAnchor editAs="oneCell">
    <xdr:from>
      <xdr:col>10</xdr:col>
      <xdr:colOff>781050</xdr:colOff>
      <xdr:row>34</xdr:row>
      <xdr:rowOff>123825</xdr:rowOff>
    </xdr:from>
    <xdr:to>
      <xdr:col>14</xdr:col>
      <xdr:colOff>552450</xdr:colOff>
      <xdr:row>45</xdr:row>
      <xdr:rowOff>104775</xdr:rowOff>
    </xdr:to>
    <xdr:pic>
      <xdr:nvPicPr>
        <xdr:cNvPr id="5" name="Picture 3">
          <a:extLst>
            <a:ext uri="{FF2B5EF4-FFF2-40B4-BE49-F238E27FC236}">
              <a16:creationId xmlns:a16="http://schemas.microsoft.com/office/drawing/2014/main" id="{DDCFCC34-74CA-ABB7-A9A6-D5B4CD987103}"/>
            </a:ext>
            <a:ext uri="{147F2762-F138-4A5C-976F-8EAC2B608ADB}">
              <a16:predDERef xmlns:a16="http://schemas.microsoft.com/office/drawing/2014/main" pred="{BB248DA4-17C5-6CEA-727E-FF92E0F95794}"/>
            </a:ext>
          </a:extLst>
        </xdr:cNvPr>
        <xdr:cNvPicPr>
          <a:picLocks noChangeAspect="1"/>
        </xdr:cNvPicPr>
      </xdr:nvPicPr>
      <xdr:blipFill>
        <a:blip xmlns:r="http://schemas.openxmlformats.org/officeDocument/2006/relationships" r:embed="rId3"/>
        <a:stretch>
          <a:fillRect/>
        </a:stretch>
      </xdr:blipFill>
      <xdr:spPr>
        <a:xfrm>
          <a:off x="10591800" y="9439275"/>
          <a:ext cx="4572000" cy="2657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466725</xdr:colOff>
      <xdr:row>1</xdr:row>
      <xdr:rowOff>133350</xdr:rowOff>
    </xdr:from>
    <xdr:to>
      <xdr:col>22</xdr:col>
      <xdr:colOff>485775</xdr:colOff>
      <xdr:row>10</xdr:row>
      <xdr:rowOff>123825</xdr:rowOff>
    </xdr:to>
    <xdr:graphicFrame macro="">
      <xdr:nvGraphicFramePr>
        <xdr:cNvPr id="5" name="Chart 1">
          <a:extLst>
            <a:ext uri="{FF2B5EF4-FFF2-40B4-BE49-F238E27FC236}">
              <a16:creationId xmlns:a16="http://schemas.microsoft.com/office/drawing/2014/main" id="{1FBF978E-81E5-4019-B207-5691224F2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438150</xdr:colOff>
      <xdr:row>11</xdr:row>
      <xdr:rowOff>9525</xdr:rowOff>
    </xdr:from>
    <xdr:to>
      <xdr:col>24</xdr:col>
      <xdr:colOff>209550</xdr:colOff>
      <xdr:row>24</xdr:row>
      <xdr:rowOff>28575</xdr:rowOff>
    </xdr:to>
    <xdr:graphicFrame macro="">
      <xdr:nvGraphicFramePr>
        <xdr:cNvPr id="6" name="Chart 2">
          <a:extLst>
            <a:ext uri="{FF2B5EF4-FFF2-40B4-BE49-F238E27FC236}">
              <a16:creationId xmlns:a16="http://schemas.microsoft.com/office/drawing/2014/main" id="{FCED3C76-DE02-483F-BEB9-9ECCB1653C35}"/>
            </a:ext>
            <a:ext uri="{147F2762-F138-4A5C-976F-8EAC2B608ADB}">
              <a16:predDERef xmlns:a16="http://schemas.microsoft.com/office/drawing/2014/main" pred="{1FBF978E-81E5-4019-B207-5691224F2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1876425</xdr:colOff>
      <xdr:row>17</xdr:row>
      <xdr:rowOff>190500</xdr:rowOff>
    </xdr:from>
    <xdr:to>
      <xdr:col>8</xdr:col>
      <xdr:colOff>419100</xdr:colOff>
      <xdr:row>31</xdr:row>
      <xdr:rowOff>0</xdr:rowOff>
    </xdr:to>
    <xdr:graphicFrame macro="">
      <xdr:nvGraphicFramePr>
        <xdr:cNvPr id="7" name="Chart 3">
          <a:extLst>
            <a:ext uri="{FF2B5EF4-FFF2-40B4-BE49-F238E27FC236}">
              <a16:creationId xmlns:a16="http://schemas.microsoft.com/office/drawing/2014/main" id="{AD3FA453-4B80-4D84-9FA7-56F3049B38EB}"/>
            </a:ext>
            <a:ext uri="{147F2762-F138-4A5C-976F-8EAC2B608ADB}">
              <a16:predDERef xmlns:a16="http://schemas.microsoft.com/office/drawing/2014/main" pred="{FCED3C76-DE02-483F-BEB9-9ECCB1653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466725</xdr:colOff>
      <xdr:row>1</xdr:row>
      <xdr:rowOff>133350</xdr:rowOff>
    </xdr:from>
    <xdr:to>
      <xdr:col>22</xdr:col>
      <xdr:colOff>485775</xdr:colOff>
      <xdr:row>10</xdr:row>
      <xdr:rowOff>123825</xdr:rowOff>
    </xdr:to>
    <xdr:graphicFrame macro="">
      <xdr:nvGraphicFramePr>
        <xdr:cNvPr id="3" name="Chart 1">
          <a:extLst>
            <a:ext uri="{FF2B5EF4-FFF2-40B4-BE49-F238E27FC236}">
              <a16:creationId xmlns:a16="http://schemas.microsoft.com/office/drawing/2014/main" id="{582E2C7D-E84D-3D74-0D3F-3ABD3E91A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438150</xdr:colOff>
      <xdr:row>11</xdr:row>
      <xdr:rowOff>9525</xdr:rowOff>
    </xdr:from>
    <xdr:to>
      <xdr:col>24</xdr:col>
      <xdr:colOff>209550</xdr:colOff>
      <xdr:row>24</xdr:row>
      <xdr:rowOff>28575</xdr:rowOff>
    </xdr:to>
    <xdr:graphicFrame macro="">
      <xdr:nvGraphicFramePr>
        <xdr:cNvPr id="6" name="Chart 2">
          <a:extLst>
            <a:ext uri="{FF2B5EF4-FFF2-40B4-BE49-F238E27FC236}">
              <a16:creationId xmlns:a16="http://schemas.microsoft.com/office/drawing/2014/main" id="{6CF16CF0-579B-6B6E-552D-0AE7AEB86FCB}"/>
            </a:ext>
            <a:ext uri="{147F2762-F138-4A5C-976F-8EAC2B608ADB}">
              <a16:predDERef xmlns:a16="http://schemas.microsoft.com/office/drawing/2014/main" pred="{582E2C7D-E84D-3D74-0D3F-3ABD3E91A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57150</xdr:colOff>
      <xdr:row>17</xdr:row>
      <xdr:rowOff>161925</xdr:rowOff>
    </xdr:from>
    <xdr:to>
      <xdr:col>16</xdr:col>
      <xdr:colOff>514350</xdr:colOff>
      <xdr:row>30</xdr:row>
      <xdr:rowOff>180975</xdr:rowOff>
    </xdr:to>
    <xdr:graphicFrame macro="">
      <xdr:nvGraphicFramePr>
        <xdr:cNvPr id="7" name="Chart 3">
          <a:extLst>
            <a:ext uri="{FF2B5EF4-FFF2-40B4-BE49-F238E27FC236}">
              <a16:creationId xmlns:a16="http://schemas.microsoft.com/office/drawing/2014/main" id="{5C451FC9-8A08-05E7-5DA3-72F9A23B1687}"/>
            </a:ext>
            <a:ext uri="{147F2762-F138-4A5C-976F-8EAC2B608ADB}">
              <a16:predDERef xmlns:a16="http://schemas.microsoft.com/office/drawing/2014/main" pred="{6CF16CF0-579B-6B6E-552D-0AE7AEB86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journeygroup-my.sharepoint.com/:x:/g/personal/cx_injourney_id/IQBWzSqU9QDrUNy2prbMgXzfAW-J4ysM73bBhVFq6kWq6p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277E9-0F94-4834-9FB4-54B9FA0DAD2F}">
  <sheetPr>
    <tabColor theme="8"/>
  </sheetPr>
  <dimension ref="A2:X40"/>
  <sheetViews>
    <sheetView showGridLines="0" zoomScale="80" zoomScaleNormal="80" workbookViewId="0">
      <pane xSplit="4" topLeftCell="E20" activePane="topRight" state="frozen"/>
      <selection pane="topRight" activeCell="W13" sqref="W13"/>
    </sheetView>
  </sheetViews>
  <sheetFormatPr defaultColWidth="8.75" defaultRowHeight="16.5" customHeight="1"/>
  <cols>
    <col min="1" max="1" width="5" style="9" customWidth="1"/>
    <col min="2" max="2" width="5" style="6" customWidth="1"/>
    <col min="3" max="3" width="32.625" style="6" customWidth="1"/>
    <col min="4" max="4" width="19.375" style="6" customWidth="1"/>
    <col min="5" max="7" width="8.75" style="6"/>
    <col min="8" max="8" width="14.125" style="6" bestFit="1" customWidth="1"/>
    <col min="9" max="13" width="15.5" style="6" bestFit="1" customWidth="1"/>
    <col min="14" max="14" width="16.5" style="6" bestFit="1" customWidth="1"/>
    <col min="15" max="16" width="15.5" style="6" bestFit="1" customWidth="1"/>
    <col min="17" max="17" width="16.5" style="6" bestFit="1" customWidth="1"/>
    <col min="18" max="20" width="15.5" style="7" bestFit="1" customWidth="1"/>
    <col min="21" max="22" width="15.5" style="7" customWidth="1"/>
    <col min="23" max="23" width="14.125" style="6" customWidth="1"/>
    <col min="24" max="24" width="18.125" style="6" customWidth="1"/>
    <col min="25" max="16384" width="8.75" style="6"/>
  </cols>
  <sheetData>
    <row r="2" spans="1:23" ht="30.75">
      <c r="A2" s="4" t="s">
        <v>0</v>
      </c>
      <c r="B2" s="5"/>
      <c r="C2" s="5"/>
    </row>
    <row r="3" spans="1:23" ht="30.75">
      <c r="A3" s="8" t="s">
        <v>1</v>
      </c>
      <c r="B3" s="5"/>
      <c r="C3" s="5"/>
    </row>
    <row r="4" spans="1:23" ht="30.75">
      <c r="A4" s="4" t="s">
        <v>2</v>
      </c>
      <c r="B4" s="5"/>
      <c r="C4" s="5"/>
    </row>
    <row r="5" spans="1:23" ht="18.75">
      <c r="B5" s="10"/>
      <c r="D5" s="9"/>
    </row>
    <row r="6" spans="1:23" s="10" customFormat="1" ht="19.5">
      <c r="A6" s="335" t="s">
        <v>3</v>
      </c>
      <c r="B6" s="335" t="s">
        <v>4</v>
      </c>
      <c r="C6" s="335"/>
      <c r="D6" s="335" t="s">
        <v>5</v>
      </c>
      <c r="E6" s="333">
        <v>2025</v>
      </c>
      <c r="F6" s="333"/>
      <c r="G6" s="333"/>
      <c r="H6" s="333"/>
      <c r="I6" s="333"/>
      <c r="J6" s="333"/>
      <c r="K6" s="333"/>
      <c r="L6" s="333"/>
      <c r="M6" s="333"/>
      <c r="N6" s="333"/>
      <c r="O6" s="333"/>
      <c r="P6" s="333"/>
      <c r="Q6" s="336"/>
      <c r="R6" s="333">
        <v>2026</v>
      </c>
      <c r="S6" s="333"/>
      <c r="T6" s="333"/>
      <c r="U6" s="333"/>
      <c r="V6" s="333"/>
      <c r="W6" s="333"/>
    </row>
    <row r="7" spans="1:23" s="10" customFormat="1" ht="19.5">
      <c r="A7" s="335"/>
      <c r="B7" s="335"/>
      <c r="C7" s="335"/>
      <c r="D7" s="335"/>
      <c r="E7" s="11" t="s">
        <v>6</v>
      </c>
      <c r="F7" s="11" t="s">
        <v>7</v>
      </c>
      <c r="G7" s="11" t="s">
        <v>8</v>
      </c>
      <c r="H7" s="11" t="s">
        <v>9</v>
      </c>
      <c r="I7" s="11" t="s">
        <v>10</v>
      </c>
      <c r="J7" s="11" t="s">
        <v>11</v>
      </c>
      <c r="K7" s="11" t="s">
        <v>12</v>
      </c>
      <c r="L7" s="11" t="s">
        <v>13</v>
      </c>
      <c r="M7" s="11" t="s">
        <v>14</v>
      </c>
      <c r="N7" s="11" t="s">
        <v>15</v>
      </c>
      <c r="O7" s="11" t="s">
        <v>16</v>
      </c>
      <c r="P7" s="11" t="s">
        <v>17</v>
      </c>
      <c r="Q7" s="59" t="s">
        <v>18</v>
      </c>
      <c r="R7" s="79" t="s">
        <v>6</v>
      </c>
      <c r="S7" s="79" t="s">
        <v>7</v>
      </c>
      <c r="T7" s="79" t="s">
        <v>8</v>
      </c>
      <c r="U7" s="79" t="s">
        <v>9</v>
      </c>
      <c r="V7" s="62" t="s">
        <v>19</v>
      </c>
      <c r="W7" s="79" t="s">
        <v>20</v>
      </c>
    </row>
    <row r="8" spans="1:23" s="10" customFormat="1" ht="19.5">
      <c r="A8" s="12">
        <v>1</v>
      </c>
      <c r="B8" s="13" t="s">
        <v>21</v>
      </c>
      <c r="C8" s="14"/>
      <c r="D8" s="14"/>
      <c r="E8" s="11"/>
      <c r="F8" s="11"/>
      <c r="G8" s="11"/>
      <c r="H8" s="11"/>
      <c r="I8" s="11"/>
      <c r="J8" s="11"/>
      <c r="K8" s="11"/>
      <c r="L8" s="11"/>
      <c r="M8" s="11"/>
      <c r="N8" s="11"/>
      <c r="O8" s="11"/>
      <c r="P8" s="11"/>
      <c r="Q8" s="11"/>
      <c r="R8" s="60"/>
      <c r="S8" s="60"/>
      <c r="T8" s="61"/>
      <c r="U8" s="60"/>
      <c r="V8" s="61"/>
      <c r="W8" s="38"/>
    </row>
    <row r="9" spans="1:23" s="10" customFormat="1" ht="19.5">
      <c r="A9" s="12"/>
      <c r="B9" s="12" t="s">
        <v>22</v>
      </c>
      <c r="C9" s="14" t="s">
        <v>23</v>
      </c>
      <c r="D9" s="12" t="s">
        <v>24</v>
      </c>
      <c r="E9" s="338"/>
      <c r="F9" s="339"/>
      <c r="G9" s="339"/>
      <c r="H9" s="339"/>
      <c r="I9" s="339"/>
      <c r="J9" s="339"/>
      <c r="K9" s="339"/>
      <c r="L9" s="339"/>
      <c r="M9" s="340"/>
      <c r="N9" s="12">
        <v>4.75</v>
      </c>
      <c r="O9" s="12">
        <v>3.67</v>
      </c>
      <c r="P9" s="12">
        <v>4.67</v>
      </c>
      <c r="Q9" s="15">
        <f>AVERAGE(N9:P9)</f>
        <v>4.3633333333333333</v>
      </c>
      <c r="R9" s="12">
        <v>1</v>
      </c>
      <c r="S9" s="12">
        <v>3</v>
      </c>
      <c r="T9" s="80">
        <v>4.5</v>
      </c>
      <c r="U9" s="81">
        <v>4.5</v>
      </c>
      <c r="V9" s="82">
        <v>4</v>
      </c>
      <c r="W9" s="83">
        <v>5</v>
      </c>
    </row>
    <row r="10" spans="1:23" s="10" customFormat="1" ht="19.5">
      <c r="A10" s="12"/>
      <c r="B10" s="12" t="s">
        <v>25</v>
      </c>
      <c r="C10" s="14" t="s">
        <v>26</v>
      </c>
      <c r="D10" s="12" t="s">
        <v>24</v>
      </c>
      <c r="E10" s="341"/>
      <c r="F10" s="342"/>
      <c r="G10" s="342"/>
      <c r="H10" s="342"/>
      <c r="I10" s="342"/>
      <c r="J10" s="342"/>
      <c r="K10" s="342"/>
      <c r="L10" s="342"/>
      <c r="M10" s="343"/>
      <c r="N10" s="12">
        <v>4.75</v>
      </c>
      <c r="O10" s="12">
        <v>4</v>
      </c>
      <c r="P10" s="12">
        <v>4.67</v>
      </c>
      <c r="Q10" s="15">
        <f t="shared" ref="Q10:Q12" si="0">AVERAGE(N10:P10)</f>
        <v>4.4733333333333336</v>
      </c>
      <c r="R10" s="12">
        <v>1</v>
      </c>
      <c r="S10" s="12">
        <v>3</v>
      </c>
      <c r="T10" s="80">
        <v>5</v>
      </c>
      <c r="U10" s="81">
        <v>4.5</v>
      </c>
      <c r="V10" s="82">
        <v>5</v>
      </c>
      <c r="W10" s="83">
        <v>5</v>
      </c>
    </row>
    <row r="11" spans="1:23" s="10" customFormat="1" ht="19.5">
      <c r="A11" s="12"/>
      <c r="B11" s="12" t="s">
        <v>27</v>
      </c>
      <c r="C11" s="14" t="s">
        <v>28</v>
      </c>
      <c r="D11" s="12" t="s">
        <v>24</v>
      </c>
      <c r="E11" s="341"/>
      <c r="F11" s="342"/>
      <c r="G11" s="342"/>
      <c r="H11" s="342"/>
      <c r="I11" s="342"/>
      <c r="J11" s="342"/>
      <c r="K11" s="342"/>
      <c r="L11" s="342"/>
      <c r="M11" s="343"/>
      <c r="N11" s="12">
        <v>4.75</v>
      </c>
      <c r="O11" s="12">
        <v>4.33</v>
      </c>
      <c r="P11" s="12">
        <v>4.33</v>
      </c>
      <c r="Q11" s="15">
        <f t="shared" si="0"/>
        <v>4.47</v>
      </c>
      <c r="R11" s="12">
        <v>1</v>
      </c>
      <c r="S11" s="12">
        <v>3</v>
      </c>
      <c r="T11" s="80">
        <v>4.5</v>
      </c>
      <c r="U11" s="81">
        <v>4.5</v>
      </c>
      <c r="V11" s="82">
        <v>5</v>
      </c>
      <c r="W11" s="83">
        <v>5</v>
      </c>
    </row>
    <row r="12" spans="1:23" s="10" customFormat="1" ht="19.5">
      <c r="A12" s="12"/>
      <c r="B12" s="12" t="s">
        <v>29</v>
      </c>
      <c r="C12" s="14" t="s">
        <v>30</v>
      </c>
      <c r="D12" s="12" t="s">
        <v>24</v>
      </c>
      <c r="E12" s="344"/>
      <c r="F12" s="345"/>
      <c r="G12" s="345"/>
      <c r="H12" s="345"/>
      <c r="I12" s="345"/>
      <c r="J12" s="345"/>
      <c r="K12" s="345"/>
      <c r="L12" s="345"/>
      <c r="M12" s="346"/>
      <c r="N12" s="12">
        <v>4.75</v>
      </c>
      <c r="O12" s="12">
        <v>3.67</v>
      </c>
      <c r="P12" s="12">
        <v>4.33</v>
      </c>
      <c r="Q12" s="15">
        <f t="shared" si="0"/>
        <v>4.25</v>
      </c>
      <c r="R12" s="12">
        <v>1</v>
      </c>
      <c r="S12" s="12">
        <v>3</v>
      </c>
      <c r="T12" s="80">
        <v>4.5</v>
      </c>
      <c r="U12" s="81">
        <v>4.5</v>
      </c>
      <c r="V12" s="82">
        <v>5</v>
      </c>
      <c r="W12" s="83">
        <v>5</v>
      </c>
    </row>
    <row r="13" spans="1:23" ht="19.5">
      <c r="A13" s="12">
        <v>2</v>
      </c>
      <c r="B13" s="13" t="s">
        <v>31</v>
      </c>
      <c r="C13" s="14"/>
      <c r="D13" s="14"/>
      <c r="E13" s="14"/>
      <c r="F13" s="14"/>
      <c r="G13" s="14"/>
      <c r="H13" s="14"/>
      <c r="I13" s="14"/>
      <c r="J13" s="14"/>
      <c r="K13" s="14"/>
      <c r="L13" s="14"/>
      <c r="M13" s="14"/>
      <c r="N13" s="14"/>
      <c r="O13" s="14"/>
      <c r="P13" s="14"/>
      <c r="Q13" s="14"/>
      <c r="R13" s="16"/>
      <c r="S13" s="16"/>
      <c r="T13" s="45"/>
      <c r="U13" s="16"/>
      <c r="V13" s="45"/>
      <c r="W13" s="84"/>
    </row>
    <row r="14" spans="1:23" ht="19.5">
      <c r="A14" s="12"/>
      <c r="B14" s="12" t="s">
        <v>22</v>
      </c>
      <c r="C14" s="14" t="s">
        <v>32</v>
      </c>
      <c r="D14" s="12" t="s">
        <v>33</v>
      </c>
      <c r="E14" s="17">
        <f>2402+1552+613+596+50237</f>
        <v>55400</v>
      </c>
      <c r="F14" s="17">
        <f>7690+302+5009+230+35599</f>
        <v>48830</v>
      </c>
      <c r="G14" s="17">
        <f>3504+591+1403+613+56209</f>
        <v>62320</v>
      </c>
      <c r="H14" s="17">
        <f>758000+2398+687+1022+3437</f>
        <v>765544</v>
      </c>
      <c r="I14" s="17">
        <f>1800000+2603+571+3455+256</f>
        <v>1806885</v>
      </c>
      <c r="J14" s="17">
        <f>1200000+321+597+248+405</f>
        <v>1201571</v>
      </c>
      <c r="K14" s="17">
        <f>3200000+2637+410+2681+198</f>
        <v>3205926</v>
      </c>
      <c r="L14" s="17">
        <f>3000000+2535+616446+250</f>
        <v>3619231</v>
      </c>
      <c r="M14" s="17">
        <f>6800000+1734+87+2694+197</f>
        <v>6804712</v>
      </c>
      <c r="N14" s="17">
        <f>11000000+2450+935+11305+198</f>
        <v>11014888</v>
      </c>
      <c r="O14" s="17">
        <f>1700000+1502+124+486+329</f>
        <v>1702441</v>
      </c>
      <c r="P14" s="17">
        <f>2600000+1311+306+1737+204</f>
        <v>2603558</v>
      </c>
      <c r="Q14" s="17">
        <f>SUM(E14:P14)</f>
        <v>32891306</v>
      </c>
      <c r="R14" s="18">
        <f>2500000+98372+4230+120194+316</f>
        <v>2723112</v>
      </c>
      <c r="S14" s="18">
        <f>2200000+94633+1432+41062+429</f>
        <v>2337556</v>
      </c>
      <c r="T14" s="46">
        <f>2200000+39684+3019+17328+1726</f>
        <v>2261757</v>
      </c>
      <c r="U14" s="18">
        <f>62792+21475+4677+17568+1639</f>
        <v>108151</v>
      </c>
      <c r="V14" s="46">
        <f>72818+55783+106423+15324+1283</f>
        <v>251631</v>
      </c>
      <c r="W14" s="85">
        <f>115993+21142+1425+5839+1555</f>
        <v>145954</v>
      </c>
    </row>
    <row r="15" spans="1:23" ht="19.5">
      <c r="A15" s="12"/>
      <c r="B15" s="12" t="s">
        <v>25</v>
      </c>
      <c r="C15" s="14" t="s">
        <v>34</v>
      </c>
      <c r="D15" s="12" t="s">
        <v>35</v>
      </c>
      <c r="E15" s="22">
        <v>5.21E-2</v>
      </c>
      <c r="F15" s="22">
        <v>8.2100000000000006E-2</v>
      </c>
      <c r="G15" s="22">
        <v>3.5099999999999999E-2</v>
      </c>
      <c r="H15" s="22">
        <v>0.15970000000000001</v>
      </c>
      <c r="I15" s="22">
        <v>0.13189999999999999</v>
      </c>
      <c r="J15" s="22">
        <v>0.1113</v>
      </c>
      <c r="K15" s="22">
        <v>7.9200000000000007E-2</v>
      </c>
      <c r="L15" s="22">
        <v>0.1016</v>
      </c>
      <c r="M15" s="22">
        <v>0.1678</v>
      </c>
      <c r="N15" s="22">
        <v>0.1726</v>
      </c>
      <c r="O15" s="21">
        <v>0.2</v>
      </c>
      <c r="P15" s="22">
        <v>0.27910000000000001</v>
      </c>
      <c r="Q15" s="22">
        <v>0.25929999999999997</v>
      </c>
      <c r="R15" s="19">
        <f>(69.53%+84.31%+23.59%)/3</f>
        <v>0.59143333333333337</v>
      </c>
      <c r="S15" s="19">
        <f>(3.35%+58.57%+100%+6.31%)/4</f>
        <v>0.42057499999999998</v>
      </c>
      <c r="T15" s="47">
        <f>(13.03%+80.17%+21.86%)/3</f>
        <v>0.38353333333333328</v>
      </c>
      <c r="U15" s="19">
        <f>(72.32%+43.37%+59.57%+34.15%+29.52%)/5</f>
        <v>0.4778599999999999</v>
      </c>
      <c r="V15" s="47">
        <f>(48.78%+47.19%+18.75%+16.67%+21.33%)/5</f>
        <v>0.30544000000000004</v>
      </c>
      <c r="W15" s="86">
        <f>(27.82%+29.44%+56%+81.82%+24.31%)/5</f>
        <v>0.43878000000000006</v>
      </c>
    </row>
    <row r="16" spans="1:23" ht="19.5">
      <c r="A16" s="12"/>
      <c r="B16" s="12" t="s">
        <v>27</v>
      </c>
      <c r="C16" s="14" t="s">
        <v>36</v>
      </c>
      <c r="D16" s="12" t="s">
        <v>37</v>
      </c>
      <c r="E16" s="16" t="s">
        <v>38</v>
      </c>
      <c r="F16" s="16" t="s">
        <v>38</v>
      </c>
      <c r="G16" s="16" t="s">
        <v>38</v>
      </c>
      <c r="H16" s="16" t="s">
        <v>38</v>
      </c>
      <c r="I16" s="16" t="s">
        <v>38</v>
      </c>
      <c r="J16" s="16" t="s">
        <v>38</v>
      </c>
      <c r="K16" s="16" t="s">
        <v>38</v>
      </c>
      <c r="L16" s="16" t="s">
        <v>38</v>
      </c>
      <c r="M16" s="16" t="s">
        <v>38</v>
      </c>
      <c r="N16" s="16" t="s">
        <v>38</v>
      </c>
      <c r="O16" s="16" t="s">
        <v>38</v>
      </c>
      <c r="P16" s="16" t="s">
        <v>38</v>
      </c>
      <c r="Q16" s="16" t="s">
        <v>38</v>
      </c>
      <c r="R16" s="16">
        <f>(49.6+2.5)/2</f>
        <v>26.05</v>
      </c>
      <c r="S16" s="51">
        <f>(18.7+0.1+4.2)/3</f>
        <v>7.666666666666667</v>
      </c>
      <c r="T16" s="45">
        <f>(9.6+8)/2</f>
        <v>8.8000000000000007</v>
      </c>
      <c r="U16" s="16">
        <f>(13.8+9.3+13.2+0.5)/4</f>
        <v>9.1999999999999993</v>
      </c>
      <c r="V16" s="52">
        <f>(21.1+9.4+24.7+11.3)/4</f>
        <v>16.625</v>
      </c>
      <c r="W16" s="84">
        <f>(10.8+2.8+14)/3</f>
        <v>9.2000000000000011</v>
      </c>
    </row>
    <row r="17" spans="1:23" ht="19.5">
      <c r="A17" s="12"/>
      <c r="B17" s="12" t="s">
        <v>29</v>
      </c>
      <c r="C17" s="14" t="s">
        <v>39</v>
      </c>
      <c r="D17" s="12" t="s">
        <v>40</v>
      </c>
      <c r="E17" s="14">
        <v>0.11</v>
      </c>
      <c r="F17" s="14">
        <v>0.03</v>
      </c>
      <c r="G17" s="14">
        <v>0.08</v>
      </c>
      <c r="H17" s="14">
        <v>0.03</v>
      </c>
      <c r="I17" s="14">
        <v>0.02</v>
      </c>
      <c r="J17" s="14">
        <v>0.01</v>
      </c>
      <c r="K17" s="14">
        <v>0.03</v>
      </c>
      <c r="L17" s="14">
        <v>0.02</v>
      </c>
      <c r="M17" s="14">
        <v>0.01</v>
      </c>
      <c r="N17" s="14">
        <v>0.01</v>
      </c>
      <c r="O17" s="14">
        <v>0.02</v>
      </c>
      <c r="P17" s="14">
        <v>0.05</v>
      </c>
      <c r="Q17" s="14">
        <v>0.02</v>
      </c>
      <c r="R17" s="51">
        <f>(0.001+0.11+0.04)/3</f>
        <v>5.0333333333333334E-2</v>
      </c>
      <c r="S17" s="51">
        <f>(0.03+0.1+1+0.1)/4</f>
        <v>0.3075</v>
      </c>
      <c r="T17" s="52">
        <f>(0.01+0.04+0.06)/3</f>
        <v>3.6666666666666667E-2</v>
      </c>
      <c r="U17" s="51">
        <f>(0.08+0.15+0.21+0.06+0.06)/5</f>
        <v>0.11199999999999999</v>
      </c>
      <c r="V17" s="45">
        <f>(0.05+0.15+0.22+0.38+0.04)/5</f>
        <v>0.16800000000000001</v>
      </c>
      <c r="W17" s="84">
        <f>(0.04+0.05+0.25+0.18)/4</f>
        <v>0.13</v>
      </c>
    </row>
    <row r="18" spans="1:23" ht="19.5">
      <c r="A18" s="12">
        <v>3</v>
      </c>
      <c r="B18" s="13" t="s">
        <v>41</v>
      </c>
      <c r="C18" s="14"/>
      <c r="D18" s="14"/>
      <c r="E18" s="14"/>
      <c r="F18" s="14"/>
      <c r="G18" s="14"/>
      <c r="H18" s="14"/>
      <c r="I18" s="14"/>
      <c r="J18" s="14"/>
      <c r="K18" s="14"/>
      <c r="L18" s="14"/>
      <c r="M18" s="14"/>
      <c r="N18" s="14"/>
      <c r="O18" s="14"/>
      <c r="P18" s="14"/>
      <c r="Q18" s="14"/>
      <c r="R18" s="16"/>
      <c r="S18" s="16"/>
      <c r="T18" s="45"/>
      <c r="U18" s="16"/>
      <c r="V18" s="45"/>
      <c r="W18" s="84"/>
    </row>
    <row r="19" spans="1:23" ht="19.5">
      <c r="A19" s="12"/>
      <c r="B19" s="12" t="s">
        <v>22</v>
      </c>
      <c r="C19" s="14" t="s">
        <v>42</v>
      </c>
      <c r="D19" s="12" t="s">
        <v>33</v>
      </c>
      <c r="E19" s="14">
        <v>1</v>
      </c>
      <c r="F19" s="14">
        <v>7</v>
      </c>
      <c r="G19" s="14">
        <v>3</v>
      </c>
      <c r="H19" s="14">
        <v>4</v>
      </c>
      <c r="I19" s="14">
        <v>4</v>
      </c>
      <c r="J19" s="14">
        <v>2</v>
      </c>
      <c r="K19" s="14">
        <v>3</v>
      </c>
      <c r="L19" s="14">
        <v>1</v>
      </c>
      <c r="M19" s="14">
        <v>18</v>
      </c>
      <c r="N19" s="14">
        <v>10</v>
      </c>
      <c r="O19" s="14">
        <v>5</v>
      </c>
      <c r="P19" s="14">
        <v>6</v>
      </c>
      <c r="Q19" s="20">
        <f>SUM(E19:P19)</f>
        <v>64</v>
      </c>
      <c r="R19" s="14">
        <v>14</v>
      </c>
      <c r="S19" s="14">
        <v>7</v>
      </c>
      <c r="T19" s="48">
        <v>3</v>
      </c>
      <c r="U19" s="14">
        <v>17</v>
      </c>
      <c r="V19" s="48">
        <v>13</v>
      </c>
      <c r="W19" s="84">
        <v>7</v>
      </c>
    </row>
    <row r="20" spans="1:23" ht="19.5">
      <c r="A20" s="12"/>
      <c r="B20" s="12" t="s">
        <v>25</v>
      </c>
      <c r="C20" s="14" t="s">
        <v>43</v>
      </c>
      <c r="D20" s="12" t="s">
        <v>33</v>
      </c>
      <c r="E20" s="14">
        <v>1</v>
      </c>
      <c r="F20" s="14">
        <v>7</v>
      </c>
      <c r="G20" s="14">
        <v>3</v>
      </c>
      <c r="H20" s="14">
        <v>4</v>
      </c>
      <c r="I20" s="14">
        <v>4</v>
      </c>
      <c r="J20" s="14">
        <v>2</v>
      </c>
      <c r="K20" s="14">
        <v>3</v>
      </c>
      <c r="L20" s="14">
        <v>1</v>
      </c>
      <c r="M20" s="14">
        <v>18</v>
      </c>
      <c r="N20" s="14">
        <v>10</v>
      </c>
      <c r="O20" s="14">
        <v>5</v>
      </c>
      <c r="P20" s="14">
        <v>5</v>
      </c>
      <c r="Q20" s="20">
        <f>SUM(E20:P20)</f>
        <v>63</v>
      </c>
      <c r="R20" s="14">
        <v>14</v>
      </c>
      <c r="S20" s="14">
        <v>7</v>
      </c>
      <c r="T20" s="48">
        <v>3</v>
      </c>
      <c r="U20" s="14">
        <v>17</v>
      </c>
      <c r="V20" s="48">
        <v>13</v>
      </c>
      <c r="W20" s="84">
        <v>6</v>
      </c>
    </row>
    <row r="21" spans="1:23" ht="19.5">
      <c r="A21" s="12"/>
      <c r="B21" s="12" t="s">
        <v>27</v>
      </c>
      <c r="C21" s="14" t="s">
        <v>44</v>
      </c>
      <c r="D21" s="12" t="s">
        <v>33</v>
      </c>
      <c r="E21" s="14">
        <v>0</v>
      </c>
      <c r="F21" s="14">
        <v>0</v>
      </c>
      <c r="G21" s="14">
        <v>0</v>
      </c>
      <c r="H21" s="14">
        <v>0</v>
      </c>
      <c r="I21" s="14">
        <v>0</v>
      </c>
      <c r="J21" s="14">
        <v>0</v>
      </c>
      <c r="K21" s="14">
        <v>0</v>
      </c>
      <c r="L21" s="14">
        <v>0</v>
      </c>
      <c r="M21" s="14">
        <v>0</v>
      </c>
      <c r="N21" s="14">
        <v>0</v>
      </c>
      <c r="O21" s="14">
        <v>0</v>
      </c>
      <c r="P21" s="14">
        <v>1</v>
      </c>
      <c r="Q21" s="13">
        <f>SUM(E21:P21)</f>
        <v>1</v>
      </c>
      <c r="R21" s="14">
        <v>0</v>
      </c>
      <c r="S21" s="14">
        <v>0</v>
      </c>
      <c r="T21" s="48">
        <v>0</v>
      </c>
      <c r="U21" s="14">
        <v>0</v>
      </c>
      <c r="V21" s="48">
        <v>0</v>
      </c>
      <c r="W21" s="84">
        <v>1</v>
      </c>
    </row>
    <row r="22" spans="1:23" ht="19.5">
      <c r="A22" s="12"/>
      <c r="B22" s="12" t="s">
        <v>29</v>
      </c>
      <c r="C22" s="14" t="s">
        <v>45</v>
      </c>
      <c r="D22" s="12" t="s">
        <v>33</v>
      </c>
      <c r="E22" s="14">
        <v>0</v>
      </c>
      <c r="F22" s="14">
        <v>0</v>
      </c>
      <c r="G22" s="14">
        <v>0</v>
      </c>
      <c r="H22" s="14">
        <v>0</v>
      </c>
      <c r="I22" s="14">
        <v>0</v>
      </c>
      <c r="J22" s="14">
        <v>0</v>
      </c>
      <c r="K22" s="14">
        <v>0</v>
      </c>
      <c r="L22" s="14">
        <v>0</v>
      </c>
      <c r="M22" s="14">
        <v>0</v>
      </c>
      <c r="N22" s="14">
        <v>0</v>
      </c>
      <c r="O22" s="14">
        <v>0</v>
      </c>
      <c r="P22" s="14">
        <v>0</v>
      </c>
      <c r="Q22" s="14">
        <v>0</v>
      </c>
      <c r="R22" s="14">
        <v>0</v>
      </c>
      <c r="S22" s="14">
        <v>0</v>
      </c>
      <c r="T22" s="48">
        <v>0</v>
      </c>
      <c r="U22" s="14">
        <v>0</v>
      </c>
      <c r="V22" s="48">
        <v>0</v>
      </c>
      <c r="W22" s="84">
        <v>0</v>
      </c>
    </row>
    <row r="23" spans="1:23" ht="19.5">
      <c r="A23" s="12"/>
      <c r="B23" s="12" t="s">
        <v>46</v>
      </c>
      <c r="C23" s="14" t="s">
        <v>47</v>
      </c>
      <c r="D23" s="12" t="s">
        <v>35</v>
      </c>
      <c r="E23" s="21">
        <f>E20/E19*100%</f>
        <v>1</v>
      </c>
      <c r="F23" s="21">
        <f t="shared" ref="F23:O23" si="1">F20/F19*100%</f>
        <v>1</v>
      </c>
      <c r="G23" s="21">
        <f t="shared" si="1"/>
        <v>1</v>
      </c>
      <c r="H23" s="21">
        <f t="shared" si="1"/>
        <v>1</v>
      </c>
      <c r="I23" s="21">
        <f t="shared" si="1"/>
        <v>1</v>
      </c>
      <c r="J23" s="21">
        <f t="shared" si="1"/>
        <v>1</v>
      </c>
      <c r="K23" s="21">
        <f t="shared" si="1"/>
        <v>1</v>
      </c>
      <c r="L23" s="21">
        <f t="shared" si="1"/>
        <v>1</v>
      </c>
      <c r="M23" s="21">
        <f t="shared" si="1"/>
        <v>1</v>
      </c>
      <c r="N23" s="21">
        <f t="shared" si="1"/>
        <v>1</v>
      </c>
      <c r="O23" s="21">
        <f t="shared" si="1"/>
        <v>1</v>
      </c>
      <c r="P23" s="22">
        <f>P20/P19*100%</f>
        <v>0.83333333333333337</v>
      </c>
      <c r="Q23" s="23">
        <f>SUM(E23:P23)/12</f>
        <v>0.98611111111111116</v>
      </c>
      <c r="R23" s="22">
        <f>R20/R19*100%</f>
        <v>1</v>
      </c>
      <c r="S23" s="22">
        <f t="shared" ref="S23:T23" si="2">S20/S19*100%</f>
        <v>1</v>
      </c>
      <c r="T23" s="49">
        <f t="shared" si="2"/>
        <v>1</v>
      </c>
      <c r="U23" s="22">
        <v>1</v>
      </c>
      <c r="V23" s="49">
        <v>1</v>
      </c>
      <c r="W23" s="87">
        <f>W20/W19*100%</f>
        <v>0.8571428571428571</v>
      </c>
    </row>
    <row r="24" spans="1:23" ht="19.5">
      <c r="A24" s="12"/>
      <c r="B24" s="12" t="s">
        <v>48</v>
      </c>
      <c r="C24" s="14" t="s">
        <v>49</v>
      </c>
      <c r="D24" s="12" t="s">
        <v>50</v>
      </c>
      <c r="E24" s="12" t="s">
        <v>38</v>
      </c>
      <c r="F24" s="12" t="s">
        <v>38</v>
      </c>
      <c r="G24" s="12" t="s">
        <v>38</v>
      </c>
      <c r="H24" s="12" t="s">
        <v>38</v>
      </c>
      <c r="I24" s="12" t="s">
        <v>38</v>
      </c>
      <c r="J24" s="12" t="s">
        <v>38</v>
      </c>
      <c r="K24" s="12" t="s">
        <v>38</v>
      </c>
      <c r="L24" s="12" t="s">
        <v>38</v>
      </c>
      <c r="M24" s="12" t="s">
        <v>38</v>
      </c>
      <c r="N24" s="12" t="s">
        <v>38</v>
      </c>
      <c r="O24" s="12" t="s">
        <v>38</v>
      </c>
      <c r="P24" s="12" t="s">
        <v>38</v>
      </c>
      <c r="Q24" s="12" t="s">
        <v>38</v>
      </c>
      <c r="R24" s="12" t="s">
        <v>38</v>
      </c>
      <c r="S24" s="12" t="s">
        <v>38</v>
      </c>
      <c r="T24" s="12" t="s">
        <v>38</v>
      </c>
      <c r="U24" s="12" t="s">
        <v>38</v>
      </c>
      <c r="V24" s="12" t="s">
        <v>38</v>
      </c>
      <c r="W24" s="12" t="s">
        <v>38</v>
      </c>
    </row>
    <row r="25" spans="1:23" ht="16.5" customHeight="1">
      <c r="A25" s="24"/>
      <c r="B25" s="25"/>
      <c r="C25" s="25" t="s">
        <v>51</v>
      </c>
      <c r="D25" s="25"/>
      <c r="E25" s="25"/>
      <c r="F25" s="25"/>
      <c r="G25" s="25"/>
      <c r="H25" s="25"/>
      <c r="I25" s="25"/>
      <c r="J25" s="25"/>
      <c r="K25" s="25"/>
      <c r="L25" s="25"/>
      <c r="M25" s="25"/>
      <c r="N25" s="25"/>
      <c r="O25" s="25"/>
      <c r="P25" s="25"/>
      <c r="Q25" s="25"/>
      <c r="R25" s="26"/>
      <c r="S25" s="26"/>
      <c r="T25" s="26"/>
      <c r="U25" s="26"/>
      <c r="V25" s="26"/>
    </row>
    <row r="26" spans="1:23" ht="19.5">
      <c r="A26" s="24"/>
      <c r="B26" s="25"/>
      <c r="C26" s="25" t="s">
        <v>52</v>
      </c>
      <c r="D26" s="50"/>
      <c r="E26" s="50"/>
      <c r="F26" s="50"/>
      <c r="G26" s="50"/>
      <c r="H26" s="50"/>
      <c r="I26" s="50"/>
      <c r="J26" s="50"/>
      <c r="K26" s="50"/>
      <c r="L26" s="50"/>
      <c r="M26" s="50"/>
      <c r="N26" s="50"/>
      <c r="O26" s="50"/>
      <c r="P26" s="50"/>
      <c r="Q26" s="50"/>
      <c r="R26" s="26"/>
      <c r="S26" s="26"/>
      <c r="T26" s="26"/>
      <c r="U26" s="26"/>
      <c r="V26" s="26"/>
    </row>
    <row r="27" spans="1:23" ht="19.5">
      <c r="A27" s="24"/>
      <c r="B27" s="25"/>
      <c r="C27" s="50" t="s">
        <v>53</v>
      </c>
      <c r="D27" s="50"/>
      <c r="E27" s="50"/>
      <c r="F27" s="50"/>
      <c r="G27" s="50"/>
      <c r="H27" s="50"/>
      <c r="I27" s="50"/>
      <c r="J27" s="50"/>
      <c r="K27" s="50"/>
      <c r="L27" s="50"/>
      <c r="M27" s="50"/>
      <c r="N27" s="50"/>
      <c r="O27" s="50"/>
      <c r="P27" s="50"/>
      <c r="Q27" s="50"/>
      <c r="R27" s="26"/>
      <c r="S27" s="26"/>
      <c r="T27" s="26"/>
      <c r="U27" s="26"/>
      <c r="V27" s="26"/>
    </row>
    <row r="28" spans="1:23" ht="39.75" customHeight="1">
      <c r="A28" s="24"/>
      <c r="B28" s="25"/>
      <c r="C28" s="337" t="s">
        <v>54</v>
      </c>
      <c r="D28" s="337"/>
      <c r="E28" s="337"/>
      <c r="F28" s="337"/>
      <c r="G28" s="337"/>
      <c r="H28" s="337"/>
      <c r="I28" s="337"/>
      <c r="J28" s="337"/>
      <c r="K28" s="337"/>
      <c r="L28" s="25"/>
      <c r="M28" s="25"/>
      <c r="N28" s="25"/>
      <c r="O28" s="25"/>
      <c r="P28" s="25"/>
      <c r="Q28" s="25"/>
      <c r="R28" s="26"/>
      <c r="S28" s="26"/>
      <c r="T28" s="26"/>
      <c r="U28" s="26"/>
      <c r="V28" s="26"/>
    </row>
    <row r="29" spans="1:23" ht="35.25" customHeight="1">
      <c r="A29" s="24"/>
      <c r="B29" s="25"/>
      <c r="C29" s="337" t="s">
        <v>55</v>
      </c>
      <c r="D29" s="337"/>
      <c r="E29" s="337"/>
      <c r="F29" s="337"/>
      <c r="G29" s="337"/>
      <c r="H29" s="337"/>
      <c r="I29" s="337"/>
      <c r="J29" s="337"/>
      <c r="K29" s="25"/>
      <c r="L29" s="25"/>
      <c r="M29" s="25"/>
      <c r="N29" s="25"/>
      <c r="O29" s="25"/>
      <c r="P29" s="25"/>
      <c r="Q29" s="25"/>
      <c r="R29" s="26"/>
      <c r="S29" s="26"/>
      <c r="T29" s="26"/>
      <c r="U29" s="26"/>
      <c r="V29" s="26"/>
    </row>
    <row r="30" spans="1:23" ht="39" customHeight="1">
      <c r="A30" s="24"/>
      <c r="B30" s="25"/>
      <c r="C30" s="337" t="s">
        <v>56</v>
      </c>
      <c r="D30" s="337"/>
      <c r="E30" s="337"/>
      <c r="F30" s="337"/>
      <c r="G30" s="337"/>
      <c r="H30" s="337"/>
      <c r="I30" s="337"/>
      <c r="J30" s="337"/>
      <c r="K30" s="337"/>
      <c r="L30" s="25"/>
      <c r="M30" s="25"/>
      <c r="N30" s="25"/>
      <c r="O30" s="25"/>
      <c r="P30" s="25"/>
      <c r="Q30" s="25"/>
      <c r="R30" s="26"/>
      <c r="S30" s="26"/>
      <c r="T30" s="26"/>
      <c r="U30" s="26"/>
      <c r="V30" s="26"/>
    </row>
    <row r="31" spans="1:23" ht="39" customHeight="1">
      <c r="A31" s="24"/>
      <c r="B31" s="25"/>
      <c r="C31" s="337" t="s">
        <v>57</v>
      </c>
      <c r="D31" s="337"/>
      <c r="E31" s="337"/>
      <c r="F31" s="337"/>
      <c r="G31" s="337"/>
      <c r="H31" s="337"/>
      <c r="I31" s="337"/>
      <c r="J31" s="337"/>
      <c r="K31" s="25"/>
      <c r="L31" s="25"/>
      <c r="M31" s="25"/>
      <c r="N31" s="25"/>
      <c r="O31" s="25"/>
      <c r="P31" s="25"/>
      <c r="Q31" s="25"/>
      <c r="R31" s="26"/>
      <c r="S31" s="26"/>
      <c r="T31" s="26"/>
      <c r="U31" s="26"/>
      <c r="V31" s="26"/>
    </row>
    <row r="32" spans="1:23" ht="21.75" customHeight="1">
      <c r="A32" s="24"/>
      <c r="B32" s="25"/>
      <c r="C32" s="337"/>
      <c r="D32" s="337"/>
      <c r="E32" s="337"/>
      <c r="F32" s="337"/>
      <c r="G32" s="337"/>
      <c r="H32" s="337"/>
      <c r="I32" s="337"/>
      <c r="J32" s="337"/>
      <c r="K32" s="25"/>
      <c r="L32" s="25"/>
      <c r="M32" s="25"/>
      <c r="N32" s="25"/>
      <c r="O32" s="25"/>
      <c r="P32" s="25"/>
      <c r="Q32" s="25"/>
      <c r="R32" s="26"/>
      <c r="S32" s="26"/>
      <c r="T32" s="26"/>
      <c r="U32" s="26"/>
      <c r="V32" s="26"/>
    </row>
    <row r="33" spans="1:24" ht="15" customHeight="1">
      <c r="A33" s="24"/>
      <c r="B33" s="25"/>
      <c r="C33" s="334" t="s">
        <v>58</v>
      </c>
      <c r="D33" s="334"/>
      <c r="E33" s="334"/>
      <c r="F33" s="334"/>
      <c r="G33" s="334"/>
      <c r="H33" s="334"/>
      <c r="I33" s="334"/>
      <c r="J33" s="334"/>
      <c r="K33" s="25"/>
      <c r="L33" s="25"/>
      <c r="M33" s="25"/>
      <c r="N33" s="25"/>
      <c r="O33" s="25"/>
      <c r="P33" s="25"/>
      <c r="Q33" s="25"/>
      <c r="R33" s="26"/>
      <c r="S33" s="26"/>
      <c r="T33" s="26"/>
      <c r="U33" s="26"/>
      <c r="V33" s="26"/>
    </row>
    <row r="34" spans="1:24" ht="21.75">
      <c r="A34" s="24"/>
      <c r="B34" s="25"/>
      <c r="C34" s="1" t="s">
        <v>59</v>
      </c>
      <c r="D34" s="2"/>
      <c r="E34" s="3"/>
      <c r="F34" s="2"/>
      <c r="G34" s="2"/>
      <c r="H34" s="2"/>
      <c r="I34" s="2"/>
      <c r="J34" s="2"/>
      <c r="K34" s="25"/>
      <c r="L34" s="25"/>
      <c r="M34" s="25"/>
      <c r="N34" s="25"/>
      <c r="O34" s="25"/>
      <c r="P34" s="25"/>
      <c r="Q34" s="25"/>
      <c r="R34" s="26"/>
      <c r="S34" s="26"/>
      <c r="T34" s="26"/>
      <c r="U34" s="26"/>
      <c r="V34" s="26"/>
    </row>
    <row r="35" spans="1:24" ht="19.5">
      <c r="A35" s="24"/>
      <c r="B35" s="25"/>
      <c r="C35" s="25"/>
      <c r="D35" s="25"/>
      <c r="E35" s="27"/>
      <c r="F35" s="25"/>
      <c r="G35" s="25"/>
      <c r="H35" s="25"/>
      <c r="I35" s="25"/>
      <c r="J35" s="25"/>
      <c r="K35" s="25"/>
      <c r="L35" s="25"/>
      <c r="M35" s="25"/>
      <c r="N35" s="25"/>
      <c r="O35" s="25"/>
      <c r="P35" s="25"/>
      <c r="Q35" s="25"/>
      <c r="R35" s="26"/>
      <c r="S35" s="26"/>
      <c r="T35" s="26"/>
      <c r="U35" s="26"/>
      <c r="V35" s="26"/>
    </row>
    <row r="36" spans="1:24" ht="21.75">
      <c r="E36" s="28"/>
      <c r="F36" s="28"/>
      <c r="G36" s="29"/>
      <c r="H36" s="29"/>
      <c r="I36" s="29"/>
      <c r="J36" s="29"/>
      <c r="K36" s="29"/>
      <c r="L36" s="29"/>
      <c r="M36" s="29"/>
      <c r="N36" s="29"/>
      <c r="O36" s="29"/>
      <c r="P36" s="29"/>
      <c r="Q36" s="29"/>
      <c r="R36" s="29"/>
      <c r="S36" s="28"/>
      <c r="T36" s="29"/>
      <c r="U36" s="29"/>
      <c r="V36" s="29"/>
      <c r="W36" s="29"/>
      <c r="X36" s="29"/>
    </row>
    <row r="37" spans="1:24" ht="21.75">
      <c r="E37" s="28"/>
      <c r="F37" s="30"/>
      <c r="G37" s="30"/>
      <c r="H37" s="30"/>
      <c r="I37" s="30"/>
      <c r="J37" s="30"/>
      <c r="K37" s="30"/>
      <c r="L37" s="30"/>
      <c r="M37" s="30"/>
      <c r="N37" s="30"/>
      <c r="O37" s="30"/>
      <c r="P37" s="30"/>
      <c r="Q37" s="30"/>
      <c r="R37" s="30"/>
      <c r="S37" s="28"/>
      <c r="T37" s="30"/>
      <c r="U37" s="30"/>
      <c r="V37" s="30"/>
      <c r="W37" s="30"/>
      <c r="X37" s="30"/>
    </row>
    <row r="38" spans="1:24" ht="21.75">
      <c r="E38" s="28"/>
      <c r="F38" s="30"/>
      <c r="G38" s="30"/>
      <c r="H38" s="30"/>
      <c r="I38" s="30"/>
      <c r="J38" s="30"/>
      <c r="K38" s="30"/>
      <c r="L38" s="30"/>
      <c r="M38" s="30"/>
      <c r="N38" s="30"/>
      <c r="O38" s="30"/>
      <c r="P38" s="30"/>
      <c r="Q38" s="30"/>
      <c r="R38" s="30"/>
      <c r="S38" s="28"/>
      <c r="T38" s="30"/>
      <c r="U38" s="30"/>
      <c r="V38" s="30"/>
      <c r="W38" s="30"/>
      <c r="X38" s="30"/>
    </row>
    <row r="39" spans="1:24" ht="21.75">
      <c r="E39" s="28"/>
      <c r="F39" s="30"/>
      <c r="G39" s="30"/>
      <c r="H39" s="30"/>
      <c r="I39" s="30"/>
      <c r="J39" s="30"/>
      <c r="K39" s="30"/>
      <c r="L39" s="30"/>
      <c r="M39" s="30"/>
      <c r="N39" s="30"/>
      <c r="O39" s="30"/>
      <c r="P39" s="30"/>
      <c r="Q39" s="30"/>
      <c r="R39" s="30"/>
      <c r="S39" s="28"/>
      <c r="T39" s="30"/>
      <c r="U39" s="30"/>
      <c r="V39" s="30"/>
      <c r="W39" s="30"/>
      <c r="X39" s="30"/>
    </row>
    <row r="40" spans="1:24" ht="21.75">
      <c r="E40" s="28"/>
      <c r="F40" s="30"/>
      <c r="G40" s="30"/>
      <c r="H40" s="30"/>
      <c r="I40" s="30"/>
      <c r="J40" s="30"/>
      <c r="K40" s="30"/>
      <c r="L40" s="30"/>
      <c r="M40" s="30"/>
      <c r="N40" s="30"/>
      <c r="O40" s="30"/>
      <c r="P40" s="30"/>
      <c r="Q40" s="30"/>
      <c r="R40" s="30"/>
      <c r="S40" s="28"/>
      <c r="T40" s="30"/>
      <c r="U40" s="30"/>
      <c r="V40" s="30"/>
      <c r="W40" s="30"/>
      <c r="X40" s="30"/>
    </row>
  </sheetData>
  <mergeCells count="12">
    <mergeCell ref="R6:W6"/>
    <mergeCell ref="C33:J33"/>
    <mergeCell ref="A6:A7"/>
    <mergeCell ref="B6:C7"/>
    <mergeCell ref="D6:D7"/>
    <mergeCell ref="E6:Q6"/>
    <mergeCell ref="C29:J29"/>
    <mergeCell ref="C28:K28"/>
    <mergeCell ref="C31:J31"/>
    <mergeCell ref="C32:J32"/>
    <mergeCell ref="C30:K30"/>
    <mergeCell ref="E9:M12"/>
  </mergeCells>
  <hyperlinks>
    <hyperlink ref="C34" r:id="rId1" xr:uid="{5787E5D8-BBD7-4ADD-BF1D-7472956D2DC2}"/>
  </hyperlinks>
  <pageMargins left="0.70866141732283472" right="0.70866141732283472" top="0.74803149606299213" bottom="0.74803149606299213" header="0.31496062992125984" footer="0.31496062992125984"/>
  <pageSetup paperSize="9" scale="5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5FD4-BFC1-44F5-94BB-D2B021476ADB}">
  <sheetPr>
    <tabColor theme="4"/>
  </sheetPr>
  <dimension ref="A1:BA83"/>
  <sheetViews>
    <sheetView workbookViewId="0">
      <selection activeCell="A38" sqref="A38"/>
    </sheetView>
  </sheetViews>
  <sheetFormatPr defaultRowHeight="16.5"/>
  <cols>
    <col min="1" max="1" width="3.125" style="93" bestFit="1" customWidth="1"/>
    <col min="2" max="2" width="1.875" style="93" bestFit="1" customWidth="1"/>
    <col min="3" max="3" width="22.125" style="93" customWidth="1"/>
    <col min="4" max="4" width="17.625" style="93" customWidth="1"/>
    <col min="5" max="5" width="43.875" style="93" customWidth="1"/>
    <col min="6" max="16384" width="9" style="93"/>
  </cols>
  <sheetData>
    <row r="1" spans="1:53">
      <c r="A1" s="241" t="s">
        <v>3</v>
      </c>
      <c r="B1" s="317" t="s">
        <v>60</v>
      </c>
      <c r="C1" s="317"/>
      <c r="D1" s="347"/>
      <c r="E1" s="242" t="s">
        <v>61</v>
      </c>
      <c r="F1" s="243">
        <v>45658</v>
      </c>
      <c r="G1" s="243">
        <v>45689</v>
      </c>
      <c r="H1" s="243">
        <v>45717</v>
      </c>
      <c r="I1" s="243">
        <v>45748</v>
      </c>
      <c r="J1" s="243">
        <v>45778</v>
      </c>
      <c r="K1" s="243">
        <v>45809</v>
      </c>
      <c r="L1" s="243">
        <v>45839</v>
      </c>
      <c r="M1" s="243">
        <v>45870</v>
      </c>
      <c r="N1" s="243">
        <v>45901</v>
      </c>
      <c r="O1" s="243">
        <v>45931</v>
      </c>
      <c r="P1" s="243">
        <v>45962</v>
      </c>
      <c r="Q1" s="243">
        <v>45992</v>
      </c>
      <c r="R1" s="243">
        <v>46023</v>
      </c>
      <c r="S1" s="243">
        <v>46054</v>
      </c>
      <c r="T1" s="243">
        <v>46082</v>
      </c>
      <c r="U1" s="244">
        <v>46113</v>
      </c>
      <c r="V1" s="245" t="s">
        <v>62</v>
      </c>
      <c r="W1" s="246" t="s">
        <v>63</v>
      </c>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5"/>
      <c r="AY1" s="115"/>
      <c r="BA1" s="247"/>
    </row>
    <row r="2" spans="1:53">
      <c r="A2" s="248">
        <v>1</v>
      </c>
      <c r="B2" s="317" t="s">
        <v>64</v>
      </c>
      <c r="C2" s="317"/>
      <c r="D2" s="347"/>
      <c r="E2" s="249" t="s">
        <v>65</v>
      </c>
      <c r="F2" s="250">
        <f>'statistik The Nusa Dua'!F2+'statistik The Mandalika'!F2+'statistik The Golo Mori'!F2+'statistik MGPA'!F2</f>
        <v>434656</v>
      </c>
      <c r="G2" s="250">
        <f>'statistik The Nusa Dua'!G2+'statistik The Mandalika'!G2+'statistik The Golo Mori'!G2+'statistik MGPA'!G2</f>
        <v>310216</v>
      </c>
      <c r="H2" s="250">
        <f>'statistik The Nusa Dua'!H2+'statistik The Mandalika'!H2+'statistik The Golo Mori'!H2+'statistik MGPA'!H2</f>
        <v>297466</v>
      </c>
      <c r="I2" s="250">
        <f>'statistik The Nusa Dua'!I2+'statistik The Mandalika'!I2+'statistik The Golo Mori'!I2+'statistik MGPA'!I2</f>
        <v>425195</v>
      </c>
      <c r="J2" s="250">
        <f>'statistik The Nusa Dua'!J2+'statistik The Mandalika'!J2+'statistik The Golo Mori'!J2+'statistik MGPA'!J2</f>
        <v>416265</v>
      </c>
      <c r="K2" s="250">
        <f>'statistik The Nusa Dua'!K2+'statistik The Mandalika'!K2+'statistik The Golo Mori'!K2+'statistik MGPA'!K2</f>
        <v>443401</v>
      </c>
      <c r="L2" s="250">
        <f>'statistik The Nusa Dua'!L2+'statistik The Mandalika'!L2+'statistik The Golo Mori'!L2+'statistik MGPA'!L2</f>
        <v>522720</v>
      </c>
      <c r="M2" s="250">
        <f>'statistik The Nusa Dua'!M2+'statistik The Mandalika'!M2+'statistik The Golo Mori'!M2+'statistik MGPA'!M2</f>
        <v>517774</v>
      </c>
      <c r="N2" s="250">
        <f>'statistik The Nusa Dua'!N2+'statistik The Mandalika'!N2+'statistik The Golo Mori'!N2+'statistik MGPA'!N2</f>
        <v>488840</v>
      </c>
      <c r="O2" s="250">
        <f>'statistik The Nusa Dua'!O2+'statistik The Mandalika'!O2+'statistik The Golo Mori'!O2+'statistik MGPA'!O2</f>
        <v>760311</v>
      </c>
      <c r="P2" s="250">
        <f>'statistik The Nusa Dua'!P2+'statistik The Mandalika'!P2+'statistik The Golo Mori'!P2+'statistik MGPA'!P2</f>
        <v>427836</v>
      </c>
      <c r="Q2" s="250">
        <f>'statistik The Nusa Dua'!Q2+'statistik The Mandalika'!Q2+'statistik The Golo Mori'!Q2+'statistik MGPA'!Q2</f>
        <v>600934</v>
      </c>
      <c r="R2" s="250">
        <f>'statistik The Nusa Dua'!R2+'statistik The Mandalika'!R2+'statistik The Golo Mori'!R2+'statistik MGPA'!R2</f>
        <v>454769</v>
      </c>
      <c r="S2" s="250">
        <f>'statistik The Nusa Dua'!S2+'statistik The Mandalika'!S2+'statistik The Golo Mori'!S2+'statistik MGPA'!S2</f>
        <v>357516</v>
      </c>
      <c r="T2" s="250">
        <f>'statistik The Nusa Dua'!T2+'statistik The Mandalika'!T2+'statistik The Golo Mori'!T2+'statistik MGPA'!T2</f>
        <v>385065</v>
      </c>
      <c r="U2" s="251">
        <f>'statistik The Nusa Dua'!U2+'statistik The Mandalika'!U2+'statistik The Golo Mori'!U2+'statistik MGPA'!U2</f>
        <v>426550</v>
      </c>
      <c r="V2" s="251">
        <f>'statistik The Nusa Dua'!V2+'statistik The Mandalika'!V2+'statistik The Golo Mori'!V2+'statistik MGPA'!V2</f>
        <v>474978</v>
      </c>
      <c r="W2" s="251">
        <f>'statistik The Nusa Dua'!W2+'statistik The Mandalika'!W2+'statistik The Golo Mori'!W2+'statistik MGPA'!W2</f>
        <v>493397</v>
      </c>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5"/>
      <c r="AY2" s="115"/>
    </row>
    <row r="3" spans="1:53" ht="65.25" customHeight="1">
      <c r="A3" s="248">
        <v>2</v>
      </c>
      <c r="B3" s="317" t="s">
        <v>66</v>
      </c>
      <c r="C3" s="317"/>
      <c r="D3" s="347"/>
      <c r="E3" s="252" t="s">
        <v>67</v>
      </c>
      <c r="F3" s="111">
        <f>'statistik The Nusa Dua'!F3+'statistik The Mandalika'!F3+'statistik The Golo Mori'!F3+'statistik MGPA'!F3+'statistik INU'!F3</f>
        <v>7</v>
      </c>
      <c r="G3" s="111">
        <f>'statistik The Nusa Dua'!G3+'statistik The Mandalika'!G3+'statistik The Golo Mori'!G3+'statistik MGPA'!G3+'statistik INU'!G3</f>
        <v>11</v>
      </c>
      <c r="H3" s="111">
        <f>'statistik The Nusa Dua'!H3+'statistik The Mandalika'!H3+'statistik The Golo Mori'!H3+'statistik MGPA'!H3+'statistik INU'!H3</f>
        <v>1</v>
      </c>
      <c r="I3" s="111">
        <f>'statistik The Nusa Dua'!I3+'statistik The Mandalika'!I3+'statistik The Golo Mori'!I3+'statistik MGPA'!I3+'statistik INU'!I3</f>
        <v>6</v>
      </c>
      <c r="J3" s="111">
        <f>'statistik The Nusa Dua'!J3+'statistik The Mandalika'!J3+'statistik The Golo Mori'!J3+'statistik MGPA'!J3+'statistik INU'!J3</f>
        <v>14</v>
      </c>
      <c r="K3" s="111">
        <f>'statistik The Nusa Dua'!K3+'statistik The Mandalika'!K3+'statistik The Golo Mori'!K3+'statistik MGPA'!K3+'statistik INU'!K3</f>
        <v>10</v>
      </c>
      <c r="L3" s="111">
        <f>'statistik The Nusa Dua'!L3+'statistik The Mandalika'!L3+'statistik The Golo Mori'!L3+'statistik MGPA'!L3+'statistik INU'!L3</f>
        <v>19</v>
      </c>
      <c r="M3" s="111">
        <f>'statistik The Nusa Dua'!M3+'statistik The Mandalika'!M3+'statistik The Golo Mori'!M3+'statistik MGPA'!M3+'statistik INU'!M3</f>
        <v>23</v>
      </c>
      <c r="N3" s="111">
        <f>'statistik The Nusa Dua'!N3+'statistik The Mandalika'!N3+'statistik The Golo Mori'!N3+'statistik MGPA'!N3+'statistik INU'!N3</f>
        <v>19</v>
      </c>
      <c r="O3" s="111">
        <f>'statistik The Nusa Dua'!O3+'statistik The Mandalika'!O3+'statistik The Golo Mori'!O3+'statistik MGPA'!O3+'statistik INU'!O3</f>
        <v>28</v>
      </c>
      <c r="P3" s="111">
        <f>'statistik The Nusa Dua'!P3+'statistik The Mandalika'!P3+'statistik The Golo Mori'!P3+'statistik MGPA'!P3+'statistik INU'!P3</f>
        <v>27</v>
      </c>
      <c r="Q3" s="111">
        <f>'statistik The Nusa Dua'!Q3+'statistik The Mandalika'!Q3+'statistik The Golo Mori'!Q3+'statistik MGPA'!Q3+'statistik INU'!Q3</f>
        <v>37</v>
      </c>
      <c r="R3" s="111">
        <f>'statistik The Nusa Dua'!R3+'statistik The Mandalika'!R3+'statistik The Golo Mori'!R3+'statistik MGPA'!R3+'statistik INU'!R3</f>
        <v>62</v>
      </c>
      <c r="S3" s="111">
        <f>'statistik The Nusa Dua'!S3+'statistik The Mandalika'!S3+'statistik The Golo Mori'!S3+'statistik MGPA'!S3+'statistik INU'!S3</f>
        <v>56</v>
      </c>
      <c r="T3" s="111">
        <f>'statistik The Nusa Dua'!T3+'statistik The Mandalika'!T3+'statistik The Golo Mori'!T3+'statistik MGPA'!T3+'statistik INU'!T3</f>
        <v>50</v>
      </c>
      <c r="U3" s="111">
        <f>'statistik The Nusa Dua'!U3+'statistik The Mandalika'!U3+'statistik The Golo Mori'!U3+'statistik MGPA'!U3+'statistik INU'!U3</f>
        <v>102</v>
      </c>
      <c r="V3" s="111">
        <f>'statistik The Nusa Dua'!V3+'statistik The Mandalika'!V3+'statistik The Golo Mori'!V3+'statistik MGPA'!V3+'statistik INU'!V3</f>
        <v>69</v>
      </c>
      <c r="W3" s="111">
        <f>'statistik The Nusa Dua'!W3+'statistik The Mandalika'!W3+'statistik The Golo Mori'!W3+'statistik MGPA'!W3+'statistik INU'!W3</f>
        <v>86</v>
      </c>
      <c r="X3" s="114"/>
      <c r="Y3" s="114"/>
      <c r="Z3" s="114"/>
      <c r="AA3" s="114"/>
      <c r="AB3" s="114"/>
      <c r="AC3" s="114"/>
      <c r="AD3" s="114"/>
      <c r="AE3" s="114"/>
      <c r="AF3" s="114"/>
      <c r="AG3" s="114"/>
      <c r="AH3" s="114"/>
      <c r="AI3" s="114"/>
      <c r="AJ3" s="114"/>
      <c r="AK3" s="114"/>
      <c r="AL3" s="114"/>
      <c r="AM3" s="114"/>
      <c r="AN3" s="114"/>
      <c r="AO3" s="114"/>
      <c r="AP3" s="114"/>
      <c r="AQ3" s="114"/>
      <c r="AR3" s="114"/>
      <c r="AS3" s="114"/>
      <c r="AT3" s="114"/>
      <c r="AU3" s="114"/>
      <c r="AV3" s="114"/>
      <c r="AW3" s="114"/>
      <c r="AX3" s="115"/>
      <c r="AY3" s="115"/>
    </row>
    <row r="4" spans="1:53">
      <c r="A4" s="314">
        <v>3</v>
      </c>
      <c r="B4" s="317" t="s">
        <v>68</v>
      </c>
      <c r="C4" s="353"/>
      <c r="D4" s="353"/>
      <c r="E4" s="218" t="s">
        <v>69</v>
      </c>
      <c r="F4" s="111" t="s">
        <v>69</v>
      </c>
      <c r="G4" s="111" t="s">
        <v>69</v>
      </c>
      <c r="H4" s="111" t="s">
        <v>69</v>
      </c>
      <c r="I4" s="111" t="s">
        <v>69</v>
      </c>
      <c r="J4" s="111" t="s">
        <v>69</v>
      </c>
      <c r="K4" s="111" t="s">
        <v>69</v>
      </c>
      <c r="L4" s="111" t="s">
        <v>69</v>
      </c>
      <c r="M4" s="111" t="s">
        <v>69</v>
      </c>
      <c r="N4" s="111" t="s">
        <v>69</v>
      </c>
      <c r="O4" s="111" t="s">
        <v>69</v>
      </c>
      <c r="P4" s="111" t="s">
        <v>69</v>
      </c>
      <c r="Q4" s="111" t="s">
        <v>69</v>
      </c>
      <c r="R4" s="111" t="s">
        <v>69</v>
      </c>
      <c r="S4" s="111" t="s">
        <v>69</v>
      </c>
      <c r="T4" s="112" t="s">
        <v>69</v>
      </c>
      <c r="U4" s="119" t="s">
        <v>69</v>
      </c>
      <c r="V4" s="119"/>
      <c r="W4" s="119"/>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5"/>
      <c r="AY4" s="115"/>
    </row>
    <row r="5" spans="1:53">
      <c r="A5" s="314"/>
      <c r="B5" s="112" t="s">
        <v>70</v>
      </c>
      <c r="C5" s="349" t="s">
        <v>71</v>
      </c>
      <c r="D5" s="349"/>
      <c r="E5" s="348" t="s">
        <v>72</v>
      </c>
      <c r="F5" s="96">
        <f>'statistik The Nusa Dua'!F5+'statistik The Mandalika'!F5+'statistik The Golo Mori'!F5+'statistik MGPA'!F5+'statistik INU'!F5</f>
        <v>0</v>
      </c>
      <c r="G5" s="96">
        <f>'statistik The Nusa Dua'!G5+'statistik The Mandalika'!G5+'statistik The Golo Mori'!G5+'statistik MGPA'!G5+'statistik INU'!G5</f>
        <v>2</v>
      </c>
      <c r="H5" s="96">
        <f>'statistik The Nusa Dua'!H5+'statistik The Mandalika'!H5+'statistik The Golo Mori'!H5+'statistik MGPA'!H5+'statistik INU'!H5</f>
        <v>0</v>
      </c>
      <c r="I5" s="96">
        <f>'statistik The Nusa Dua'!I5+'statistik The Mandalika'!I5+'statistik The Golo Mori'!I5+'statistik MGPA'!I5+'statistik INU'!I5</f>
        <v>0</v>
      </c>
      <c r="J5" s="96">
        <f>'statistik The Nusa Dua'!J5+'statistik The Mandalika'!J5+'statistik The Golo Mori'!J5+'statistik MGPA'!J5+'statistik INU'!J5</f>
        <v>0</v>
      </c>
      <c r="K5" s="96">
        <f>'statistik The Nusa Dua'!K5+'statistik The Mandalika'!K5+'statistik The Golo Mori'!K5+'statistik MGPA'!K5+'statistik INU'!K5</f>
        <v>0</v>
      </c>
      <c r="L5" s="96">
        <f>'statistik The Nusa Dua'!L5+'statistik The Mandalika'!L5+'statistik The Golo Mori'!L5+'statistik MGPA'!L5+'statistik INU'!L5</f>
        <v>1</v>
      </c>
      <c r="M5" s="96">
        <f>'statistik The Nusa Dua'!M5+'statistik The Mandalika'!M5+'statistik The Golo Mori'!M5+'statistik MGPA'!M5+'statistik INU'!M5</f>
        <v>1</v>
      </c>
      <c r="N5" s="96">
        <f>'statistik The Nusa Dua'!N5+'statistik The Mandalika'!N5+'statistik The Golo Mori'!N5+'statistik MGPA'!N5+'statistik INU'!N5</f>
        <v>0</v>
      </c>
      <c r="O5" s="96">
        <f>'statistik The Nusa Dua'!O5+'statistik The Mandalika'!O5+'statistik The Golo Mori'!O5+'statistik MGPA'!O5+'statistik INU'!O5</f>
        <v>0</v>
      </c>
      <c r="P5" s="96">
        <f>'statistik The Nusa Dua'!P5+'statistik The Mandalika'!P5+'statistik The Golo Mori'!P5+'statistik MGPA'!P5+'statistik INU'!P5</f>
        <v>1</v>
      </c>
      <c r="Q5" s="96">
        <f>'statistik The Nusa Dua'!Q5+'statistik The Mandalika'!Q5+'statistik The Golo Mori'!Q5+'statistik MGPA'!Q5+'statistik INU'!Q5</f>
        <v>11</v>
      </c>
      <c r="R5" s="96">
        <f>'statistik The Nusa Dua'!R5+'statistik The Mandalika'!R5+'statistik The Golo Mori'!R5+'statistik MGPA'!R5+'statistik INU'!R5</f>
        <v>23</v>
      </c>
      <c r="S5" s="96">
        <f>'statistik The Nusa Dua'!S5+'statistik The Mandalika'!S5+'statistik The Golo Mori'!S5+'statistik MGPA'!S5+'statistik INU'!S5</f>
        <v>26</v>
      </c>
      <c r="T5" s="96">
        <f>'statistik The Nusa Dua'!T5+'statistik The Mandalika'!T5+'statistik The Golo Mori'!T5+'statistik MGPA'!T5+'statistik INU'!T5</f>
        <v>24</v>
      </c>
      <c r="U5" s="96">
        <f>'statistik The Nusa Dua'!U5+'statistik The Mandalika'!U5+'statistik The Golo Mori'!U5+'statistik MGPA'!U5+'statistik INU'!U5</f>
        <v>38</v>
      </c>
      <c r="V5" s="96">
        <f>'statistik The Nusa Dua'!V5+'statistik The Mandalika'!V5+'statistik The Golo Mori'!V5+'statistik MGPA'!V5+'statistik INU'!V5</f>
        <v>20</v>
      </c>
      <c r="W5" s="96">
        <f>'statistik The Nusa Dua'!W5+'statistik The Mandalika'!W5+'statistik The Golo Mori'!W5+'statistik MGPA'!W5+'statistik INU'!W5</f>
        <v>25</v>
      </c>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5"/>
      <c r="AY5" s="115"/>
    </row>
    <row r="6" spans="1:53">
      <c r="A6" s="314"/>
      <c r="B6" s="112" t="s">
        <v>73</v>
      </c>
      <c r="C6" s="349" t="s">
        <v>74</v>
      </c>
      <c r="D6" s="349"/>
      <c r="E6" s="348"/>
      <c r="F6" s="96">
        <f>'statistik The Nusa Dua'!F6+'statistik The Mandalika'!F6+'statistik The Golo Mori'!F6+'statistik MGPA'!F6+'statistik INU'!F6</f>
        <v>1</v>
      </c>
      <c r="G6" s="96">
        <f>'statistik The Nusa Dua'!G6+'statistik The Mandalika'!G6+'statistik The Golo Mori'!G6+'statistik MGPA'!G6+'statistik INU'!G6</f>
        <v>2</v>
      </c>
      <c r="H6" s="96">
        <f>'statistik The Nusa Dua'!H6+'statistik The Mandalika'!H6+'statistik The Golo Mori'!H6+'statistik MGPA'!H6+'statistik INU'!H6</f>
        <v>0</v>
      </c>
      <c r="I6" s="96">
        <f>'statistik The Nusa Dua'!I6+'statistik The Mandalika'!I6+'statistik The Golo Mori'!I6+'statistik MGPA'!I6+'statistik INU'!I6</f>
        <v>0</v>
      </c>
      <c r="J6" s="96">
        <f>'statistik The Nusa Dua'!J6+'statistik The Mandalika'!J6+'statistik The Golo Mori'!J6+'statistik MGPA'!J6+'statistik INU'!J6</f>
        <v>1</v>
      </c>
      <c r="K6" s="96">
        <f>'statistik The Nusa Dua'!K6+'statistik The Mandalika'!K6+'statistik The Golo Mori'!K6+'statistik MGPA'!K6+'statistik INU'!K6</f>
        <v>0</v>
      </c>
      <c r="L6" s="96">
        <f>'statistik The Nusa Dua'!L6+'statistik The Mandalika'!L6+'statistik The Golo Mori'!L6+'statistik MGPA'!L6+'statistik INU'!L6</f>
        <v>0</v>
      </c>
      <c r="M6" s="96">
        <f>'statistik The Nusa Dua'!M6+'statistik The Mandalika'!M6+'statistik The Golo Mori'!M6+'statistik MGPA'!M6+'statistik INU'!M6</f>
        <v>1</v>
      </c>
      <c r="N6" s="96">
        <f>'statistik The Nusa Dua'!N6+'statistik The Mandalika'!N6+'statistik The Golo Mori'!N6+'statistik MGPA'!N6+'statistik INU'!N6</f>
        <v>0</v>
      </c>
      <c r="O6" s="96">
        <f>'statistik The Nusa Dua'!O6+'statistik The Mandalika'!O6+'statistik The Golo Mori'!O6+'statistik MGPA'!O6+'statistik INU'!O6</f>
        <v>2</v>
      </c>
      <c r="P6" s="96">
        <f>'statistik The Nusa Dua'!P6+'statistik The Mandalika'!P6+'statistik The Golo Mori'!P6+'statistik MGPA'!P6+'statistik INU'!P6</f>
        <v>9</v>
      </c>
      <c r="Q6" s="96">
        <f>'statistik The Nusa Dua'!Q6+'statistik The Mandalika'!Q6+'statistik The Golo Mori'!Q6+'statistik MGPA'!Q6+'statistik INU'!Q6</f>
        <v>7</v>
      </c>
      <c r="R6" s="96">
        <f>'statistik The Nusa Dua'!R6+'statistik The Mandalika'!R6+'statistik The Golo Mori'!R6+'statistik MGPA'!R6+'statistik INU'!R6</f>
        <v>5</v>
      </c>
      <c r="S6" s="96">
        <f>'statistik The Nusa Dua'!S6+'statistik The Mandalika'!S6+'statistik The Golo Mori'!S6+'statistik MGPA'!S6+'statistik INU'!S6</f>
        <v>6</v>
      </c>
      <c r="T6" s="96">
        <f>'statistik The Nusa Dua'!T6+'statistik The Mandalika'!T6+'statistik The Golo Mori'!T6+'statistik MGPA'!T6+'statistik INU'!T6</f>
        <v>11</v>
      </c>
      <c r="U6" s="96">
        <f>'statistik The Nusa Dua'!U6+'statistik The Mandalika'!U6+'statistik The Golo Mori'!U6+'statistik MGPA'!U6+'statistik INU'!U6</f>
        <v>10</v>
      </c>
      <c r="V6" s="96">
        <f>'statistik The Nusa Dua'!V6+'statistik The Mandalika'!V6+'statistik The Golo Mori'!V6+'statistik MGPA'!V6+'statistik INU'!V6</f>
        <v>6</v>
      </c>
      <c r="W6" s="96">
        <f>'statistik The Nusa Dua'!W6+'statistik The Mandalika'!W6+'statistik The Golo Mori'!W6+'statistik MGPA'!W6+'statistik INU'!W6</f>
        <v>17</v>
      </c>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5"/>
      <c r="AY6" s="115"/>
    </row>
    <row r="7" spans="1:53">
      <c r="A7" s="314"/>
      <c r="B7" s="112" t="s">
        <v>75</v>
      </c>
      <c r="C7" s="349" t="s">
        <v>76</v>
      </c>
      <c r="D7" s="349"/>
      <c r="E7" s="348"/>
      <c r="F7" s="96">
        <f>'statistik The Nusa Dua'!F7+'statistik The Mandalika'!F7+'statistik The Golo Mori'!F7+'statistik MGPA'!F7+'statistik INU'!F7</f>
        <v>5</v>
      </c>
      <c r="G7" s="96">
        <f>'statistik The Nusa Dua'!G7+'statistik The Mandalika'!G7+'statistik The Golo Mori'!G7+'statistik MGPA'!G7+'statistik INU'!G7</f>
        <v>5</v>
      </c>
      <c r="H7" s="96">
        <f>'statistik The Nusa Dua'!H7+'statistik The Mandalika'!H7+'statistik The Golo Mori'!H7+'statistik MGPA'!H7+'statistik INU'!H7</f>
        <v>1</v>
      </c>
      <c r="I7" s="96">
        <f>'statistik The Nusa Dua'!I7+'statistik The Mandalika'!I7+'statistik The Golo Mori'!I7+'statistik MGPA'!I7+'statistik INU'!I7</f>
        <v>6</v>
      </c>
      <c r="J7" s="96">
        <f>'statistik The Nusa Dua'!J7+'statistik The Mandalika'!J7+'statistik The Golo Mori'!J7+'statistik MGPA'!J7+'statistik INU'!J7</f>
        <v>8</v>
      </c>
      <c r="K7" s="96">
        <f>'statistik The Nusa Dua'!K7+'statistik The Mandalika'!K7+'statistik The Golo Mori'!K7+'statistik MGPA'!K7+'statistik INU'!K7</f>
        <v>6</v>
      </c>
      <c r="L7" s="96">
        <f>'statistik The Nusa Dua'!L7+'statistik The Mandalika'!L7+'statistik The Golo Mori'!L7+'statistik MGPA'!L7+'statistik INU'!L7</f>
        <v>10</v>
      </c>
      <c r="M7" s="96">
        <f>'statistik The Nusa Dua'!M7+'statistik The Mandalika'!M7+'statistik The Golo Mori'!M7+'statistik MGPA'!M7+'statistik INU'!M7</f>
        <v>14</v>
      </c>
      <c r="N7" s="96">
        <f>'statistik The Nusa Dua'!N7+'statistik The Mandalika'!N7+'statistik The Golo Mori'!N7+'statistik MGPA'!N7+'statistik INU'!N7</f>
        <v>14</v>
      </c>
      <c r="O7" s="96">
        <f>'statistik The Nusa Dua'!O7+'statistik The Mandalika'!O7+'statistik The Golo Mori'!O7+'statistik MGPA'!O7+'statistik INU'!O7</f>
        <v>15</v>
      </c>
      <c r="P7" s="96">
        <f>'statistik The Nusa Dua'!P7+'statistik The Mandalika'!P7+'statistik The Golo Mori'!P7+'statistik MGPA'!P7+'statistik INU'!P7</f>
        <v>7</v>
      </c>
      <c r="Q7" s="96">
        <f>'statistik The Nusa Dua'!Q7+'statistik The Mandalika'!Q7+'statistik The Golo Mori'!Q7+'statistik MGPA'!Q7+'statistik INU'!Q7</f>
        <v>9</v>
      </c>
      <c r="R7" s="96">
        <f>'statistik The Nusa Dua'!R7+'statistik The Mandalika'!R7+'statistik The Golo Mori'!R7+'statistik MGPA'!R7+'statistik INU'!R7</f>
        <v>19</v>
      </c>
      <c r="S7" s="96">
        <f>'statistik The Nusa Dua'!S7+'statistik The Mandalika'!S7+'statistik The Golo Mori'!S7+'statistik MGPA'!S7+'statistik INU'!S7</f>
        <v>11</v>
      </c>
      <c r="T7" s="96">
        <f>'statistik The Nusa Dua'!T7+'statistik The Mandalika'!T7+'statistik The Golo Mori'!T7+'statistik MGPA'!T7+'statistik INU'!T7</f>
        <v>6</v>
      </c>
      <c r="U7" s="96">
        <f>'statistik The Nusa Dua'!U7+'statistik The Mandalika'!U7+'statistik The Golo Mori'!U7+'statistik MGPA'!U7+'statistik INU'!U7</f>
        <v>26</v>
      </c>
      <c r="V7" s="96">
        <f>'statistik The Nusa Dua'!V7+'statistik The Mandalika'!V7+'statistik The Golo Mori'!V7+'statistik MGPA'!V7+'statistik INU'!V7</f>
        <v>19</v>
      </c>
      <c r="W7" s="253">
        <f>'statistik The Nusa Dua'!W7+'statistik The Mandalika'!W7+'statistik The Golo Mori'!W7+'statistik MGPA'!W7+'statistik INU'!W7</f>
        <v>18</v>
      </c>
      <c r="X7" s="114"/>
      <c r="Y7" s="114"/>
      <c r="Z7" s="114"/>
      <c r="AA7" s="114"/>
      <c r="AB7" s="114"/>
      <c r="AC7" s="114"/>
      <c r="AD7" s="114"/>
      <c r="AE7" s="114"/>
      <c r="AF7" s="114"/>
      <c r="AG7" s="114"/>
      <c r="AH7" s="114"/>
      <c r="AI7" s="114"/>
      <c r="AJ7" s="114"/>
      <c r="AK7" s="114"/>
      <c r="AL7" s="114"/>
      <c r="AM7" s="114"/>
      <c r="AN7" s="114"/>
      <c r="AO7" s="114"/>
      <c r="AP7" s="114"/>
      <c r="AQ7" s="114"/>
      <c r="AR7" s="114"/>
      <c r="AS7" s="114"/>
      <c r="AT7" s="114"/>
      <c r="AU7" s="114"/>
      <c r="AV7" s="114"/>
      <c r="AW7" s="114"/>
      <c r="AX7" s="115"/>
      <c r="AY7" s="115"/>
    </row>
    <row r="8" spans="1:53">
      <c r="A8" s="314"/>
      <c r="B8" s="112" t="s">
        <v>77</v>
      </c>
      <c r="C8" s="349" t="str">
        <f>'statistik The Nusa Dua'!C8</f>
        <v>Apresiasi</v>
      </c>
      <c r="D8" s="349"/>
      <c r="E8" s="348"/>
      <c r="F8" s="111">
        <f>'statistik The Nusa Dua'!F8+'statistik The Mandalika'!F8+'statistik The Golo Mori'!F8+'statistik MGPA'!F8+'statistik INU'!F8</f>
        <v>1</v>
      </c>
      <c r="G8" s="111">
        <f>'statistik The Nusa Dua'!G8+'statistik The Mandalika'!G8+'statistik The Golo Mori'!G8+'statistik MGPA'!G8+'statistik INU'!G8</f>
        <v>2</v>
      </c>
      <c r="H8" s="111">
        <f>'statistik The Nusa Dua'!H8+'statistik The Mandalika'!H8+'statistik The Golo Mori'!H8+'statistik MGPA'!H8+'statistik INU'!H8</f>
        <v>0</v>
      </c>
      <c r="I8" s="111">
        <f>'statistik The Nusa Dua'!I8+'statistik The Mandalika'!I8+'statistik The Golo Mori'!I8+'statistik MGPA'!I8+'statistik INU'!I8</f>
        <v>0</v>
      </c>
      <c r="J8" s="111">
        <f>'statistik The Nusa Dua'!J8+'statistik The Mandalika'!J8+'statistik The Golo Mori'!J8+'statistik MGPA'!J8+'statistik INU'!J8</f>
        <v>5</v>
      </c>
      <c r="K8" s="111">
        <f>'statistik The Nusa Dua'!K8+'statistik The Mandalika'!K8+'statistik The Golo Mori'!K8+'statistik MGPA'!K8+'statistik INU'!K8</f>
        <v>4</v>
      </c>
      <c r="L8" s="111">
        <f>'statistik The Nusa Dua'!L8+'statistik The Mandalika'!L8+'statistik The Golo Mori'!L8+'statistik MGPA'!L8+'statistik INU'!L8</f>
        <v>8</v>
      </c>
      <c r="M8" s="111">
        <f>'statistik The Nusa Dua'!M8+'statistik The Mandalika'!M8+'statistik The Golo Mori'!M8+'statistik MGPA'!M8+'statistik INU'!M8</f>
        <v>7</v>
      </c>
      <c r="N8" s="111">
        <f>'statistik The Nusa Dua'!N8+'statistik The Mandalika'!N8+'statistik The Golo Mori'!N8+'statistik MGPA'!N8+'statistik INU'!N8</f>
        <v>5</v>
      </c>
      <c r="O8" s="111">
        <f>'statistik The Nusa Dua'!O8+'statistik The Mandalika'!O8+'statistik The Golo Mori'!O8+'statistik MGPA'!O8+'statistik INU'!O8</f>
        <v>11</v>
      </c>
      <c r="P8" s="111">
        <f>'statistik The Nusa Dua'!P8+'statistik The Mandalika'!P8+'statistik The Golo Mori'!P8+'statistik MGPA'!P8+'statistik INU'!P8</f>
        <v>10</v>
      </c>
      <c r="Q8" s="111">
        <f>'statistik The Nusa Dua'!Q8+'statistik The Mandalika'!Q8+'statistik The Golo Mori'!Q8+'statistik MGPA'!Q8+'statistik INU'!Q8</f>
        <v>10</v>
      </c>
      <c r="R8" s="111">
        <f>'statistik The Nusa Dua'!R8+'statistik The Mandalika'!R8+'statistik The Golo Mori'!R8+'statistik MGPA'!R8+'statistik INU'!R8</f>
        <v>15</v>
      </c>
      <c r="S8" s="111">
        <f>'statistik The Nusa Dua'!S8+'statistik The Mandalika'!S8+'statistik The Golo Mori'!S8+'statistik MGPA'!S8+'statistik INU'!S8</f>
        <v>13</v>
      </c>
      <c r="T8" s="111">
        <f>'statistik The Nusa Dua'!T8+'statistik The Mandalika'!T8+'statistik The Golo Mori'!T8+'statistik MGPA'!T8+'statistik INU'!T8</f>
        <v>9</v>
      </c>
      <c r="U8" s="111">
        <f>'statistik The Nusa Dua'!U8+'statistik The Mandalika'!U8+'statistik The Golo Mori'!U8+'statistik MGPA'!U8+'statistik INU'!U8</f>
        <v>28</v>
      </c>
      <c r="V8" s="111">
        <f>'statistik The Nusa Dua'!V8+'statistik The Mandalika'!V8+'statistik The Golo Mori'!V8+'statistik MGPA'!V8+'statistik INU'!V8</f>
        <v>24</v>
      </c>
      <c r="W8" s="111">
        <f>'statistik The Nusa Dua'!W8+'statistik The Mandalika'!W8+'statistik The Golo Mori'!W8+'statistik MGPA'!W8+'statistik INU'!W8</f>
        <v>26</v>
      </c>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5"/>
      <c r="AY8" s="115"/>
    </row>
    <row r="9" spans="1:53">
      <c r="A9" s="313">
        <v>4</v>
      </c>
      <c r="B9" s="317" t="s">
        <v>78</v>
      </c>
      <c r="C9" s="315"/>
      <c r="D9" s="315"/>
      <c r="E9" s="110" t="s">
        <v>69</v>
      </c>
      <c r="F9" s="111" t="s">
        <v>69</v>
      </c>
      <c r="G9" s="111" t="s">
        <v>69</v>
      </c>
      <c r="H9" s="111" t="s">
        <v>69</v>
      </c>
      <c r="I9" s="111" t="s">
        <v>69</v>
      </c>
      <c r="J9" s="111" t="s">
        <v>69</v>
      </c>
      <c r="K9" s="111" t="s">
        <v>69</v>
      </c>
      <c r="L9" s="111" t="s">
        <v>69</v>
      </c>
      <c r="M9" s="111" t="s">
        <v>69</v>
      </c>
      <c r="N9" s="111" t="s">
        <v>69</v>
      </c>
      <c r="O9" s="111" t="s">
        <v>69</v>
      </c>
      <c r="P9" s="111" t="s">
        <v>69</v>
      </c>
      <c r="Q9" s="111" t="s">
        <v>69</v>
      </c>
      <c r="R9" s="111" t="s">
        <v>69</v>
      </c>
      <c r="S9" s="111" t="s">
        <v>69</v>
      </c>
      <c r="T9" s="111" t="s">
        <v>69</v>
      </c>
      <c r="U9" s="112" t="s">
        <v>69</v>
      </c>
      <c r="V9" s="113"/>
      <c r="W9" s="113"/>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5"/>
      <c r="AY9" s="115"/>
    </row>
    <row r="10" spans="1:53">
      <c r="A10" s="314"/>
      <c r="B10" s="111" t="s">
        <v>70</v>
      </c>
      <c r="C10" s="117" t="s">
        <v>79</v>
      </c>
      <c r="D10" s="112" t="str">
        <f>C5</f>
        <v>Permintaan Informasi</v>
      </c>
      <c r="E10" s="110" t="s">
        <v>69</v>
      </c>
      <c r="F10" s="118">
        <f>'statistik The Nusa Dua'!F10+'statistik The Mandalika'!F10+'statistik The Golo Mori'!F10+'statistik MGPA'!F10+'statistik INU'!F10</f>
        <v>0</v>
      </c>
      <c r="G10" s="118">
        <f>'statistik The Nusa Dua'!G10+'statistik The Mandalika'!G10+'statistik The Golo Mori'!G10+'statistik MGPA'!G10+'statistik INU'!G10</f>
        <v>0</v>
      </c>
      <c r="H10" s="118">
        <f>'statistik The Nusa Dua'!H10+'statistik The Mandalika'!H10+'statistik The Golo Mori'!H10+'statistik MGPA'!H10+'statistik INU'!H10</f>
        <v>0</v>
      </c>
      <c r="I10" s="118">
        <f>'statistik The Nusa Dua'!I10+'statistik The Mandalika'!I10+'statistik The Golo Mori'!I10+'statistik MGPA'!I10+'statistik INU'!I10</f>
        <v>0</v>
      </c>
      <c r="J10" s="118">
        <f>'statistik The Nusa Dua'!J10+'statistik The Mandalika'!J10+'statistik The Golo Mori'!J10+'statistik MGPA'!J10+'statistik INU'!J10</f>
        <v>0</v>
      </c>
      <c r="K10" s="118">
        <f>'statistik The Nusa Dua'!K10+'statistik The Mandalika'!K10+'statistik The Golo Mori'!K10+'statistik MGPA'!K10+'statistik INU'!K10</f>
        <v>0</v>
      </c>
      <c r="L10" s="118">
        <f>'statistik The Nusa Dua'!L10+'statistik The Mandalika'!L10+'statistik The Golo Mori'!L10+'statistik MGPA'!L10+'statistik INU'!L10</f>
        <v>0</v>
      </c>
      <c r="M10" s="118">
        <f>'statistik The Nusa Dua'!M10+'statistik The Mandalika'!M10+'statistik The Golo Mori'!M10+'statistik MGPA'!M10+'statistik INU'!M10</f>
        <v>0</v>
      </c>
      <c r="N10" s="118">
        <f>'statistik The Nusa Dua'!N10+'statistik The Mandalika'!N10+'statistik The Golo Mori'!N10+'statistik MGPA'!N10+'statistik INU'!N10</f>
        <v>0</v>
      </c>
      <c r="O10" s="118">
        <f>'statistik The Nusa Dua'!O10+'statistik The Mandalika'!O10+'statistik The Golo Mori'!O10+'statistik MGPA'!O10+'statistik INU'!O10</f>
        <v>0</v>
      </c>
      <c r="P10" s="118">
        <f>'statistik The Nusa Dua'!P10+'statistik The Mandalika'!P10+'statistik The Golo Mori'!P10+'statistik MGPA'!P10+'statistik INU'!P10</f>
        <v>0</v>
      </c>
      <c r="Q10" s="118">
        <f>'statistik The Nusa Dua'!Q10+'statistik The Mandalika'!Q10+'statistik The Golo Mori'!Q10+'statistik MGPA'!Q10+'statistik INU'!Q10</f>
        <v>0</v>
      </c>
      <c r="R10" s="118">
        <f>'statistik The Nusa Dua'!R10+'statistik The Mandalika'!R10+'statistik The Golo Mori'!R10+'statistik MGPA'!R10+'statistik INU'!R10</f>
        <v>7</v>
      </c>
      <c r="S10" s="118">
        <f>'statistik The Nusa Dua'!S10+'statistik The Mandalika'!S10+'statistik The Golo Mori'!S10+'statistik MGPA'!S10+'statistik INU'!S10</f>
        <v>5</v>
      </c>
      <c r="T10" s="118">
        <f>'statistik The Nusa Dua'!T10+'statistik The Mandalika'!T10+'statistik The Golo Mori'!T10+'statistik MGPA'!T10+'statistik INU'!T10</f>
        <v>2</v>
      </c>
      <c r="U10" s="118">
        <f>'statistik The Nusa Dua'!U10+'statistik The Mandalika'!U10+'statistik The Golo Mori'!U10+'statistik MGPA'!U10+'statistik INU'!U10</f>
        <v>4</v>
      </c>
      <c r="V10" s="118">
        <f>'statistik The Nusa Dua'!V10+'statistik The Mandalika'!V10+'statistik The Golo Mori'!V10+'statistik MGPA'!V10+'statistik INU'!V10</f>
        <v>3</v>
      </c>
      <c r="W10" s="118">
        <f>'statistik The Nusa Dua'!W10+'statistik The Mandalika'!W10+'statistik The Golo Mori'!W10+'statistik MGPA'!W10+'statistik INU'!W10</f>
        <v>3</v>
      </c>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5"/>
      <c r="AY10" s="115"/>
    </row>
    <row r="11" spans="1:53">
      <c r="A11" s="314"/>
      <c r="B11" s="111" t="s">
        <v>69</v>
      </c>
      <c r="C11" s="117" t="s">
        <v>69</v>
      </c>
      <c r="D11" s="112" t="str">
        <f>C6</f>
        <v>Request</v>
      </c>
      <c r="E11" s="110" t="s">
        <v>69</v>
      </c>
      <c r="F11" s="118">
        <f>'statistik The Nusa Dua'!F11+'statistik The Mandalika'!F11+'statistik The Golo Mori'!F11+'statistik MGPA'!F11+'statistik INU'!F11</f>
        <v>0</v>
      </c>
      <c r="G11" s="118">
        <f>'statistik The Nusa Dua'!G11+'statistik The Mandalika'!G11+'statistik The Golo Mori'!G11+'statistik MGPA'!G11+'statistik INU'!G11</f>
        <v>0</v>
      </c>
      <c r="H11" s="118">
        <f>'statistik The Nusa Dua'!H11+'statistik The Mandalika'!H11+'statistik The Golo Mori'!H11+'statistik MGPA'!H11+'statistik INU'!H11</f>
        <v>0</v>
      </c>
      <c r="I11" s="118">
        <f>'statistik The Nusa Dua'!I11+'statistik The Mandalika'!I11+'statistik The Golo Mori'!I11+'statistik MGPA'!I11+'statistik INU'!I11</f>
        <v>0</v>
      </c>
      <c r="J11" s="118">
        <f>'statistik The Nusa Dua'!J11+'statistik The Mandalika'!J11+'statistik The Golo Mori'!J11+'statistik MGPA'!J11+'statistik INU'!J11</f>
        <v>0</v>
      </c>
      <c r="K11" s="118">
        <f>'statistik The Nusa Dua'!K11+'statistik The Mandalika'!K11+'statistik The Golo Mori'!K11+'statistik MGPA'!K11+'statistik INU'!K11</f>
        <v>0</v>
      </c>
      <c r="L11" s="118">
        <f>'statistik The Nusa Dua'!L11+'statistik The Mandalika'!L11+'statistik The Golo Mori'!L11+'statistik MGPA'!L11+'statistik INU'!L11</f>
        <v>0</v>
      </c>
      <c r="M11" s="118">
        <f>'statistik The Nusa Dua'!M11+'statistik The Mandalika'!M11+'statistik The Golo Mori'!M11+'statistik MGPA'!M11+'statistik INU'!M11</f>
        <v>0</v>
      </c>
      <c r="N11" s="118">
        <f>'statistik The Nusa Dua'!N11+'statistik The Mandalika'!N11+'statistik The Golo Mori'!N11+'statistik MGPA'!N11+'statistik INU'!N11</f>
        <v>0</v>
      </c>
      <c r="O11" s="118">
        <f>'statistik The Nusa Dua'!O11+'statistik The Mandalika'!O11+'statistik The Golo Mori'!O11+'statistik MGPA'!O11+'statistik INU'!O11</f>
        <v>0</v>
      </c>
      <c r="P11" s="118">
        <f>'statistik The Nusa Dua'!P11+'statistik The Mandalika'!P11+'statistik The Golo Mori'!P11+'statistik MGPA'!P11+'statistik INU'!P11</f>
        <v>0</v>
      </c>
      <c r="Q11" s="118">
        <f>'statistik The Nusa Dua'!Q11+'statistik The Mandalika'!Q11+'statistik The Golo Mori'!Q11+'statistik MGPA'!Q11+'statistik INU'!Q11</f>
        <v>0</v>
      </c>
      <c r="R11" s="118">
        <f>'statistik The Nusa Dua'!R11+'statistik The Mandalika'!R11+'statistik The Golo Mori'!R11+'statistik MGPA'!R11+'statistik INU'!R11</f>
        <v>0</v>
      </c>
      <c r="S11" s="118">
        <f>'statistik The Nusa Dua'!S11+'statistik The Mandalika'!S11+'statistik The Golo Mori'!S11+'statistik MGPA'!S11+'statistik INU'!S11</f>
        <v>0</v>
      </c>
      <c r="T11" s="118">
        <f>'statistik The Nusa Dua'!T11+'statistik The Mandalika'!T11+'statistik The Golo Mori'!T11+'statistik MGPA'!T11+'statistik INU'!T11</f>
        <v>0</v>
      </c>
      <c r="U11" s="118">
        <f>'statistik The Nusa Dua'!U11+'statistik The Mandalika'!U11+'statistik The Golo Mori'!U11+'statistik MGPA'!U11+'statistik INU'!U11</f>
        <v>0</v>
      </c>
      <c r="V11" s="118">
        <f>'statistik The Nusa Dua'!V11+'statistik The Mandalika'!V11+'statistik The Golo Mori'!V11+'statistik MGPA'!V11+'statistik INU'!V11</f>
        <v>0</v>
      </c>
      <c r="W11" s="118">
        <f>'statistik The Nusa Dua'!W11+'statistik The Mandalika'!W11+'statistik The Golo Mori'!W11+'statistik MGPA'!W11+'statistik INU'!W11</f>
        <v>0</v>
      </c>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5"/>
      <c r="AY11" s="115"/>
    </row>
    <row r="12" spans="1:53">
      <c r="A12" s="314"/>
      <c r="B12" s="111" t="s">
        <v>69</v>
      </c>
      <c r="C12" s="117" t="s">
        <v>69</v>
      </c>
      <c r="D12" s="112" t="str">
        <f>C7</f>
        <v>Keluhan</v>
      </c>
      <c r="E12" s="110" t="s">
        <v>69</v>
      </c>
      <c r="F12" s="118">
        <f>'statistik The Nusa Dua'!F12+'statistik The Mandalika'!F12+'statistik The Golo Mori'!F12+'statistik MGPA'!F12+'statistik INU'!F12</f>
        <v>1</v>
      </c>
      <c r="G12" s="118">
        <f>'statistik The Nusa Dua'!G12+'statistik The Mandalika'!G12+'statistik The Golo Mori'!G12+'statistik MGPA'!G12+'statistik INU'!G12</f>
        <v>2</v>
      </c>
      <c r="H12" s="118">
        <f>'statistik The Nusa Dua'!H12+'statistik The Mandalika'!H12+'statistik The Golo Mori'!H12+'statistik MGPA'!H12+'statistik INU'!H12</f>
        <v>1</v>
      </c>
      <c r="I12" s="118">
        <f>'statistik The Nusa Dua'!I12+'statistik The Mandalika'!I12+'statistik The Golo Mori'!I12+'statistik MGPA'!I12+'statistik INU'!I12</f>
        <v>0</v>
      </c>
      <c r="J12" s="118">
        <f>'statistik The Nusa Dua'!J12+'statistik The Mandalika'!J12+'statistik The Golo Mori'!J12+'statistik MGPA'!J12+'statistik INU'!J12</f>
        <v>1</v>
      </c>
      <c r="K12" s="118">
        <f>'statistik The Nusa Dua'!K12+'statistik The Mandalika'!K12+'statistik The Golo Mori'!K12+'statistik MGPA'!K12+'statistik INU'!K12</f>
        <v>0</v>
      </c>
      <c r="L12" s="118">
        <f>'statistik The Nusa Dua'!L12+'statistik The Mandalika'!L12+'statistik The Golo Mori'!L12+'statistik MGPA'!L12+'statistik INU'!L12</f>
        <v>0</v>
      </c>
      <c r="M12" s="118">
        <f>'statistik The Nusa Dua'!M12+'statistik The Mandalika'!M12+'statistik The Golo Mori'!M12+'statistik MGPA'!M12+'statistik INU'!M12</f>
        <v>0</v>
      </c>
      <c r="N12" s="118">
        <f>'statistik The Nusa Dua'!N12+'statistik The Mandalika'!N12+'statistik The Golo Mori'!N12+'statistik MGPA'!N12+'statistik INU'!N12</f>
        <v>1</v>
      </c>
      <c r="O12" s="118">
        <f>'statistik The Nusa Dua'!O12+'statistik The Mandalika'!O12+'statistik The Golo Mori'!O12+'statistik MGPA'!O12+'statistik INU'!O12</f>
        <v>0</v>
      </c>
      <c r="P12" s="118">
        <f>'statistik The Nusa Dua'!P12+'statistik The Mandalika'!P12+'statistik The Golo Mori'!P12+'statistik MGPA'!P12+'statistik INU'!P12</f>
        <v>0</v>
      </c>
      <c r="Q12" s="118">
        <f>'statistik The Nusa Dua'!Q12+'statistik The Mandalika'!Q12+'statistik The Golo Mori'!Q12+'statistik MGPA'!Q12+'statistik INU'!Q12</f>
        <v>0</v>
      </c>
      <c r="R12" s="118">
        <f>'statistik The Nusa Dua'!R12+'statistik The Mandalika'!R12+'statistik The Golo Mori'!R12+'statistik MGPA'!R12+'statistik INU'!R12</f>
        <v>0</v>
      </c>
      <c r="S12" s="118">
        <f>'statistik The Nusa Dua'!S12+'statistik The Mandalika'!S12+'statistik The Golo Mori'!S12+'statistik MGPA'!S12+'statistik INU'!S12</f>
        <v>0</v>
      </c>
      <c r="T12" s="118">
        <f>'statistik The Nusa Dua'!T12+'statistik The Mandalika'!T12+'statistik The Golo Mori'!T12+'statistik MGPA'!T12+'statistik INU'!T12</f>
        <v>0</v>
      </c>
      <c r="U12" s="118">
        <f>'statistik The Nusa Dua'!U12+'statistik The Mandalika'!U12+'statistik The Golo Mori'!U12+'statistik MGPA'!U12+'statistik INU'!U12</f>
        <v>0</v>
      </c>
      <c r="V12" s="118">
        <f>'statistik The Nusa Dua'!V12+'statistik The Mandalika'!V12+'statistik The Golo Mori'!V12+'statistik MGPA'!V12+'statistik INU'!V12</f>
        <v>0</v>
      </c>
      <c r="W12" s="118">
        <f>'statistik The Nusa Dua'!W12+'statistik The Mandalika'!W12+'statistik The Golo Mori'!W12+'statistik MGPA'!W12+'statistik INU'!W12</f>
        <v>0</v>
      </c>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5"/>
      <c r="AY12" s="115"/>
    </row>
    <row r="13" spans="1:53">
      <c r="A13" s="314"/>
      <c r="B13" s="111" t="s">
        <v>69</v>
      </c>
      <c r="C13" s="117" t="s">
        <v>69</v>
      </c>
      <c r="D13" s="112" t="str">
        <f>C8</f>
        <v>Apresiasi</v>
      </c>
      <c r="E13" s="110" t="s">
        <v>69</v>
      </c>
      <c r="F13" s="118">
        <f>'statistik The Nusa Dua'!F13+'statistik The Mandalika'!F13+'statistik The Golo Mori'!F13+'statistik MGPA'!F13+'statistik INU'!F13</f>
        <v>0</v>
      </c>
      <c r="G13" s="118">
        <f>'statistik The Nusa Dua'!G13+'statistik The Mandalika'!G13+'statistik The Golo Mori'!G13+'statistik MGPA'!G13+'statistik INU'!G13</f>
        <v>0</v>
      </c>
      <c r="H13" s="118">
        <f>'statistik The Nusa Dua'!H13+'statistik The Mandalika'!H13+'statistik The Golo Mori'!H13+'statistik MGPA'!H13+'statistik INU'!H13</f>
        <v>0</v>
      </c>
      <c r="I13" s="118">
        <f>'statistik The Nusa Dua'!I13+'statistik The Mandalika'!I13+'statistik The Golo Mori'!I13+'statistik MGPA'!I13+'statistik INU'!I13</f>
        <v>0</v>
      </c>
      <c r="J13" s="118">
        <f>'statistik The Nusa Dua'!J13+'statistik The Mandalika'!J13+'statistik The Golo Mori'!J13+'statistik MGPA'!J13+'statistik INU'!J13</f>
        <v>0</v>
      </c>
      <c r="K13" s="118">
        <f>'statistik The Nusa Dua'!K13+'statistik The Mandalika'!K13+'statistik The Golo Mori'!K13+'statistik MGPA'!K13+'statistik INU'!K13</f>
        <v>0</v>
      </c>
      <c r="L13" s="118">
        <f>'statistik The Nusa Dua'!L13+'statistik The Mandalika'!L13+'statistik The Golo Mori'!L13+'statistik MGPA'!L13+'statistik INU'!L13</f>
        <v>0</v>
      </c>
      <c r="M13" s="118">
        <f>'statistik The Nusa Dua'!M13+'statistik The Mandalika'!M13+'statistik The Golo Mori'!M13+'statistik MGPA'!M13+'statistik INU'!M13</f>
        <v>0</v>
      </c>
      <c r="N13" s="118">
        <f>'statistik The Nusa Dua'!N13+'statistik The Mandalika'!N13+'statistik The Golo Mori'!N13+'statistik MGPA'!N13+'statistik INU'!N13</f>
        <v>0</v>
      </c>
      <c r="O13" s="118">
        <f>'statistik The Nusa Dua'!O13+'statistik The Mandalika'!O13+'statistik The Golo Mori'!O13+'statistik MGPA'!O13+'statistik INU'!O13</f>
        <v>0</v>
      </c>
      <c r="P13" s="118">
        <f>'statistik The Nusa Dua'!P13+'statistik The Mandalika'!P13+'statistik The Golo Mori'!P13+'statistik MGPA'!P13+'statistik INU'!P13</f>
        <v>0</v>
      </c>
      <c r="Q13" s="118">
        <f>'statistik The Nusa Dua'!Q13+'statistik The Mandalika'!Q13+'statistik The Golo Mori'!Q13+'statistik MGPA'!Q13+'statistik INU'!Q13</f>
        <v>0</v>
      </c>
      <c r="R13" s="118">
        <f>'statistik The Nusa Dua'!R13+'statistik The Mandalika'!R13+'statistik The Golo Mori'!R13+'statistik MGPA'!R13+'statistik INU'!R13</f>
        <v>0</v>
      </c>
      <c r="S13" s="118">
        <f>'statistik The Nusa Dua'!S13+'statistik The Mandalika'!S13+'statistik The Golo Mori'!S13+'statistik MGPA'!S13+'statistik INU'!S13</f>
        <v>0</v>
      </c>
      <c r="T13" s="118">
        <f>'statistik The Nusa Dua'!T13+'statistik The Mandalika'!T13+'statistik The Golo Mori'!T13+'statistik MGPA'!T13+'statistik INU'!T13</f>
        <v>0</v>
      </c>
      <c r="U13" s="118">
        <f>'statistik The Nusa Dua'!U13+'statistik The Mandalika'!U13+'statistik The Golo Mori'!U13+'statistik MGPA'!U13+'statistik INU'!U13</f>
        <v>0</v>
      </c>
      <c r="V13" s="118">
        <f>'statistik The Nusa Dua'!V13+'statistik The Mandalika'!V13+'statistik The Golo Mori'!V13+'statistik MGPA'!V13+'statistik INU'!V13</f>
        <v>0</v>
      </c>
      <c r="W13" s="118">
        <f>'statistik The Nusa Dua'!W13+'statistik The Mandalika'!W13+'statistik The Golo Mori'!W13+'statistik MGPA'!W13+'statistik INU'!W13</f>
        <v>0</v>
      </c>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5"/>
      <c r="AY13" s="115"/>
    </row>
    <row r="14" spans="1:53" ht="24.75">
      <c r="A14" s="314"/>
      <c r="B14" s="111" t="s">
        <v>73</v>
      </c>
      <c r="C14" s="120" t="s">
        <v>80</v>
      </c>
      <c r="D14" s="112" t="str">
        <f>C5</f>
        <v>Permintaan Informasi</v>
      </c>
      <c r="E14" s="110" t="s">
        <v>69</v>
      </c>
      <c r="F14" s="118">
        <f>'statistik The Nusa Dua'!F14+'statistik The Mandalika'!F14+'statistik The Golo Mori'!F14+'statistik MGPA'!F14+'statistik INU'!F14</f>
        <v>0</v>
      </c>
      <c r="G14" s="118">
        <f>'statistik The Nusa Dua'!G14+'statistik The Mandalika'!G14+'statistik The Golo Mori'!G14+'statistik MGPA'!G14+'statistik INU'!G14</f>
        <v>0</v>
      </c>
      <c r="H14" s="118">
        <f>'statistik The Nusa Dua'!H14+'statistik The Mandalika'!H14+'statistik The Golo Mori'!H14+'statistik MGPA'!H14+'statistik INU'!H14</f>
        <v>0</v>
      </c>
      <c r="I14" s="118">
        <f>'statistik The Nusa Dua'!I14+'statistik The Mandalika'!I14+'statistik The Golo Mori'!I14+'statistik MGPA'!I14+'statistik INU'!I14</f>
        <v>0</v>
      </c>
      <c r="J14" s="118">
        <f>'statistik The Nusa Dua'!J14+'statistik The Mandalika'!J14+'statistik The Golo Mori'!J14+'statistik MGPA'!J14+'statistik INU'!J14</f>
        <v>0</v>
      </c>
      <c r="K14" s="118">
        <f>'statistik The Nusa Dua'!K14+'statistik The Mandalika'!K14+'statistik The Golo Mori'!K14+'statistik MGPA'!K14+'statistik INU'!K14</f>
        <v>0</v>
      </c>
      <c r="L14" s="118">
        <f>'statistik The Nusa Dua'!L14+'statistik The Mandalika'!L14+'statistik The Golo Mori'!L14+'statistik MGPA'!L14+'statistik INU'!L14</f>
        <v>0</v>
      </c>
      <c r="M14" s="118">
        <f>'statistik The Nusa Dua'!M14+'statistik The Mandalika'!M14+'statistik The Golo Mori'!M14+'statistik MGPA'!M14+'statistik INU'!M14</f>
        <v>0</v>
      </c>
      <c r="N14" s="118">
        <f>'statistik The Nusa Dua'!N14+'statistik The Mandalika'!N14+'statistik The Golo Mori'!N14+'statistik MGPA'!N14+'statistik INU'!N14</f>
        <v>0</v>
      </c>
      <c r="O14" s="118">
        <f>'statistik The Nusa Dua'!O14+'statistik The Mandalika'!O14+'statistik The Golo Mori'!O14+'statistik MGPA'!O14+'statistik INU'!O14</f>
        <v>0</v>
      </c>
      <c r="P14" s="118">
        <f>'statistik The Nusa Dua'!P14+'statistik The Mandalika'!P14+'statistik The Golo Mori'!P14+'statistik MGPA'!P14+'statistik INU'!P14</f>
        <v>0</v>
      </c>
      <c r="Q14" s="118">
        <f>'statistik The Nusa Dua'!Q14+'statistik The Mandalika'!Q14+'statistik The Golo Mori'!Q14+'statistik MGPA'!Q14+'statistik INU'!Q14</f>
        <v>0</v>
      </c>
      <c r="R14" s="118">
        <f>'statistik The Nusa Dua'!R14+'statistik The Mandalika'!R14+'statistik The Golo Mori'!R14+'statistik MGPA'!R14+'statistik INU'!R14</f>
        <v>0</v>
      </c>
      <c r="S14" s="118">
        <f>'statistik The Nusa Dua'!S14+'statistik The Mandalika'!S14+'statistik The Golo Mori'!S14+'statistik MGPA'!S14+'statistik INU'!S14</f>
        <v>0</v>
      </c>
      <c r="T14" s="118">
        <f>'statistik The Nusa Dua'!T14+'statistik The Mandalika'!T14+'statistik The Golo Mori'!T14+'statistik MGPA'!T14+'statistik INU'!T14</f>
        <v>0</v>
      </c>
      <c r="U14" s="118">
        <f>'statistik The Nusa Dua'!U14+'statistik The Mandalika'!U14+'statistik The Golo Mori'!U14+'statistik MGPA'!U14+'statistik INU'!U14</f>
        <v>0</v>
      </c>
      <c r="V14" s="118">
        <f>'statistik The Nusa Dua'!V14+'statistik The Mandalika'!V14+'statistik The Golo Mori'!V14+'statistik MGPA'!V14+'statistik INU'!V14</f>
        <v>0</v>
      </c>
      <c r="W14" s="118">
        <f>'statistik The Nusa Dua'!W14+'statistik The Mandalika'!W14+'statistik The Golo Mori'!W14+'statistik MGPA'!W14+'statistik INU'!W14</f>
        <v>0</v>
      </c>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5"/>
      <c r="AY14" s="115"/>
    </row>
    <row r="15" spans="1:53">
      <c r="A15" s="314"/>
      <c r="B15" s="111" t="s">
        <v>69</v>
      </c>
      <c r="C15" s="117" t="s">
        <v>69</v>
      </c>
      <c r="D15" s="112" t="s">
        <v>81</v>
      </c>
      <c r="E15" s="110" t="s">
        <v>69</v>
      </c>
      <c r="F15" s="118">
        <f>'statistik The Nusa Dua'!F15+'statistik The Mandalika'!F15+'statistik The Golo Mori'!F15+'statistik MGPA'!F15+'statistik INU'!F15</f>
        <v>0</v>
      </c>
      <c r="G15" s="118">
        <f>'statistik The Nusa Dua'!G15+'statistik The Mandalika'!G15+'statistik The Golo Mori'!G15+'statistik MGPA'!G15+'statistik INU'!G15</f>
        <v>0</v>
      </c>
      <c r="H15" s="118">
        <f>'statistik The Nusa Dua'!H15+'statistik The Mandalika'!H15+'statistik The Golo Mori'!H15+'statistik MGPA'!H15+'statistik INU'!H15</f>
        <v>0</v>
      </c>
      <c r="I15" s="118">
        <f>'statistik The Nusa Dua'!I15+'statistik The Mandalika'!I15+'statistik The Golo Mori'!I15+'statistik MGPA'!I15+'statistik INU'!I15</f>
        <v>0</v>
      </c>
      <c r="J15" s="118">
        <f>'statistik The Nusa Dua'!J15+'statistik The Mandalika'!J15+'statistik The Golo Mori'!J15+'statistik MGPA'!J15+'statistik INU'!J15</f>
        <v>0</v>
      </c>
      <c r="K15" s="118">
        <f>'statistik The Nusa Dua'!K15+'statistik The Mandalika'!K15+'statistik The Golo Mori'!K15+'statistik MGPA'!K15+'statistik INU'!K15</f>
        <v>0</v>
      </c>
      <c r="L15" s="118">
        <f>'statistik The Nusa Dua'!L15+'statistik The Mandalika'!L15+'statistik The Golo Mori'!L15+'statistik MGPA'!L15+'statistik INU'!L15</f>
        <v>0</v>
      </c>
      <c r="M15" s="118">
        <f>'statistik The Nusa Dua'!M15+'statistik The Mandalika'!M15+'statistik The Golo Mori'!M15+'statistik MGPA'!M15+'statistik INU'!M15</f>
        <v>0</v>
      </c>
      <c r="N15" s="118">
        <f>'statistik The Nusa Dua'!N15+'statistik The Mandalika'!N15+'statistik The Golo Mori'!N15+'statistik MGPA'!N15+'statistik INU'!N15</f>
        <v>0</v>
      </c>
      <c r="O15" s="118">
        <f>'statistik The Nusa Dua'!O15+'statistik The Mandalika'!O15+'statistik The Golo Mori'!O15+'statistik MGPA'!O15+'statistik INU'!O15</f>
        <v>0</v>
      </c>
      <c r="P15" s="118">
        <f>'statistik The Nusa Dua'!P15+'statistik The Mandalika'!P15+'statistik The Golo Mori'!P15+'statistik MGPA'!P15+'statistik INU'!P15</f>
        <v>0</v>
      </c>
      <c r="Q15" s="118">
        <f>'statistik The Nusa Dua'!Q15+'statistik The Mandalika'!Q15+'statistik The Golo Mori'!Q15+'statistik MGPA'!Q15+'statistik INU'!Q15</f>
        <v>0</v>
      </c>
      <c r="R15" s="118">
        <f>'statistik The Nusa Dua'!R15+'statistik The Mandalika'!R15+'statistik The Golo Mori'!R15+'statistik MGPA'!R15+'statistik INU'!R15</f>
        <v>0</v>
      </c>
      <c r="S15" s="118">
        <f>'statistik The Nusa Dua'!S15+'statistik The Mandalika'!S15+'statistik The Golo Mori'!S15+'statistik MGPA'!S15+'statistik INU'!S15</f>
        <v>0</v>
      </c>
      <c r="T15" s="118">
        <f>'statistik The Nusa Dua'!T15+'statistik The Mandalika'!T15+'statistik The Golo Mori'!T15+'statistik MGPA'!T15+'statistik INU'!T15</f>
        <v>0</v>
      </c>
      <c r="U15" s="118">
        <f>'statistik The Nusa Dua'!U15+'statistik The Mandalika'!U15+'statistik The Golo Mori'!U15+'statistik MGPA'!U15+'statistik INU'!U15</f>
        <v>0</v>
      </c>
      <c r="V15" s="118">
        <f>'statistik The Nusa Dua'!V15+'statistik The Mandalika'!V15+'statistik The Golo Mori'!V15+'statistik MGPA'!V15+'statistik INU'!V15</f>
        <v>0</v>
      </c>
      <c r="W15" s="118">
        <f>'statistik The Nusa Dua'!W15+'statistik The Mandalika'!W15+'statistik The Golo Mori'!W15+'statistik MGPA'!W15+'statistik INU'!W15</f>
        <v>0</v>
      </c>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5"/>
      <c r="AY15" s="115"/>
    </row>
    <row r="16" spans="1:53">
      <c r="A16" s="314"/>
      <c r="B16" s="111" t="s">
        <v>69</v>
      </c>
      <c r="C16" s="117" t="s">
        <v>69</v>
      </c>
      <c r="D16" s="112" t="str">
        <f>C7</f>
        <v>Keluhan</v>
      </c>
      <c r="E16" s="110" t="s">
        <v>69</v>
      </c>
      <c r="F16" s="118">
        <f>'statistik The Nusa Dua'!F16+'statistik The Mandalika'!F16+'statistik The Golo Mori'!F16+'statistik MGPA'!F16+'statistik INU'!F16</f>
        <v>0</v>
      </c>
      <c r="G16" s="118">
        <f>'statistik The Nusa Dua'!G16+'statistik The Mandalika'!G16+'statistik The Golo Mori'!G16+'statistik MGPA'!G16+'statistik INU'!G16</f>
        <v>0</v>
      </c>
      <c r="H16" s="118">
        <f>'statistik The Nusa Dua'!H16+'statistik The Mandalika'!H16+'statistik The Golo Mori'!H16+'statistik MGPA'!H16+'statistik INU'!H16</f>
        <v>0</v>
      </c>
      <c r="I16" s="118">
        <f>'statistik The Nusa Dua'!I16+'statistik The Mandalika'!I16+'statistik The Golo Mori'!I16+'statistik MGPA'!I16+'statistik INU'!I16</f>
        <v>0</v>
      </c>
      <c r="J16" s="118">
        <f>'statistik The Nusa Dua'!J16+'statistik The Mandalika'!J16+'statistik The Golo Mori'!J16+'statistik MGPA'!J16+'statistik INU'!J16</f>
        <v>3</v>
      </c>
      <c r="K16" s="118">
        <f>'statistik The Nusa Dua'!K16+'statistik The Mandalika'!K16+'statistik The Golo Mori'!K16+'statistik MGPA'!K16+'statistik INU'!K16</f>
        <v>0</v>
      </c>
      <c r="L16" s="118">
        <f>'statistik The Nusa Dua'!L16+'statistik The Mandalika'!L16+'statistik The Golo Mori'!L16+'statistik MGPA'!L16+'statistik INU'!L16</f>
        <v>1</v>
      </c>
      <c r="M16" s="118">
        <f>'statistik The Nusa Dua'!M16+'statistik The Mandalika'!M16+'statistik The Golo Mori'!M16+'statistik MGPA'!M16+'statistik INU'!M16</f>
        <v>1</v>
      </c>
      <c r="N16" s="118">
        <f>'statistik The Nusa Dua'!N16+'statistik The Mandalika'!N16+'statistik The Golo Mori'!N16+'statistik MGPA'!N16+'statistik INU'!N16</f>
        <v>0</v>
      </c>
      <c r="O16" s="118">
        <f>'statistik The Nusa Dua'!O16+'statistik The Mandalika'!O16+'statistik The Golo Mori'!O16+'statistik MGPA'!O16+'statistik INU'!O16</f>
        <v>0</v>
      </c>
      <c r="P16" s="118">
        <f>'statistik The Nusa Dua'!P16+'statistik The Mandalika'!P16+'statistik The Golo Mori'!P16+'statistik MGPA'!P16+'statistik INU'!P16</f>
        <v>1</v>
      </c>
      <c r="Q16" s="118">
        <f>'statistik The Nusa Dua'!Q16+'statistik The Mandalika'!Q16+'statistik The Golo Mori'!Q16+'statistik MGPA'!Q16+'statistik INU'!Q16</f>
        <v>0</v>
      </c>
      <c r="R16" s="118">
        <f>'statistik The Nusa Dua'!R16+'statistik The Mandalika'!R16+'statistik The Golo Mori'!R16+'statistik MGPA'!R16+'statistik INU'!R16</f>
        <v>1</v>
      </c>
      <c r="S16" s="118">
        <f>'statistik The Nusa Dua'!S16+'statistik The Mandalika'!S16+'statistik The Golo Mori'!S16+'statistik MGPA'!S16+'statistik INU'!S16</f>
        <v>4</v>
      </c>
      <c r="T16" s="118">
        <f>'statistik The Nusa Dua'!T16+'statistik The Mandalika'!T16+'statistik The Golo Mori'!T16+'statistik MGPA'!T16+'statistik INU'!T16</f>
        <v>0</v>
      </c>
      <c r="U16" s="118">
        <f>'statistik The Nusa Dua'!U16+'statistik The Mandalika'!U16+'statistik The Golo Mori'!U16+'statistik MGPA'!U16+'statistik INU'!U16</f>
        <v>10</v>
      </c>
      <c r="V16" s="118">
        <f>'statistik The Nusa Dua'!V16+'statistik The Mandalika'!V16+'statistik The Golo Mori'!V16+'statistik MGPA'!V16+'statistik INU'!V16</f>
        <v>5</v>
      </c>
      <c r="W16" s="118">
        <f>'statistik The Nusa Dua'!W16+'statistik The Mandalika'!W16+'statistik The Golo Mori'!W16+'statistik MGPA'!W16+'statistik INU'!W16</f>
        <v>1</v>
      </c>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5"/>
      <c r="AY16" s="115"/>
    </row>
    <row r="17" spans="1:51">
      <c r="A17" s="314"/>
      <c r="B17" s="111" t="s">
        <v>69</v>
      </c>
      <c r="C17" s="117" t="s">
        <v>69</v>
      </c>
      <c r="D17" s="112" t="str">
        <f>C8</f>
        <v>Apresiasi</v>
      </c>
      <c r="E17" s="110" t="s">
        <v>69</v>
      </c>
      <c r="F17" s="118">
        <f>'statistik The Nusa Dua'!F17+'statistik The Mandalika'!F17+'statistik The Golo Mori'!F17+'statistik MGPA'!F17+'statistik INU'!F17</f>
        <v>0</v>
      </c>
      <c r="G17" s="118">
        <f>'statistik The Nusa Dua'!G17+'statistik The Mandalika'!G17+'statistik The Golo Mori'!G17+'statistik MGPA'!G17+'statistik INU'!G17</f>
        <v>0</v>
      </c>
      <c r="H17" s="118">
        <f>'statistik The Nusa Dua'!H17+'statistik The Mandalika'!H17+'statistik The Golo Mori'!H17+'statistik MGPA'!H17+'statistik INU'!H17</f>
        <v>0</v>
      </c>
      <c r="I17" s="118">
        <f>'statistik The Nusa Dua'!I17+'statistik The Mandalika'!I17+'statistik The Golo Mori'!I17+'statistik MGPA'!I17+'statistik INU'!I17</f>
        <v>0</v>
      </c>
      <c r="J17" s="118">
        <f>'statistik The Nusa Dua'!J17+'statistik The Mandalika'!J17+'statistik The Golo Mori'!J17+'statistik MGPA'!J17+'statistik INU'!J17</f>
        <v>0</v>
      </c>
      <c r="K17" s="118">
        <f>'statistik The Nusa Dua'!K17+'statistik The Mandalika'!K17+'statistik The Golo Mori'!K17+'statistik MGPA'!K17+'statistik INU'!K17</f>
        <v>0</v>
      </c>
      <c r="L17" s="118">
        <f>'statistik The Nusa Dua'!L17+'statistik The Mandalika'!L17+'statistik The Golo Mori'!L17+'statistik MGPA'!L17+'statistik INU'!L17</f>
        <v>0</v>
      </c>
      <c r="M17" s="118">
        <f>'statistik The Nusa Dua'!M17+'statistik The Mandalika'!M17+'statistik The Golo Mori'!M17+'statistik MGPA'!M17+'statistik INU'!M17</f>
        <v>0</v>
      </c>
      <c r="N17" s="118">
        <f>'statistik The Nusa Dua'!N17+'statistik The Mandalika'!N17+'statistik The Golo Mori'!N17+'statistik MGPA'!N17+'statistik INU'!N17</f>
        <v>0</v>
      </c>
      <c r="O17" s="118">
        <f>'statistik The Nusa Dua'!O17+'statistik The Mandalika'!O17+'statistik The Golo Mori'!O17+'statistik MGPA'!O17+'statistik INU'!O17</f>
        <v>0</v>
      </c>
      <c r="P17" s="118">
        <f>'statistik The Nusa Dua'!P17+'statistik The Mandalika'!P17+'statistik The Golo Mori'!P17+'statistik MGPA'!P17+'statistik INU'!P17</f>
        <v>0</v>
      </c>
      <c r="Q17" s="118">
        <f>'statistik The Nusa Dua'!Q17+'statistik The Mandalika'!Q17+'statistik The Golo Mori'!Q17+'statistik MGPA'!Q17+'statistik INU'!Q17</f>
        <v>0</v>
      </c>
      <c r="R17" s="118">
        <f>'statistik The Nusa Dua'!R17+'statistik The Mandalika'!R17+'statistik The Golo Mori'!R17+'statistik MGPA'!R17+'statistik INU'!R17</f>
        <v>0</v>
      </c>
      <c r="S17" s="118">
        <f>'statistik The Nusa Dua'!S17+'statistik The Mandalika'!S17+'statistik The Golo Mori'!S17+'statistik MGPA'!S17+'statistik INU'!S17</f>
        <v>0</v>
      </c>
      <c r="T17" s="118">
        <f>'statistik The Nusa Dua'!T17+'statistik The Mandalika'!T17+'statistik The Golo Mori'!T17+'statistik MGPA'!T17+'statistik INU'!T17</f>
        <v>0</v>
      </c>
      <c r="U17" s="118">
        <f>'statistik The Nusa Dua'!U17+'statistik The Mandalika'!U17+'statistik The Golo Mori'!U17+'statistik MGPA'!U17+'statistik INU'!U17</f>
        <v>0</v>
      </c>
      <c r="V17" s="118">
        <f>'statistik The Nusa Dua'!V17+'statistik The Mandalika'!V17+'statistik The Golo Mori'!V17+'statistik MGPA'!V17+'statistik INU'!V17</f>
        <v>0</v>
      </c>
      <c r="W17" s="118">
        <f>'statistik The Nusa Dua'!W17+'statistik The Mandalika'!W17+'statistik The Golo Mori'!W17+'statistik MGPA'!W17+'statistik INU'!W17</f>
        <v>0</v>
      </c>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5"/>
      <c r="AY17" s="115"/>
    </row>
    <row r="18" spans="1:51">
      <c r="A18" s="314"/>
      <c r="B18" s="112" t="s">
        <v>75</v>
      </c>
      <c r="C18" s="119" t="s">
        <v>82</v>
      </c>
      <c r="D18" s="112" t="str">
        <f>C5</f>
        <v>Permintaan Informasi</v>
      </c>
      <c r="E18" s="110" t="s">
        <v>69</v>
      </c>
      <c r="F18" s="118">
        <f>'statistik The Nusa Dua'!F18+'statistik The Mandalika'!F18+'statistik The Golo Mori'!F18+'statistik MGPA'!F18+'statistik INU'!F18</f>
        <v>0</v>
      </c>
      <c r="G18" s="118">
        <f>'statistik The Nusa Dua'!G18+'statistik The Mandalika'!G18+'statistik The Golo Mori'!G18+'statistik MGPA'!G18+'statistik INU'!G18</f>
        <v>0</v>
      </c>
      <c r="H18" s="118">
        <f>'statistik The Nusa Dua'!H18+'statistik The Mandalika'!H18+'statistik The Golo Mori'!H18+'statistik MGPA'!H18+'statistik INU'!H18</f>
        <v>0</v>
      </c>
      <c r="I18" s="118">
        <f>'statistik The Nusa Dua'!I18+'statistik The Mandalika'!I18+'statistik The Golo Mori'!I18+'statistik MGPA'!I18+'statistik INU'!I18</f>
        <v>0</v>
      </c>
      <c r="J18" s="118">
        <f>'statistik The Nusa Dua'!J18+'statistik The Mandalika'!J18+'statistik The Golo Mori'!J18+'statistik MGPA'!J18+'statistik INU'!J18</f>
        <v>0</v>
      </c>
      <c r="K18" s="118">
        <f>'statistik The Nusa Dua'!K18+'statistik The Mandalika'!K18+'statistik The Golo Mori'!K18+'statistik MGPA'!K18+'statistik INU'!K18</f>
        <v>0</v>
      </c>
      <c r="L18" s="118">
        <f>'statistik The Nusa Dua'!L18+'statistik The Mandalika'!L18+'statistik The Golo Mori'!L18+'statistik MGPA'!L18+'statistik INU'!L18</f>
        <v>0</v>
      </c>
      <c r="M18" s="118">
        <f>'statistik The Nusa Dua'!M18+'statistik The Mandalika'!M18+'statistik The Golo Mori'!M18+'statistik MGPA'!M18+'statistik INU'!M18</f>
        <v>0</v>
      </c>
      <c r="N18" s="118">
        <f>'statistik The Nusa Dua'!N18+'statistik The Mandalika'!N18+'statistik The Golo Mori'!N18+'statistik MGPA'!N18+'statistik INU'!N18</f>
        <v>0</v>
      </c>
      <c r="O18" s="118">
        <f>'statistik The Nusa Dua'!O18+'statistik The Mandalika'!O18+'statistik The Golo Mori'!O18+'statistik MGPA'!O18+'statistik INU'!O18</f>
        <v>0</v>
      </c>
      <c r="P18" s="118">
        <f>'statistik The Nusa Dua'!P18+'statistik The Mandalika'!P18+'statistik The Golo Mori'!P18+'statistik MGPA'!P18+'statistik INU'!P18</f>
        <v>0</v>
      </c>
      <c r="Q18" s="118">
        <f>'statistik The Nusa Dua'!Q18+'statistik The Mandalika'!Q18+'statistik The Golo Mori'!Q18+'statistik MGPA'!Q18+'statistik INU'!Q18</f>
        <v>0</v>
      </c>
      <c r="R18" s="118">
        <f>'statistik The Nusa Dua'!R18+'statistik The Mandalika'!R18+'statistik The Golo Mori'!R18+'statistik MGPA'!R18+'statistik INU'!R18</f>
        <v>0</v>
      </c>
      <c r="S18" s="118">
        <f>'statistik The Nusa Dua'!S18+'statistik The Mandalika'!S18+'statistik The Golo Mori'!S18+'statistik MGPA'!S18+'statistik INU'!S18</f>
        <v>0</v>
      </c>
      <c r="T18" s="118">
        <f>'statistik The Nusa Dua'!T18+'statistik The Mandalika'!T18+'statistik The Golo Mori'!T18+'statistik MGPA'!T18+'statistik INU'!T18</f>
        <v>0</v>
      </c>
      <c r="U18" s="118">
        <f>'statistik The Nusa Dua'!U18+'statistik The Mandalika'!U18+'statistik The Golo Mori'!U18+'statistik MGPA'!U18+'statistik INU'!U18</f>
        <v>0</v>
      </c>
      <c r="V18" s="118">
        <f>'statistik The Nusa Dua'!V18+'statistik The Mandalika'!V18+'statistik The Golo Mori'!V18+'statistik MGPA'!V18+'statistik INU'!V18</f>
        <v>0</v>
      </c>
      <c r="W18" s="118">
        <f>'statistik The Nusa Dua'!W18+'statistik The Mandalika'!W18+'statistik The Golo Mori'!W18+'statistik MGPA'!W18+'statistik INU'!W18</f>
        <v>0</v>
      </c>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5"/>
      <c r="AY18" s="115"/>
    </row>
    <row r="19" spans="1:51">
      <c r="A19" s="314"/>
      <c r="B19" s="111" t="s">
        <v>69</v>
      </c>
      <c r="C19" s="117" t="s">
        <v>69</v>
      </c>
      <c r="D19" s="112" t="str">
        <f>C6</f>
        <v>Request</v>
      </c>
      <c r="E19" s="110" t="s">
        <v>69</v>
      </c>
      <c r="F19" s="118">
        <f>'statistik The Nusa Dua'!F19+'statistik The Mandalika'!F19+'statistik The Golo Mori'!F19+'statistik MGPA'!F19+'statistik INU'!F19</f>
        <v>0</v>
      </c>
      <c r="G19" s="118">
        <f>'statistik The Nusa Dua'!G19+'statistik The Mandalika'!G19+'statistik The Golo Mori'!G19+'statistik MGPA'!G19+'statistik INU'!G19</f>
        <v>0</v>
      </c>
      <c r="H19" s="118">
        <f>'statistik The Nusa Dua'!H19+'statistik The Mandalika'!H19+'statistik The Golo Mori'!H19+'statistik MGPA'!H19+'statistik INU'!H19</f>
        <v>0</v>
      </c>
      <c r="I19" s="118">
        <f>'statistik The Nusa Dua'!I19+'statistik The Mandalika'!I19+'statistik The Golo Mori'!I19+'statistik MGPA'!I19+'statistik INU'!I19</f>
        <v>0</v>
      </c>
      <c r="J19" s="118">
        <f>'statistik The Nusa Dua'!J19+'statistik The Mandalika'!J19+'statistik The Golo Mori'!J19+'statistik MGPA'!J19+'statistik INU'!J19</f>
        <v>0</v>
      </c>
      <c r="K19" s="118">
        <f>'statistik The Nusa Dua'!K19+'statistik The Mandalika'!K19+'statistik The Golo Mori'!K19+'statistik MGPA'!K19+'statistik INU'!K19</f>
        <v>0</v>
      </c>
      <c r="L19" s="118">
        <f>'statistik The Nusa Dua'!L19+'statistik The Mandalika'!L19+'statistik The Golo Mori'!L19+'statistik MGPA'!L19+'statistik INU'!L19</f>
        <v>0</v>
      </c>
      <c r="M19" s="118">
        <f>'statistik The Nusa Dua'!M19+'statistik The Mandalika'!M19+'statistik The Golo Mori'!M19+'statistik MGPA'!M19+'statistik INU'!M19</f>
        <v>0</v>
      </c>
      <c r="N19" s="118">
        <f>'statistik The Nusa Dua'!N19+'statistik The Mandalika'!N19+'statistik The Golo Mori'!N19+'statistik MGPA'!N19+'statistik INU'!N19</f>
        <v>0</v>
      </c>
      <c r="O19" s="118">
        <f>'statistik The Nusa Dua'!O19+'statistik The Mandalika'!O19+'statistik The Golo Mori'!O19+'statistik MGPA'!O19+'statistik INU'!O19</f>
        <v>0</v>
      </c>
      <c r="P19" s="118">
        <f>'statistik The Nusa Dua'!P19+'statistik The Mandalika'!P19+'statistik The Golo Mori'!P19+'statistik MGPA'!P19+'statistik INU'!P19</f>
        <v>0</v>
      </c>
      <c r="Q19" s="118">
        <f>'statistik The Nusa Dua'!Q19+'statistik The Mandalika'!Q19+'statistik The Golo Mori'!Q19+'statistik MGPA'!Q19+'statistik INU'!Q19</f>
        <v>0</v>
      </c>
      <c r="R19" s="118">
        <f>'statistik The Nusa Dua'!R19+'statistik The Mandalika'!R19+'statistik The Golo Mori'!R19+'statistik MGPA'!R19+'statistik INU'!R19</f>
        <v>0</v>
      </c>
      <c r="S19" s="118">
        <f>'statistik The Nusa Dua'!S19+'statistik The Mandalika'!S19+'statistik The Golo Mori'!S19+'statistik MGPA'!S19+'statistik INU'!S19</f>
        <v>0</v>
      </c>
      <c r="T19" s="118">
        <f>'statistik The Nusa Dua'!T19+'statistik The Mandalika'!T19+'statistik The Golo Mori'!T19+'statistik MGPA'!T19+'statistik INU'!T19</f>
        <v>4</v>
      </c>
      <c r="U19" s="118">
        <f>'statistik The Nusa Dua'!U19+'statistik The Mandalika'!U19+'statistik The Golo Mori'!U19+'statistik MGPA'!U19+'statistik INU'!U19</f>
        <v>1</v>
      </c>
      <c r="V19" s="118">
        <f>'statistik The Nusa Dua'!V19+'statistik The Mandalika'!V19+'statistik The Golo Mori'!V19+'statistik MGPA'!V19+'statistik INU'!V19</f>
        <v>0</v>
      </c>
      <c r="W19" s="118">
        <f>'statistik The Nusa Dua'!W19+'statistik The Mandalika'!W19+'statistik The Golo Mori'!W19+'statistik MGPA'!W19+'statistik INU'!W19</f>
        <v>1</v>
      </c>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5"/>
      <c r="AY19" s="115"/>
    </row>
    <row r="20" spans="1:51">
      <c r="A20" s="314"/>
      <c r="B20" s="111" t="s">
        <v>69</v>
      </c>
      <c r="C20" s="117" t="s">
        <v>69</v>
      </c>
      <c r="D20" s="112" t="str">
        <f>C7</f>
        <v>Keluhan</v>
      </c>
      <c r="E20" s="110" t="s">
        <v>69</v>
      </c>
      <c r="F20" s="118">
        <f>'statistik The Nusa Dua'!F20+'statistik The Mandalika'!F20+'statistik The Golo Mori'!F20+'statistik MGPA'!F20+'statistik INU'!F20</f>
        <v>1</v>
      </c>
      <c r="G20" s="118">
        <f>'statistik The Nusa Dua'!G20+'statistik The Mandalika'!G20+'statistik The Golo Mori'!G20+'statistik MGPA'!G20+'statistik INU'!G20</f>
        <v>1</v>
      </c>
      <c r="H20" s="118">
        <f>'statistik The Nusa Dua'!H20+'statistik The Mandalika'!H20+'statistik The Golo Mori'!H20+'statistik MGPA'!H20+'statistik INU'!H20</f>
        <v>0</v>
      </c>
      <c r="I20" s="118">
        <f>'statistik The Nusa Dua'!I20+'statistik The Mandalika'!I20+'statistik The Golo Mori'!I20+'statistik MGPA'!I20+'statistik INU'!I20</f>
        <v>2</v>
      </c>
      <c r="J20" s="118">
        <f>'statistik The Nusa Dua'!J20+'statistik The Mandalika'!J20+'statistik The Golo Mori'!J20+'statistik MGPA'!J20+'statistik INU'!J20</f>
        <v>2</v>
      </c>
      <c r="K20" s="118">
        <f>'statistik The Nusa Dua'!K20+'statistik The Mandalika'!K20+'statistik The Golo Mori'!K20+'statistik MGPA'!K20+'statistik INU'!K20</f>
        <v>0</v>
      </c>
      <c r="L20" s="118">
        <f>'statistik The Nusa Dua'!L20+'statistik The Mandalika'!L20+'statistik The Golo Mori'!L20+'statistik MGPA'!L20+'statistik INU'!L20</f>
        <v>0</v>
      </c>
      <c r="M20" s="118">
        <f>'statistik The Nusa Dua'!M20+'statistik The Mandalika'!M20+'statistik The Golo Mori'!M20+'statistik MGPA'!M20+'statistik INU'!M20</f>
        <v>3</v>
      </c>
      <c r="N20" s="118">
        <f>'statistik The Nusa Dua'!N20+'statistik The Mandalika'!N20+'statistik The Golo Mori'!N20+'statistik MGPA'!N20+'statistik INU'!N20</f>
        <v>1</v>
      </c>
      <c r="O20" s="118">
        <f>'statistik The Nusa Dua'!O20+'statistik The Mandalika'!O20+'statistik The Golo Mori'!O20+'statistik MGPA'!O20+'statistik INU'!O20</f>
        <v>0</v>
      </c>
      <c r="P20" s="118">
        <f>'statistik The Nusa Dua'!P20+'statistik The Mandalika'!P20+'statistik The Golo Mori'!P20+'statistik MGPA'!P20+'statistik INU'!P20</f>
        <v>1</v>
      </c>
      <c r="Q20" s="118">
        <f>'statistik The Nusa Dua'!Q20+'statistik The Mandalika'!Q20+'statistik The Golo Mori'!Q20+'statistik MGPA'!Q20+'statistik INU'!Q20</f>
        <v>1</v>
      </c>
      <c r="R20" s="118">
        <f>'statistik The Nusa Dua'!R20+'statistik The Mandalika'!R20+'statistik The Golo Mori'!R20+'statistik MGPA'!R20+'statistik INU'!R20</f>
        <v>2</v>
      </c>
      <c r="S20" s="118">
        <f>'statistik The Nusa Dua'!S20+'statistik The Mandalika'!S20+'statistik The Golo Mori'!S20+'statistik MGPA'!S20+'statistik INU'!S20</f>
        <v>0</v>
      </c>
      <c r="T20" s="118">
        <f>'statistik The Nusa Dua'!T20+'statistik The Mandalika'!T20+'statistik The Golo Mori'!T20+'statistik MGPA'!T20+'statistik INU'!T20</f>
        <v>0</v>
      </c>
      <c r="U20" s="118">
        <f>'statistik The Nusa Dua'!U20+'statistik The Mandalika'!U20+'statistik The Golo Mori'!U20+'statistik MGPA'!U20+'statistik INU'!U20</f>
        <v>3</v>
      </c>
      <c r="V20" s="118">
        <f>'statistik The Nusa Dua'!V20+'statistik The Mandalika'!V20+'statistik The Golo Mori'!V20+'statistik MGPA'!V20+'statistik INU'!V20</f>
        <v>2</v>
      </c>
      <c r="W20" s="118">
        <f>'statistik The Nusa Dua'!W20+'statistik The Mandalika'!W20+'statistik The Golo Mori'!W20+'statistik MGPA'!W20+'statistik INU'!W20</f>
        <v>0</v>
      </c>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5"/>
      <c r="AY20" s="115"/>
    </row>
    <row r="21" spans="1:51">
      <c r="A21" s="314"/>
      <c r="B21" s="111" t="s">
        <v>69</v>
      </c>
      <c r="C21" s="117" t="s">
        <v>69</v>
      </c>
      <c r="D21" s="112" t="str">
        <f>C8</f>
        <v>Apresiasi</v>
      </c>
      <c r="E21" s="110" t="s">
        <v>69</v>
      </c>
      <c r="F21" s="118">
        <f>'statistik The Nusa Dua'!F21+'statistik The Mandalika'!F21+'statistik The Golo Mori'!F21+'statistik MGPA'!F21+'statistik INU'!F21</f>
        <v>0</v>
      </c>
      <c r="G21" s="118">
        <f>'statistik The Nusa Dua'!G21+'statistik The Mandalika'!G21+'statistik The Golo Mori'!G21+'statistik MGPA'!G21+'statistik INU'!G21</f>
        <v>0</v>
      </c>
      <c r="H21" s="118">
        <f>'statistik The Nusa Dua'!H21+'statistik The Mandalika'!H21+'statistik The Golo Mori'!H21+'statistik MGPA'!H21+'statistik INU'!H21</f>
        <v>0</v>
      </c>
      <c r="I21" s="118">
        <f>'statistik The Nusa Dua'!I21+'statistik The Mandalika'!I21+'statistik The Golo Mori'!I21+'statistik MGPA'!I21+'statistik INU'!I21</f>
        <v>0</v>
      </c>
      <c r="J21" s="118">
        <f>'statistik The Nusa Dua'!J21+'statistik The Mandalika'!J21+'statistik The Golo Mori'!J21+'statistik MGPA'!J21+'statistik INU'!J21</f>
        <v>0</v>
      </c>
      <c r="K21" s="118">
        <f>'statistik The Nusa Dua'!K21+'statistik The Mandalika'!K21+'statistik The Golo Mori'!K21+'statistik MGPA'!K21+'statistik INU'!K21</f>
        <v>0</v>
      </c>
      <c r="L21" s="118">
        <f>'statistik The Nusa Dua'!L21+'statistik The Mandalika'!L21+'statistik The Golo Mori'!L21+'statistik MGPA'!L21+'statistik INU'!L21</f>
        <v>0</v>
      </c>
      <c r="M21" s="118">
        <f>'statistik The Nusa Dua'!M21+'statistik The Mandalika'!M21+'statistik The Golo Mori'!M21+'statistik MGPA'!M21+'statistik INU'!M21</f>
        <v>0</v>
      </c>
      <c r="N21" s="118">
        <f>'statistik The Nusa Dua'!N21+'statistik The Mandalika'!N21+'statistik The Golo Mori'!N21+'statistik MGPA'!N21+'statistik INU'!N21</f>
        <v>0</v>
      </c>
      <c r="O21" s="118">
        <f>'statistik The Nusa Dua'!O21+'statistik The Mandalika'!O21+'statistik The Golo Mori'!O21+'statistik MGPA'!O21+'statistik INU'!O21</f>
        <v>0</v>
      </c>
      <c r="P21" s="118">
        <f>'statistik The Nusa Dua'!P21+'statistik The Mandalika'!P21+'statistik The Golo Mori'!P21+'statistik MGPA'!P21+'statistik INU'!P21</f>
        <v>0</v>
      </c>
      <c r="Q21" s="118">
        <f>'statistik The Nusa Dua'!Q21+'statistik The Mandalika'!Q21+'statistik The Golo Mori'!Q21+'statistik MGPA'!Q21+'statistik INU'!Q21</f>
        <v>0</v>
      </c>
      <c r="R21" s="118">
        <f>'statistik The Nusa Dua'!R21+'statistik The Mandalika'!R21+'statistik The Golo Mori'!R21+'statistik MGPA'!R21+'statistik INU'!R21</f>
        <v>0</v>
      </c>
      <c r="S21" s="118">
        <f>'statistik The Nusa Dua'!S21+'statistik The Mandalika'!S21+'statistik The Golo Mori'!S21+'statistik MGPA'!S21+'statistik INU'!S21</f>
        <v>0</v>
      </c>
      <c r="T21" s="118">
        <f>'statistik The Nusa Dua'!T21+'statistik The Mandalika'!T21+'statistik The Golo Mori'!T21+'statistik MGPA'!T21+'statistik INU'!T21</f>
        <v>0</v>
      </c>
      <c r="U21" s="118">
        <f>'statistik The Nusa Dua'!U21+'statistik The Mandalika'!U21+'statistik The Golo Mori'!U21+'statistik MGPA'!U21+'statistik INU'!U21</f>
        <v>0</v>
      </c>
      <c r="V21" s="118">
        <f>'statistik The Nusa Dua'!V21+'statistik The Mandalika'!V21+'statistik The Golo Mori'!V21+'statistik MGPA'!V21+'statistik INU'!V21</f>
        <v>0</v>
      </c>
      <c r="W21" s="118">
        <f>'statistik The Nusa Dua'!W21+'statistik The Mandalika'!W21+'statistik The Golo Mori'!W21+'statistik MGPA'!W21+'statistik INU'!W21</f>
        <v>0</v>
      </c>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5"/>
      <c r="AY21" s="115"/>
    </row>
    <row r="22" spans="1:51">
      <c r="A22" s="314"/>
      <c r="B22" s="111" t="s">
        <v>77</v>
      </c>
      <c r="C22" s="117" t="s">
        <v>83</v>
      </c>
      <c r="D22" s="112" t="str">
        <f>D10</f>
        <v>Permintaan Informasi</v>
      </c>
      <c r="E22" s="110" t="s">
        <v>69</v>
      </c>
      <c r="F22" s="118">
        <f>'statistik The Nusa Dua'!F22+'statistik The Mandalika'!F22+'statistik The Golo Mori'!F22+'statistik MGPA'!F22+'statistik INU'!F22</f>
        <v>0</v>
      </c>
      <c r="G22" s="118">
        <f>'statistik The Nusa Dua'!G22+'statistik The Mandalika'!G22+'statistik The Golo Mori'!G22+'statistik MGPA'!G22+'statistik INU'!G22</f>
        <v>0</v>
      </c>
      <c r="H22" s="118">
        <f>'statistik The Nusa Dua'!H22+'statistik The Mandalika'!H22+'statistik The Golo Mori'!H22+'statistik MGPA'!H22+'statistik INU'!H22</f>
        <v>0</v>
      </c>
      <c r="I22" s="118">
        <f>'statistik The Nusa Dua'!I22+'statistik The Mandalika'!I22+'statistik The Golo Mori'!I22+'statistik MGPA'!I22+'statistik INU'!I22</f>
        <v>0</v>
      </c>
      <c r="J22" s="118">
        <f>'statistik The Nusa Dua'!J22+'statistik The Mandalika'!J22+'statistik The Golo Mori'!J22+'statistik MGPA'!J22+'statistik INU'!J22</f>
        <v>0</v>
      </c>
      <c r="K22" s="118">
        <f>'statistik The Nusa Dua'!K22+'statistik The Mandalika'!K22+'statistik The Golo Mori'!K22+'statistik MGPA'!K22+'statistik INU'!K22</f>
        <v>0</v>
      </c>
      <c r="L22" s="118">
        <f>'statistik The Nusa Dua'!L22+'statistik The Mandalika'!L22+'statistik The Golo Mori'!L22+'statistik MGPA'!L22+'statistik INU'!L22</f>
        <v>0</v>
      </c>
      <c r="M22" s="118">
        <f>'statistik The Nusa Dua'!M22+'statistik The Mandalika'!M22+'statistik The Golo Mori'!M22+'statistik MGPA'!M22+'statistik INU'!M22</f>
        <v>0</v>
      </c>
      <c r="N22" s="118">
        <f>'statistik The Nusa Dua'!N22+'statistik The Mandalika'!N22+'statistik The Golo Mori'!N22+'statistik MGPA'!N22+'statistik INU'!N22</f>
        <v>0</v>
      </c>
      <c r="O22" s="118">
        <f>'statistik The Nusa Dua'!O22+'statistik The Mandalika'!O22+'statistik The Golo Mori'!O22+'statistik MGPA'!O22+'statistik INU'!O22</f>
        <v>0</v>
      </c>
      <c r="P22" s="118">
        <f>'statistik The Nusa Dua'!P22+'statistik The Mandalika'!P22+'statistik The Golo Mori'!P22+'statistik MGPA'!P22+'statistik INU'!P22</f>
        <v>0</v>
      </c>
      <c r="Q22" s="118">
        <f>'statistik The Nusa Dua'!Q22+'statistik The Mandalika'!Q22+'statistik The Golo Mori'!Q22+'statistik MGPA'!Q22+'statistik INU'!Q22</f>
        <v>0</v>
      </c>
      <c r="R22" s="118">
        <f>'statistik The Nusa Dua'!R22+'statistik The Mandalika'!R22+'statistik The Golo Mori'!R22+'statistik MGPA'!R22+'statistik INU'!R22</f>
        <v>0</v>
      </c>
      <c r="S22" s="118">
        <f>'statistik The Nusa Dua'!S22+'statistik The Mandalika'!S22+'statistik The Golo Mori'!S22+'statistik MGPA'!S22+'statistik INU'!S22</f>
        <v>0</v>
      </c>
      <c r="T22" s="118">
        <f>'statistik The Nusa Dua'!T22+'statistik The Mandalika'!T22+'statistik The Golo Mori'!T22+'statistik MGPA'!T22+'statistik INU'!T22</f>
        <v>0</v>
      </c>
      <c r="U22" s="118">
        <f>'statistik The Nusa Dua'!U22+'statistik The Mandalika'!U22+'statistik The Golo Mori'!U22+'statistik MGPA'!U22+'statistik INU'!U22</f>
        <v>0</v>
      </c>
      <c r="V22" s="118">
        <f>'statistik The Nusa Dua'!V22+'statistik The Mandalika'!V22+'statistik The Golo Mori'!V22+'statistik MGPA'!V22+'statistik INU'!V22</f>
        <v>0</v>
      </c>
      <c r="W22" s="118">
        <f>'statistik The Nusa Dua'!W22+'statistik The Mandalika'!W22+'statistik The Golo Mori'!W22+'statistik MGPA'!W22+'statistik INU'!W22</f>
        <v>0</v>
      </c>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5"/>
      <c r="AY22" s="115"/>
    </row>
    <row r="23" spans="1:51">
      <c r="A23" s="314"/>
      <c r="B23" s="111" t="s">
        <v>69</v>
      </c>
      <c r="C23" s="111" t="s">
        <v>69</v>
      </c>
      <c r="D23" s="112" t="str">
        <f>D11</f>
        <v>Request</v>
      </c>
      <c r="E23" s="110" t="s">
        <v>69</v>
      </c>
      <c r="F23" s="118">
        <f>'statistik The Nusa Dua'!F23+'statistik The Mandalika'!F23+'statistik The Golo Mori'!F23+'statistik MGPA'!F23+'statistik INU'!F23</f>
        <v>0</v>
      </c>
      <c r="G23" s="118">
        <f>'statistik The Nusa Dua'!G23+'statistik The Mandalika'!G23+'statistik The Golo Mori'!G23+'statistik MGPA'!G23+'statistik INU'!G23</f>
        <v>0</v>
      </c>
      <c r="H23" s="118">
        <f>'statistik The Nusa Dua'!H23+'statistik The Mandalika'!H23+'statistik The Golo Mori'!H23+'statistik MGPA'!H23+'statistik INU'!H23</f>
        <v>0</v>
      </c>
      <c r="I23" s="118">
        <f>'statistik The Nusa Dua'!I23+'statistik The Mandalika'!I23+'statistik The Golo Mori'!I23+'statistik MGPA'!I23+'statistik INU'!I23</f>
        <v>0</v>
      </c>
      <c r="J23" s="118">
        <f>'statistik The Nusa Dua'!J23+'statistik The Mandalika'!J23+'statistik The Golo Mori'!J23+'statistik MGPA'!J23+'statistik INU'!J23</f>
        <v>0</v>
      </c>
      <c r="K23" s="118">
        <f>'statistik The Nusa Dua'!K23+'statistik The Mandalika'!K23+'statistik The Golo Mori'!K23+'statistik MGPA'!K23+'statistik INU'!K23</f>
        <v>0</v>
      </c>
      <c r="L23" s="118">
        <f>'statistik The Nusa Dua'!L23+'statistik The Mandalika'!L23+'statistik The Golo Mori'!L23+'statistik MGPA'!L23+'statistik INU'!L23</f>
        <v>0</v>
      </c>
      <c r="M23" s="118">
        <f>'statistik The Nusa Dua'!M23+'statistik The Mandalika'!M23+'statistik The Golo Mori'!M23+'statistik MGPA'!M23+'statistik INU'!M23</f>
        <v>0</v>
      </c>
      <c r="N23" s="118">
        <f>'statistik The Nusa Dua'!N23+'statistik The Mandalika'!N23+'statistik The Golo Mori'!N23+'statistik MGPA'!N23+'statistik INU'!N23</f>
        <v>0</v>
      </c>
      <c r="O23" s="118">
        <f>'statistik The Nusa Dua'!O23+'statistik The Mandalika'!O23+'statistik The Golo Mori'!O23+'statistik MGPA'!O23+'statistik INU'!O23</f>
        <v>0</v>
      </c>
      <c r="P23" s="118">
        <f>'statistik The Nusa Dua'!P23+'statistik The Mandalika'!P23+'statistik The Golo Mori'!P23+'statistik MGPA'!P23+'statistik INU'!P23</f>
        <v>0</v>
      </c>
      <c r="Q23" s="118">
        <f>'statistik The Nusa Dua'!Q23+'statistik The Mandalika'!Q23+'statistik The Golo Mori'!Q23+'statistik MGPA'!Q23+'statistik INU'!Q23</f>
        <v>0</v>
      </c>
      <c r="R23" s="118">
        <f>'statistik The Nusa Dua'!R23+'statistik The Mandalika'!R23+'statistik The Golo Mori'!R23+'statistik MGPA'!R23+'statistik INU'!R23</f>
        <v>0</v>
      </c>
      <c r="S23" s="118">
        <f>'statistik The Nusa Dua'!S23+'statistik The Mandalika'!S23+'statistik The Golo Mori'!S23+'statistik MGPA'!S23+'statistik INU'!S23</f>
        <v>0</v>
      </c>
      <c r="T23" s="118">
        <f>'statistik The Nusa Dua'!T23+'statistik The Mandalika'!T23+'statistik The Golo Mori'!T23+'statistik MGPA'!T23+'statistik INU'!T23</f>
        <v>0</v>
      </c>
      <c r="U23" s="118">
        <f>'statistik The Nusa Dua'!U23+'statistik The Mandalika'!U23+'statistik The Golo Mori'!U23+'statistik MGPA'!U23+'statistik INU'!U23</f>
        <v>0</v>
      </c>
      <c r="V23" s="118">
        <f>'statistik The Nusa Dua'!V23+'statistik The Mandalika'!V23+'statistik The Golo Mori'!V23+'statistik MGPA'!V23+'statistik INU'!V23</f>
        <v>0</v>
      </c>
      <c r="W23" s="118">
        <f>'statistik The Nusa Dua'!W23+'statistik The Mandalika'!W23+'statistik The Golo Mori'!W23+'statistik MGPA'!W23+'statistik INU'!W23</f>
        <v>0</v>
      </c>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5"/>
      <c r="AY23" s="115"/>
    </row>
    <row r="24" spans="1:51">
      <c r="A24" s="314"/>
      <c r="B24" s="111" t="s">
        <v>69</v>
      </c>
      <c r="C24" s="111" t="s">
        <v>69</v>
      </c>
      <c r="D24" s="112" t="str">
        <f>D12</f>
        <v>Keluhan</v>
      </c>
      <c r="E24" s="110" t="s">
        <v>69</v>
      </c>
      <c r="F24" s="118">
        <f>'statistik The Nusa Dua'!F24+'statistik The Mandalika'!F24+'statistik The Golo Mori'!F24+'statistik MGPA'!F24+'statistik INU'!F24</f>
        <v>0</v>
      </c>
      <c r="G24" s="118">
        <f>'statistik The Nusa Dua'!G24+'statistik The Mandalika'!G24+'statistik The Golo Mori'!G24+'statistik MGPA'!G24+'statistik INU'!G24</f>
        <v>0</v>
      </c>
      <c r="H24" s="118">
        <f>'statistik The Nusa Dua'!H24+'statistik The Mandalika'!H24+'statistik The Golo Mori'!H24+'statistik MGPA'!H24+'statistik INU'!H24</f>
        <v>0</v>
      </c>
      <c r="I24" s="118">
        <f>'statistik The Nusa Dua'!I24+'statistik The Mandalika'!I24+'statistik The Golo Mori'!I24+'statistik MGPA'!I24+'statistik INU'!I24</f>
        <v>0</v>
      </c>
      <c r="J24" s="118">
        <f>'statistik The Nusa Dua'!J24+'statistik The Mandalika'!J24+'statistik The Golo Mori'!J24+'statistik MGPA'!J24+'statistik INU'!J24</f>
        <v>0</v>
      </c>
      <c r="K24" s="118">
        <f>'statistik The Nusa Dua'!K24+'statistik The Mandalika'!K24+'statistik The Golo Mori'!K24+'statistik MGPA'!K24+'statistik INU'!K24</f>
        <v>0</v>
      </c>
      <c r="L24" s="118">
        <f>'statistik The Nusa Dua'!L24+'statistik The Mandalika'!L24+'statistik The Golo Mori'!L24+'statistik MGPA'!L24+'statistik INU'!L24</f>
        <v>0</v>
      </c>
      <c r="M24" s="118">
        <f>'statistik The Nusa Dua'!M24+'statistik The Mandalika'!M24+'statistik The Golo Mori'!M24+'statistik MGPA'!M24+'statistik INU'!M24</f>
        <v>0</v>
      </c>
      <c r="N24" s="118">
        <f>'statistik The Nusa Dua'!N24+'statistik The Mandalika'!N24+'statistik The Golo Mori'!N24+'statistik MGPA'!N24+'statistik INU'!N24</f>
        <v>0</v>
      </c>
      <c r="O24" s="118">
        <f>'statistik The Nusa Dua'!O24+'statistik The Mandalika'!O24+'statistik The Golo Mori'!O24+'statistik MGPA'!O24+'statistik INU'!O24</f>
        <v>0</v>
      </c>
      <c r="P24" s="118">
        <f>'statistik The Nusa Dua'!P24+'statistik The Mandalika'!P24+'statistik The Golo Mori'!P24+'statistik MGPA'!P24+'statistik INU'!P24</f>
        <v>0</v>
      </c>
      <c r="Q24" s="118">
        <f>'statistik The Nusa Dua'!Q24+'statistik The Mandalika'!Q24+'statistik The Golo Mori'!Q24+'statistik MGPA'!Q24+'statistik INU'!Q24</f>
        <v>0</v>
      </c>
      <c r="R24" s="118">
        <f>'statistik The Nusa Dua'!R24+'statistik The Mandalika'!R24+'statistik The Golo Mori'!R24+'statistik MGPA'!R24+'statistik INU'!R24</f>
        <v>0</v>
      </c>
      <c r="S24" s="118">
        <f>'statistik The Nusa Dua'!S24+'statistik The Mandalika'!S24+'statistik The Golo Mori'!S24+'statistik MGPA'!S24+'statistik INU'!S24</f>
        <v>0</v>
      </c>
      <c r="T24" s="118">
        <f>'statistik The Nusa Dua'!T24+'statistik The Mandalika'!T24+'statistik The Golo Mori'!T24+'statistik MGPA'!T24+'statistik INU'!T24</f>
        <v>0</v>
      </c>
      <c r="U24" s="118">
        <f>'statistik The Nusa Dua'!U24+'statistik The Mandalika'!U24+'statistik The Golo Mori'!U24+'statistik MGPA'!U24+'statistik INU'!U24</f>
        <v>0</v>
      </c>
      <c r="V24" s="118">
        <f>'statistik The Nusa Dua'!V24+'statistik The Mandalika'!V24+'statistik The Golo Mori'!V24+'statistik MGPA'!V24+'statistik INU'!V24</f>
        <v>0</v>
      </c>
      <c r="W24" s="118">
        <f>'statistik The Nusa Dua'!W24+'statistik The Mandalika'!W24+'statistik The Golo Mori'!W24+'statistik MGPA'!W24+'statistik INU'!W24</f>
        <v>0</v>
      </c>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5"/>
      <c r="AY24" s="115"/>
    </row>
    <row r="25" spans="1:51">
      <c r="A25" s="314"/>
      <c r="B25" s="111" t="s">
        <v>69</v>
      </c>
      <c r="C25" s="111" t="s">
        <v>69</v>
      </c>
      <c r="D25" s="112" t="str">
        <f>D13</f>
        <v>Apresiasi</v>
      </c>
      <c r="E25" s="110" t="s">
        <v>69</v>
      </c>
      <c r="F25" s="118">
        <f>'statistik The Nusa Dua'!F25+'statistik The Mandalika'!F25+'statistik The Golo Mori'!F25+'statistik MGPA'!F25+'statistik INU'!F25</f>
        <v>0</v>
      </c>
      <c r="G25" s="118">
        <f>'statistik The Nusa Dua'!G25+'statistik The Mandalika'!G25+'statistik The Golo Mori'!G25+'statistik MGPA'!G25+'statistik INU'!G25</f>
        <v>0</v>
      </c>
      <c r="H25" s="118">
        <f>'statistik The Nusa Dua'!H25+'statistik The Mandalika'!H25+'statistik The Golo Mori'!H25+'statistik MGPA'!H25+'statistik INU'!H25</f>
        <v>0</v>
      </c>
      <c r="I25" s="118">
        <f>'statistik The Nusa Dua'!I25+'statistik The Mandalika'!I25+'statistik The Golo Mori'!I25+'statistik MGPA'!I25+'statistik INU'!I25</f>
        <v>0</v>
      </c>
      <c r="J25" s="118">
        <f>'statistik The Nusa Dua'!J25+'statistik The Mandalika'!J25+'statistik The Golo Mori'!J25+'statistik MGPA'!J25+'statistik INU'!J25</f>
        <v>0</v>
      </c>
      <c r="K25" s="118">
        <f>'statistik The Nusa Dua'!K25+'statistik The Mandalika'!K25+'statistik The Golo Mori'!K25+'statistik MGPA'!K25+'statistik INU'!K25</f>
        <v>0</v>
      </c>
      <c r="L25" s="118">
        <f>'statistik The Nusa Dua'!L25+'statistik The Mandalika'!L25+'statistik The Golo Mori'!L25+'statistik MGPA'!L25+'statistik INU'!L25</f>
        <v>0</v>
      </c>
      <c r="M25" s="118">
        <f>'statistik The Nusa Dua'!M25+'statistik The Mandalika'!M25+'statistik The Golo Mori'!M25+'statistik MGPA'!M25+'statistik INU'!M25</f>
        <v>0</v>
      </c>
      <c r="N25" s="118">
        <f>'statistik The Nusa Dua'!N25+'statistik The Mandalika'!N25+'statistik The Golo Mori'!N25+'statistik MGPA'!N25+'statistik INU'!N25</f>
        <v>0</v>
      </c>
      <c r="O25" s="118">
        <f>'statistik The Nusa Dua'!O25+'statistik The Mandalika'!O25+'statistik The Golo Mori'!O25+'statistik MGPA'!O25+'statistik INU'!O25</f>
        <v>0</v>
      </c>
      <c r="P25" s="118">
        <f>'statistik The Nusa Dua'!P25+'statistik The Mandalika'!P25+'statistik The Golo Mori'!P25+'statistik MGPA'!P25+'statistik INU'!P25</f>
        <v>0</v>
      </c>
      <c r="Q25" s="118">
        <f>'statistik The Nusa Dua'!Q25+'statistik The Mandalika'!Q25+'statistik The Golo Mori'!Q25+'statistik MGPA'!Q25+'statistik INU'!Q25</f>
        <v>0</v>
      </c>
      <c r="R25" s="118">
        <f>'statistik The Nusa Dua'!R25+'statistik The Mandalika'!R25+'statistik The Golo Mori'!R25+'statistik MGPA'!R25+'statistik INU'!R25</f>
        <v>0</v>
      </c>
      <c r="S25" s="118">
        <f>'statistik The Nusa Dua'!S25+'statistik The Mandalika'!S25+'statistik The Golo Mori'!S25+'statistik MGPA'!S25+'statistik INU'!S25</f>
        <v>0</v>
      </c>
      <c r="T25" s="118">
        <f>'statistik The Nusa Dua'!T25+'statistik The Mandalika'!T25+'statistik The Golo Mori'!T25+'statistik MGPA'!T25+'statistik INU'!T25</f>
        <v>0</v>
      </c>
      <c r="U25" s="118">
        <f>'statistik The Nusa Dua'!U25+'statistik The Mandalika'!U25+'statistik The Golo Mori'!U25+'statistik MGPA'!U25+'statistik INU'!U25</f>
        <v>0</v>
      </c>
      <c r="V25" s="118">
        <f>'statistik The Nusa Dua'!V25+'statistik The Mandalika'!V25+'statistik The Golo Mori'!V25+'statistik MGPA'!V25+'statistik INU'!V25</f>
        <v>0</v>
      </c>
      <c r="W25" s="118">
        <f>'statistik The Nusa Dua'!W25+'statistik The Mandalika'!W25+'statistik The Golo Mori'!W25+'statistik MGPA'!W25+'statistik INU'!W25</f>
        <v>0</v>
      </c>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5"/>
      <c r="AY25" s="115"/>
    </row>
    <row r="26" spans="1:51">
      <c r="A26" s="314"/>
      <c r="B26" s="111" t="s">
        <v>84</v>
      </c>
      <c r="C26" s="117" t="s">
        <v>85</v>
      </c>
      <c r="D26" s="112" t="str">
        <f>D10</f>
        <v>Permintaan Informasi</v>
      </c>
      <c r="E26" s="110" t="s">
        <v>69</v>
      </c>
      <c r="F26" s="118">
        <f>'statistik The Nusa Dua'!F26+'statistik The Mandalika'!F26+'statistik The Golo Mori'!F26+'statistik MGPA'!F26+'statistik INU'!F26</f>
        <v>0</v>
      </c>
      <c r="G26" s="118">
        <f>'statistik The Nusa Dua'!G26+'statistik The Mandalika'!G26+'statistik The Golo Mori'!G26+'statistik MGPA'!G26+'statistik INU'!G26</f>
        <v>0</v>
      </c>
      <c r="H26" s="118">
        <f>'statistik The Nusa Dua'!H26+'statistik The Mandalika'!H26+'statistik The Golo Mori'!H26+'statistik MGPA'!H26+'statistik INU'!H26</f>
        <v>0</v>
      </c>
      <c r="I26" s="118">
        <f>'statistik The Nusa Dua'!I26+'statistik The Mandalika'!I26+'statistik The Golo Mori'!I26+'statistik MGPA'!I26+'statistik INU'!I26</f>
        <v>0</v>
      </c>
      <c r="J26" s="118">
        <f>'statistik The Nusa Dua'!J26+'statistik The Mandalika'!J26+'statistik The Golo Mori'!J26+'statistik MGPA'!J26+'statistik INU'!J26</f>
        <v>0</v>
      </c>
      <c r="K26" s="118">
        <f>'statistik The Nusa Dua'!K26+'statistik The Mandalika'!K26+'statistik The Golo Mori'!K26+'statistik MGPA'!K26+'statistik INU'!K26</f>
        <v>0</v>
      </c>
      <c r="L26" s="118">
        <f>'statistik The Nusa Dua'!L26+'statistik The Mandalika'!L26+'statistik The Golo Mori'!L26+'statistik MGPA'!L26+'statistik INU'!L26</f>
        <v>0</v>
      </c>
      <c r="M26" s="118">
        <f>'statistik The Nusa Dua'!M26+'statistik The Mandalika'!M26+'statistik The Golo Mori'!M26+'statistik MGPA'!M26+'statistik INU'!M26</f>
        <v>0</v>
      </c>
      <c r="N26" s="118">
        <f>'statistik The Nusa Dua'!N26+'statistik The Mandalika'!N26+'statistik The Golo Mori'!N26+'statistik MGPA'!N26+'statistik INU'!N26</f>
        <v>0</v>
      </c>
      <c r="O26" s="118">
        <f>'statistik The Nusa Dua'!O26+'statistik The Mandalika'!O26+'statistik The Golo Mori'!O26+'statistik MGPA'!O26+'statistik INU'!O26</f>
        <v>0</v>
      </c>
      <c r="P26" s="118">
        <f>'statistik The Nusa Dua'!P26+'statistik The Mandalika'!P26+'statistik The Golo Mori'!P26+'statistik MGPA'!P26+'statistik INU'!P26</f>
        <v>0</v>
      </c>
      <c r="Q26" s="118">
        <f>'statistik The Nusa Dua'!Q26+'statistik The Mandalika'!Q26+'statistik The Golo Mori'!Q26+'statistik MGPA'!Q26+'statistik INU'!Q26</f>
        <v>0</v>
      </c>
      <c r="R26" s="118">
        <f>'statistik The Nusa Dua'!R26+'statistik The Mandalika'!R26+'statistik The Golo Mori'!R26+'statistik MGPA'!R26+'statistik INU'!R26</f>
        <v>0</v>
      </c>
      <c r="S26" s="118">
        <f>'statistik The Nusa Dua'!S26+'statistik The Mandalika'!S26+'statistik The Golo Mori'!S26+'statistik MGPA'!S26+'statistik INU'!S26</f>
        <v>0</v>
      </c>
      <c r="T26" s="118">
        <f>'statistik The Nusa Dua'!T26+'statistik The Mandalika'!T26+'statistik The Golo Mori'!T26+'statistik MGPA'!T26+'statistik INU'!T26</f>
        <v>0</v>
      </c>
      <c r="U26" s="118">
        <f>'statistik The Nusa Dua'!U26+'statistik The Mandalika'!U26+'statistik The Golo Mori'!U26+'statistik MGPA'!U26+'statistik INU'!U26</f>
        <v>0</v>
      </c>
      <c r="V26" s="118">
        <f>'statistik The Nusa Dua'!V26+'statistik The Mandalika'!V26+'statistik The Golo Mori'!V26+'statistik MGPA'!V26+'statistik INU'!V26</f>
        <v>0</v>
      </c>
      <c r="W26" s="118">
        <f>'statistik The Nusa Dua'!W26+'statistik The Mandalika'!W26+'statistik The Golo Mori'!W26+'statistik MGPA'!W26+'statistik INU'!W26</f>
        <v>0</v>
      </c>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5"/>
      <c r="AY26" s="115"/>
    </row>
    <row r="27" spans="1:51">
      <c r="A27" s="314"/>
      <c r="B27" s="121" t="s">
        <v>69</v>
      </c>
      <c r="C27" s="122" t="s">
        <v>69</v>
      </c>
      <c r="D27" s="112" t="str">
        <f>D11</f>
        <v>Request</v>
      </c>
      <c r="E27" s="110" t="s">
        <v>69</v>
      </c>
      <c r="F27" s="118">
        <f>'statistik The Nusa Dua'!F27+'statistik The Mandalika'!F27+'statistik The Golo Mori'!F27+'statistik MGPA'!F27+'statistik INU'!F27</f>
        <v>0</v>
      </c>
      <c r="G27" s="118">
        <f>'statistik The Nusa Dua'!G27+'statistik The Mandalika'!G27+'statistik The Golo Mori'!G27+'statistik MGPA'!G27+'statistik INU'!G27</f>
        <v>0</v>
      </c>
      <c r="H27" s="118">
        <f>'statistik The Nusa Dua'!H27+'statistik The Mandalika'!H27+'statistik The Golo Mori'!H27+'statistik MGPA'!H27+'statistik INU'!H27</f>
        <v>0</v>
      </c>
      <c r="I27" s="118">
        <f>'statistik The Nusa Dua'!I27+'statistik The Mandalika'!I27+'statistik The Golo Mori'!I27+'statistik MGPA'!I27+'statistik INU'!I27</f>
        <v>0</v>
      </c>
      <c r="J27" s="118">
        <f>'statistik The Nusa Dua'!J27+'statistik The Mandalika'!J27+'statistik The Golo Mori'!J27+'statistik MGPA'!J27+'statistik INU'!J27</f>
        <v>0</v>
      </c>
      <c r="K27" s="118">
        <f>'statistik The Nusa Dua'!K27+'statistik The Mandalika'!K27+'statistik The Golo Mori'!K27+'statistik MGPA'!K27+'statistik INU'!K27</f>
        <v>0</v>
      </c>
      <c r="L27" s="118">
        <f>'statistik The Nusa Dua'!L27+'statistik The Mandalika'!L27+'statistik The Golo Mori'!L27+'statistik MGPA'!L27+'statistik INU'!L27</f>
        <v>0</v>
      </c>
      <c r="M27" s="118">
        <f>'statistik The Nusa Dua'!M27+'statistik The Mandalika'!M27+'statistik The Golo Mori'!M27+'statistik MGPA'!M27+'statistik INU'!M27</f>
        <v>0</v>
      </c>
      <c r="N27" s="118">
        <f>'statistik The Nusa Dua'!N27+'statistik The Mandalika'!N27+'statistik The Golo Mori'!N27+'statistik MGPA'!N27+'statistik INU'!N27</f>
        <v>0</v>
      </c>
      <c r="O27" s="118">
        <f>'statistik The Nusa Dua'!O27+'statistik The Mandalika'!O27+'statistik The Golo Mori'!O27+'statistik MGPA'!O27+'statistik INU'!O27</f>
        <v>0</v>
      </c>
      <c r="P27" s="118">
        <f>'statistik The Nusa Dua'!P27+'statistik The Mandalika'!P27+'statistik The Golo Mori'!P27+'statistik MGPA'!P27+'statistik INU'!P27</f>
        <v>0</v>
      </c>
      <c r="Q27" s="118">
        <f>'statistik The Nusa Dua'!Q27+'statistik The Mandalika'!Q27+'statistik The Golo Mori'!Q27+'statistik MGPA'!Q27+'statistik INU'!Q27</f>
        <v>0</v>
      </c>
      <c r="R27" s="118">
        <f>'statistik The Nusa Dua'!R27+'statistik The Mandalika'!R27+'statistik The Golo Mori'!R27+'statistik MGPA'!R27+'statistik INU'!R27</f>
        <v>0</v>
      </c>
      <c r="S27" s="118">
        <f>'statistik The Nusa Dua'!S27+'statistik The Mandalika'!S27+'statistik The Golo Mori'!S27+'statistik MGPA'!S27+'statistik INU'!S27</f>
        <v>0</v>
      </c>
      <c r="T27" s="118">
        <f>'statistik The Nusa Dua'!T27+'statistik The Mandalika'!T27+'statistik The Golo Mori'!T27+'statistik MGPA'!T27+'statistik INU'!T27</f>
        <v>0</v>
      </c>
      <c r="U27" s="118">
        <f>'statistik The Nusa Dua'!U27+'statistik The Mandalika'!U27+'statistik The Golo Mori'!U27+'statistik MGPA'!U27+'statistik INU'!U27</f>
        <v>0</v>
      </c>
      <c r="V27" s="118">
        <f>'statistik The Nusa Dua'!V27+'statistik The Mandalika'!V27+'statistik The Golo Mori'!V27+'statistik MGPA'!V27+'statistik INU'!V27</f>
        <v>0</v>
      </c>
      <c r="W27" s="118">
        <f>'statistik The Nusa Dua'!W27+'statistik The Mandalika'!W27+'statistik The Golo Mori'!W27+'statistik MGPA'!W27+'statistik INU'!W27</f>
        <v>0</v>
      </c>
      <c r="X27" s="114" t="s">
        <v>69</v>
      </c>
      <c r="Y27" s="114" t="s">
        <v>69</v>
      </c>
      <c r="Z27" s="114" t="s">
        <v>69</v>
      </c>
      <c r="AA27" s="114" t="s">
        <v>69</v>
      </c>
      <c r="AB27" s="114" t="s">
        <v>69</v>
      </c>
      <c r="AC27" s="114" t="s">
        <v>69</v>
      </c>
      <c r="AD27" s="114" t="s">
        <v>69</v>
      </c>
      <c r="AE27" s="114" t="s">
        <v>69</v>
      </c>
      <c r="AF27" s="114" t="s">
        <v>69</v>
      </c>
      <c r="AG27" s="114" t="s">
        <v>69</v>
      </c>
      <c r="AH27" s="114" t="s">
        <v>69</v>
      </c>
      <c r="AI27" s="114" t="s">
        <v>69</v>
      </c>
      <c r="AJ27" s="114" t="s">
        <v>69</v>
      </c>
      <c r="AK27" s="114" t="s">
        <v>69</v>
      </c>
      <c r="AL27" s="114" t="s">
        <v>69</v>
      </c>
      <c r="AM27" s="114" t="s">
        <v>69</v>
      </c>
      <c r="AN27" s="114" t="s">
        <v>69</v>
      </c>
      <c r="AO27" s="114" t="s">
        <v>69</v>
      </c>
      <c r="AP27" s="114" t="s">
        <v>69</v>
      </c>
      <c r="AQ27" s="114" t="s">
        <v>69</v>
      </c>
      <c r="AR27" s="114" t="s">
        <v>69</v>
      </c>
      <c r="AS27" s="114" t="s">
        <v>69</v>
      </c>
      <c r="AT27" s="114" t="s">
        <v>69</v>
      </c>
      <c r="AU27" s="114" t="s">
        <v>69</v>
      </c>
      <c r="AV27" s="114" t="s">
        <v>69</v>
      </c>
      <c r="AW27" s="114" t="s">
        <v>69</v>
      </c>
      <c r="AX27" s="115"/>
      <c r="AY27" s="115"/>
    </row>
    <row r="28" spans="1:51">
      <c r="A28" s="314"/>
      <c r="B28" s="121" t="s">
        <v>69</v>
      </c>
      <c r="C28" s="122" t="s">
        <v>69</v>
      </c>
      <c r="D28" s="112" t="str">
        <f>D12</f>
        <v>Keluhan</v>
      </c>
      <c r="E28" s="110" t="s">
        <v>69</v>
      </c>
      <c r="F28" s="118">
        <f>'statistik The Nusa Dua'!F28+'statistik The Mandalika'!F28+'statistik The Golo Mori'!F28+'statistik MGPA'!F28+'statistik INU'!F28</f>
        <v>0</v>
      </c>
      <c r="G28" s="118">
        <f>'statistik The Nusa Dua'!G28+'statistik The Mandalika'!G28+'statistik The Golo Mori'!G28+'statistik MGPA'!G28+'statistik INU'!G28</f>
        <v>0</v>
      </c>
      <c r="H28" s="118">
        <f>'statistik The Nusa Dua'!H28+'statistik The Mandalika'!H28+'statistik The Golo Mori'!H28+'statistik MGPA'!H28+'statistik INU'!H28</f>
        <v>0</v>
      </c>
      <c r="I28" s="118">
        <f>'statistik The Nusa Dua'!I28+'statistik The Mandalika'!I28+'statistik The Golo Mori'!I28+'statistik MGPA'!I28+'statistik INU'!I28</f>
        <v>0</v>
      </c>
      <c r="J28" s="118">
        <f>'statistik The Nusa Dua'!J28+'statistik The Mandalika'!J28+'statistik The Golo Mori'!J28+'statistik MGPA'!J28+'statistik INU'!J28</f>
        <v>0</v>
      </c>
      <c r="K28" s="118">
        <f>'statistik The Nusa Dua'!K28+'statistik The Mandalika'!K28+'statistik The Golo Mori'!K28+'statistik MGPA'!K28+'statistik INU'!K28</f>
        <v>0</v>
      </c>
      <c r="L28" s="118">
        <f>'statistik The Nusa Dua'!L28+'statistik The Mandalika'!L28+'statistik The Golo Mori'!L28+'statistik MGPA'!L28+'statistik INU'!L28</f>
        <v>0</v>
      </c>
      <c r="M28" s="118">
        <f>'statistik The Nusa Dua'!M28+'statistik The Mandalika'!M28+'statistik The Golo Mori'!M28+'statistik MGPA'!M28+'statistik INU'!M28</f>
        <v>0</v>
      </c>
      <c r="N28" s="118">
        <f>'statistik The Nusa Dua'!N28+'statistik The Mandalika'!N28+'statistik The Golo Mori'!N28+'statistik MGPA'!N28+'statistik INU'!N28</f>
        <v>0</v>
      </c>
      <c r="O28" s="118">
        <f>'statistik The Nusa Dua'!O28+'statistik The Mandalika'!O28+'statistik The Golo Mori'!O28+'statistik MGPA'!O28+'statistik INU'!O28</f>
        <v>0</v>
      </c>
      <c r="P28" s="118">
        <f>'statistik The Nusa Dua'!P28+'statistik The Mandalika'!P28+'statistik The Golo Mori'!P28+'statistik MGPA'!P28+'statistik INU'!P28</f>
        <v>0</v>
      </c>
      <c r="Q28" s="118">
        <f>'statistik The Nusa Dua'!Q28+'statistik The Mandalika'!Q28+'statistik The Golo Mori'!Q28+'statistik MGPA'!Q28+'statistik INU'!Q28</f>
        <v>0</v>
      </c>
      <c r="R28" s="118">
        <f>'statistik The Nusa Dua'!R28+'statistik The Mandalika'!R28+'statistik The Golo Mori'!R28+'statistik MGPA'!R28+'statistik INU'!R28</f>
        <v>0</v>
      </c>
      <c r="S28" s="118">
        <f>'statistik The Nusa Dua'!S28+'statistik The Mandalika'!S28+'statistik The Golo Mori'!S28+'statistik MGPA'!S28+'statistik INU'!S28</f>
        <v>0</v>
      </c>
      <c r="T28" s="118">
        <f>'statistik The Nusa Dua'!T28+'statistik The Mandalika'!T28+'statistik The Golo Mori'!T28+'statistik MGPA'!T28+'statistik INU'!T28</f>
        <v>0</v>
      </c>
      <c r="U28" s="118">
        <f>'statistik The Nusa Dua'!U28+'statistik The Mandalika'!U28+'statistik The Golo Mori'!U28+'statistik MGPA'!U28+'statistik INU'!U28</f>
        <v>0</v>
      </c>
      <c r="V28" s="118">
        <f>'statistik The Nusa Dua'!V28+'statistik The Mandalika'!V28+'statistik The Golo Mori'!V28+'statistik MGPA'!V28+'statistik INU'!V28</f>
        <v>0</v>
      </c>
      <c r="W28" s="118">
        <f>'statistik The Nusa Dua'!W28+'statistik The Mandalika'!W28+'statistik The Golo Mori'!W28+'statistik MGPA'!W28+'statistik INU'!W28</f>
        <v>0</v>
      </c>
      <c r="X28" s="114" t="s">
        <v>69</v>
      </c>
      <c r="Y28" s="114" t="s">
        <v>69</v>
      </c>
      <c r="Z28" s="114" t="s">
        <v>69</v>
      </c>
      <c r="AA28" s="114" t="s">
        <v>69</v>
      </c>
      <c r="AB28" s="114" t="s">
        <v>69</v>
      </c>
      <c r="AC28" s="114" t="s">
        <v>69</v>
      </c>
      <c r="AD28" s="114" t="s">
        <v>69</v>
      </c>
      <c r="AE28" s="114" t="s">
        <v>69</v>
      </c>
      <c r="AF28" s="114" t="s">
        <v>69</v>
      </c>
      <c r="AG28" s="114" t="s">
        <v>69</v>
      </c>
      <c r="AH28" s="114" t="s">
        <v>69</v>
      </c>
      <c r="AI28" s="114" t="s">
        <v>69</v>
      </c>
      <c r="AJ28" s="114" t="s">
        <v>69</v>
      </c>
      <c r="AK28" s="114" t="s">
        <v>69</v>
      </c>
      <c r="AL28" s="114" t="s">
        <v>69</v>
      </c>
      <c r="AM28" s="114" t="s">
        <v>69</v>
      </c>
      <c r="AN28" s="114" t="s">
        <v>69</v>
      </c>
      <c r="AO28" s="114" t="s">
        <v>69</v>
      </c>
      <c r="AP28" s="114" t="s">
        <v>69</v>
      </c>
      <c r="AQ28" s="114" t="s">
        <v>69</v>
      </c>
      <c r="AR28" s="114" t="s">
        <v>69</v>
      </c>
      <c r="AS28" s="114" t="s">
        <v>69</v>
      </c>
      <c r="AT28" s="114" t="s">
        <v>69</v>
      </c>
      <c r="AU28" s="114" t="s">
        <v>69</v>
      </c>
      <c r="AV28" s="114" t="s">
        <v>69</v>
      </c>
      <c r="AW28" s="114" t="s">
        <v>69</v>
      </c>
      <c r="AX28" s="115"/>
      <c r="AY28" s="115"/>
    </row>
    <row r="29" spans="1:51">
      <c r="A29" s="314"/>
      <c r="B29" s="121" t="s">
        <v>69</v>
      </c>
      <c r="C29" s="122" t="s">
        <v>69</v>
      </c>
      <c r="D29" s="112" t="str">
        <f>D13</f>
        <v>Apresiasi</v>
      </c>
      <c r="E29" s="110" t="s">
        <v>69</v>
      </c>
      <c r="F29" s="118">
        <f>'statistik The Nusa Dua'!F29+'statistik The Mandalika'!F29+'statistik The Golo Mori'!F29+'statistik MGPA'!F29+'statistik INU'!F29</f>
        <v>0</v>
      </c>
      <c r="G29" s="118">
        <f>'statistik The Nusa Dua'!G29+'statistik The Mandalika'!G29+'statistik The Golo Mori'!G29+'statistik MGPA'!G29+'statistik INU'!G29</f>
        <v>0</v>
      </c>
      <c r="H29" s="118">
        <f>'statistik The Nusa Dua'!H29+'statistik The Mandalika'!H29+'statistik The Golo Mori'!H29+'statistik MGPA'!H29+'statistik INU'!H29</f>
        <v>0</v>
      </c>
      <c r="I29" s="118">
        <f>'statistik The Nusa Dua'!I29+'statistik The Mandalika'!I29+'statistik The Golo Mori'!I29+'statistik MGPA'!I29+'statistik INU'!I29</f>
        <v>0</v>
      </c>
      <c r="J29" s="118">
        <f>'statistik The Nusa Dua'!J29+'statistik The Mandalika'!J29+'statistik The Golo Mori'!J29+'statistik MGPA'!J29+'statistik INU'!J29</f>
        <v>0</v>
      </c>
      <c r="K29" s="118">
        <f>'statistik The Nusa Dua'!K29+'statistik The Mandalika'!K29+'statistik The Golo Mori'!K29+'statistik MGPA'!K29+'statistik INU'!K29</f>
        <v>0</v>
      </c>
      <c r="L29" s="118">
        <f>'statistik The Nusa Dua'!L29+'statistik The Mandalika'!L29+'statistik The Golo Mori'!L29+'statistik MGPA'!L29+'statistik INU'!L29</f>
        <v>0</v>
      </c>
      <c r="M29" s="118">
        <f>'statistik The Nusa Dua'!M29+'statistik The Mandalika'!M29+'statistik The Golo Mori'!M29+'statistik MGPA'!M29+'statistik INU'!M29</f>
        <v>0</v>
      </c>
      <c r="N29" s="118">
        <f>'statistik The Nusa Dua'!N29+'statistik The Mandalika'!N29+'statistik The Golo Mori'!N29+'statistik MGPA'!N29+'statistik INU'!N29</f>
        <v>0</v>
      </c>
      <c r="O29" s="118">
        <f>'statistik The Nusa Dua'!O29+'statistik The Mandalika'!O29+'statistik The Golo Mori'!O29+'statistik MGPA'!O29+'statistik INU'!O29</f>
        <v>0</v>
      </c>
      <c r="P29" s="118">
        <f>'statistik The Nusa Dua'!P29+'statistik The Mandalika'!P29+'statistik The Golo Mori'!P29+'statistik MGPA'!P29+'statistik INU'!P29</f>
        <v>0</v>
      </c>
      <c r="Q29" s="118">
        <f>'statistik The Nusa Dua'!Q29+'statistik The Mandalika'!Q29+'statistik The Golo Mori'!Q29+'statistik MGPA'!Q29+'statistik INU'!Q29</f>
        <v>0</v>
      </c>
      <c r="R29" s="118">
        <f>'statistik The Nusa Dua'!R29+'statistik The Mandalika'!R29+'statistik The Golo Mori'!R29+'statistik MGPA'!R29+'statistik INU'!R29</f>
        <v>0</v>
      </c>
      <c r="S29" s="118">
        <f>'statistik The Nusa Dua'!S29+'statistik The Mandalika'!S29+'statistik The Golo Mori'!S29+'statistik MGPA'!S29+'statistik INU'!S29</f>
        <v>0</v>
      </c>
      <c r="T29" s="118">
        <f>'statistik The Nusa Dua'!T29+'statistik The Mandalika'!T29+'statistik The Golo Mori'!T29+'statistik MGPA'!T29+'statistik INU'!T29</f>
        <v>0</v>
      </c>
      <c r="U29" s="118">
        <f>'statistik The Nusa Dua'!U29+'statistik The Mandalika'!U29+'statistik The Golo Mori'!U29+'statistik MGPA'!U29+'statistik INU'!U29</f>
        <v>0</v>
      </c>
      <c r="V29" s="118">
        <f>'statistik The Nusa Dua'!V29+'statistik The Mandalika'!V29+'statistik The Golo Mori'!V29+'statistik MGPA'!V29+'statistik INU'!V29</f>
        <v>0</v>
      </c>
      <c r="W29" s="118">
        <f>'statistik The Nusa Dua'!W29+'statistik The Mandalika'!W29+'statistik The Golo Mori'!W29+'statistik MGPA'!W29+'statistik INU'!W29</f>
        <v>0</v>
      </c>
      <c r="X29" s="114" t="s">
        <v>69</v>
      </c>
      <c r="Y29" s="114" t="s">
        <v>69</v>
      </c>
      <c r="Z29" s="114" t="s">
        <v>69</v>
      </c>
      <c r="AA29" s="114" t="s">
        <v>69</v>
      </c>
      <c r="AB29" s="114" t="s">
        <v>69</v>
      </c>
      <c r="AC29" s="114" t="s">
        <v>69</v>
      </c>
      <c r="AD29" s="114" t="s">
        <v>69</v>
      </c>
      <c r="AE29" s="114" t="s">
        <v>69</v>
      </c>
      <c r="AF29" s="114" t="s">
        <v>69</v>
      </c>
      <c r="AG29" s="114" t="s">
        <v>69</v>
      </c>
      <c r="AH29" s="114" t="s">
        <v>69</v>
      </c>
      <c r="AI29" s="114" t="s">
        <v>69</v>
      </c>
      <c r="AJ29" s="114" t="s">
        <v>69</v>
      </c>
      <c r="AK29" s="114" t="s">
        <v>69</v>
      </c>
      <c r="AL29" s="114" t="s">
        <v>69</v>
      </c>
      <c r="AM29" s="114" t="s">
        <v>69</v>
      </c>
      <c r="AN29" s="114" t="s">
        <v>69</v>
      </c>
      <c r="AO29" s="114" t="s">
        <v>69</v>
      </c>
      <c r="AP29" s="114" t="s">
        <v>69</v>
      </c>
      <c r="AQ29" s="114" t="s">
        <v>69</v>
      </c>
      <c r="AR29" s="114" t="s">
        <v>69</v>
      </c>
      <c r="AS29" s="114" t="s">
        <v>69</v>
      </c>
      <c r="AT29" s="114" t="s">
        <v>69</v>
      </c>
      <c r="AU29" s="114" t="s">
        <v>69</v>
      </c>
      <c r="AV29" s="114" t="s">
        <v>69</v>
      </c>
      <c r="AW29" s="114" t="s">
        <v>69</v>
      </c>
      <c r="AX29" s="115"/>
      <c r="AY29" s="115"/>
    </row>
    <row r="30" spans="1:51">
      <c r="A30" s="314"/>
      <c r="B30" s="121" t="s">
        <v>86</v>
      </c>
      <c r="C30" s="122" t="s">
        <v>87</v>
      </c>
      <c r="D30" s="123" t="str">
        <f>D26</f>
        <v>Permintaan Informasi</v>
      </c>
      <c r="E30" s="110" t="s">
        <v>69</v>
      </c>
      <c r="F30" s="118">
        <f>'statistik The Nusa Dua'!F30+'statistik The Mandalika'!F30+'statistik The Golo Mori'!F30+'statistik MGPA'!F30+'statistik INU'!F30</f>
        <v>0</v>
      </c>
      <c r="G30" s="118">
        <f>'statistik The Nusa Dua'!G30+'statistik The Mandalika'!G30+'statistik The Golo Mori'!G30+'statistik MGPA'!G30+'statistik INU'!G30</f>
        <v>0</v>
      </c>
      <c r="H30" s="118">
        <f>'statistik The Nusa Dua'!H30+'statistik The Mandalika'!H30+'statistik The Golo Mori'!H30+'statistik MGPA'!H30+'statistik INU'!H30</f>
        <v>0</v>
      </c>
      <c r="I30" s="118">
        <f>'statistik The Nusa Dua'!I30+'statistik The Mandalika'!I30+'statistik The Golo Mori'!I30+'statistik MGPA'!I30+'statistik INU'!I30</f>
        <v>0</v>
      </c>
      <c r="J30" s="118">
        <f>'statistik The Nusa Dua'!J30+'statistik The Mandalika'!J30+'statistik The Golo Mori'!J30+'statistik MGPA'!J30+'statistik INU'!J30</f>
        <v>0</v>
      </c>
      <c r="K30" s="118">
        <f>'statistik The Nusa Dua'!K30+'statistik The Mandalika'!K30+'statistik The Golo Mori'!K30+'statistik MGPA'!K30+'statistik INU'!K30</f>
        <v>0</v>
      </c>
      <c r="L30" s="118">
        <f>'statistik The Nusa Dua'!L30+'statistik The Mandalika'!L30+'statistik The Golo Mori'!L30+'statistik MGPA'!L30+'statistik INU'!L30</f>
        <v>0</v>
      </c>
      <c r="M30" s="118">
        <f>'statistik The Nusa Dua'!M30+'statistik The Mandalika'!M30+'statistik The Golo Mori'!M30+'statistik MGPA'!M30+'statistik INU'!M30</f>
        <v>0</v>
      </c>
      <c r="N30" s="118">
        <f>'statistik The Nusa Dua'!N30+'statistik The Mandalika'!N30+'statistik The Golo Mori'!N30+'statistik MGPA'!N30+'statistik INU'!N30</f>
        <v>0</v>
      </c>
      <c r="O30" s="118">
        <f>'statistik The Nusa Dua'!O30+'statistik The Mandalika'!O30+'statistik The Golo Mori'!O30+'statistik MGPA'!O30+'statistik INU'!O30</f>
        <v>0</v>
      </c>
      <c r="P30" s="118">
        <f>'statistik The Nusa Dua'!P30+'statistik The Mandalika'!P30+'statistik The Golo Mori'!P30+'statistik MGPA'!P30+'statistik INU'!P30</f>
        <v>0</v>
      </c>
      <c r="Q30" s="118">
        <f>'statistik The Nusa Dua'!Q30+'statistik The Mandalika'!Q30+'statistik The Golo Mori'!Q30+'statistik MGPA'!Q30+'statistik INU'!Q30</f>
        <v>0</v>
      </c>
      <c r="R30" s="118">
        <f>'statistik The Nusa Dua'!R30+'statistik The Mandalika'!R30+'statistik The Golo Mori'!R30+'statistik MGPA'!R30+'statistik INU'!R30</f>
        <v>0</v>
      </c>
      <c r="S30" s="118">
        <f>'statistik The Nusa Dua'!S30+'statistik The Mandalika'!S30+'statistik The Golo Mori'!S30+'statistik MGPA'!S30+'statistik INU'!S30</f>
        <v>0</v>
      </c>
      <c r="T30" s="118">
        <f>'statistik The Nusa Dua'!T30+'statistik The Mandalika'!T30+'statistik The Golo Mori'!T30+'statistik MGPA'!T30+'statistik INU'!T30</f>
        <v>0</v>
      </c>
      <c r="U30" s="118">
        <f>'statistik The Nusa Dua'!U30+'statistik The Mandalika'!U30+'statistik The Golo Mori'!U30+'statistik MGPA'!U30+'statistik INU'!U30</f>
        <v>0</v>
      </c>
      <c r="V30" s="118">
        <f>'statistik The Nusa Dua'!V30+'statistik The Mandalika'!V30+'statistik The Golo Mori'!V30+'statistik MGPA'!V30+'statistik INU'!V30</f>
        <v>0</v>
      </c>
      <c r="W30" s="118">
        <f>'statistik The Nusa Dua'!W30+'statistik The Mandalika'!W30+'statistik The Golo Mori'!W30+'statistik MGPA'!W30+'statistik INU'!W30</f>
        <v>0</v>
      </c>
      <c r="X30" s="114" t="s">
        <v>69</v>
      </c>
      <c r="Y30" s="114" t="s">
        <v>69</v>
      </c>
      <c r="Z30" s="114" t="s">
        <v>69</v>
      </c>
      <c r="AA30" s="114" t="s">
        <v>69</v>
      </c>
      <c r="AB30" s="114" t="s">
        <v>69</v>
      </c>
      <c r="AC30" s="114" t="s">
        <v>69</v>
      </c>
      <c r="AD30" s="114" t="s">
        <v>69</v>
      </c>
      <c r="AE30" s="114" t="s">
        <v>69</v>
      </c>
      <c r="AF30" s="114" t="s">
        <v>69</v>
      </c>
      <c r="AG30" s="114" t="s">
        <v>69</v>
      </c>
      <c r="AH30" s="114" t="s">
        <v>69</v>
      </c>
      <c r="AI30" s="114" t="s">
        <v>69</v>
      </c>
      <c r="AJ30" s="114" t="s">
        <v>69</v>
      </c>
      <c r="AK30" s="114" t="s">
        <v>69</v>
      </c>
      <c r="AL30" s="114" t="s">
        <v>69</v>
      </c>
      <c r="AM30" s="114" t="s">
        <v>69</v>
      </c>
      <c r="AN30" s="114" t="s">
        <v>69</v>
      </c>
      <c r="AO30" s="114" t="s">
        <v>69</v>
      </c>
      <c r="AP30" s="114" t="s">
        <v>69</v>
      </c>
      <c r="AQ30" s="114" t="s">
        <v>69</v>
      </c>
      <c r="AR30" s="114" t="s">
        <v>69</v>
      </c>
      <c r="AS30" s="114" t="s">
        <v>69</v>
      </c>
      <c r="AT30" s="114" t="s">
        <v>69</v>
      </c>
      <c r="AU30" s="114" t="s">
        <v>69</v>
      </c>
      <c r="AV30" s="114" t="s">
        <v>69</v>
      </c>
      <c r="AW30" s="114" t="s">
        <v>69</v>
      </c>
      <c r="AX30" s="115"/>
      <c r="AY30" s="115"/>
    </row>
    <row r="31" spans="1:51">
      <c r="A31" s="314"/>
      <c r="B31" s="121" t="s">
        <v>69</v>
      </c>
      <c r="C31" s="122" t="s">
        <v>69</v>
      </c>
      <c r="D31" s="123" t="str">
        <f>D27</f>
        <v>Request</v>
      </c>
      <c r="E31" s="110" t="s">
        <v>69</v>
      </c>
      <c r="F31" s="118">
        <f>'statistik The Nusa Dua'!F31+'statistik The Mandalika'!F31+'statistik The Golo Mori'!F31+'statistik MGPA'!F31+'statistik INU'!F31</f>
        <v>0</v>
      </c>
      <c r="G31" s="118">
        <f>'statistik The Nusa Dua'!G31+'statistik The Mandalika'!G31+'statistik The Golo Mori'!G31+'statistik MGPA'!G31+'statistik INU'!G31</f>
        <v>0</v>
      </c>
      <c r="H31" s="118">
        <f>'statistik The Nusa Dua'!H31+'statistik The Mandalika'!H31+'statistik The Golo Mori'!H31+'statistik MGPA'!H31+'statistik INU'!H31</f>
        <v>0</v>
      </c>
      <c r="I31" s="118">
        <f>'statistik The Nusa Dua'!I31+'statistik The Mandalika'!I31+'statistik The Golo Mori'!I31+'statistik MGPA'!I31+'statistik INU'!I31</f>
        <v>0</v>
      </c>
      <c r="J31" s="118">
        <f>'statistik The Nusa Dua'!J31+'statistik The Mandalika'!J31+'statistik The Golo Mori'!J31+'statistik MGPA'!J31+'statistik INU'!J31</f>
        <v>0</v>
      </c>
      <c r="K31" s="118">
        <f>'statistik The Nusa Dua'!K31+'statistik The Mandalika'!K31+'statistik The Golo Mori'!K31+'statistik MGPA'!K31+'statistik INU'!K31</f>
        <v>0</v>
      </c>
      <c r="L31" s="118">
        <f>'statistik The Nusa Dua'!L31+'statistik The Mandalika'!L31+'statistik The Golo Mori'!L31+'statistik MGPA'!L31+'statistik INU'!L31</f>
        <v>0</v>
      </c>
      <c r="M31" s="118">
        <f>'statistik The Nusa Dua'!M31+'statistik The Mandalika'!M31+'statistik The Golo Mori'!M31+'statistik MGPA'!M31+'statistik INU'!M31</f>
        <v>0</v>
      </c>
      <c r="N31" s="118">
        <f>'statistik The Nusa Dua'!N31+'statistik The Mandalika'!N31+'statistik The Golo Mori'!N31+'statistik MGPA'!N31+'statistik INU'!N31</f>
        <v>0</v>
      </c>
      <c r="O31" s="118">
        <f>'statistik The Nusa Dua'!O31+'statistik The Mandalika'!O31+'statistik The Golo Mori'!O31+'statistik MGPA'!O31+'statistik INU'!O31</f>
        <v>0</v>
      </c>
      <c r="P31" s="118">
        <f>'statistik The Nusa Dua'!P31+'statistik The Mandalika'!P31+'statistik The Golo Mori'!P31+'statistik MGPA'!P31+'statistik INU'!P31</f>
        <v>0</v>
      </c>
      <c r="Q31" s="118">
        <f>'statistik The Nusa Dua'!Q31+'statistik The Mandalika'!Q31+'statistik The Golo Mori'!Q31+'statistik MGPA'!Q31+'statistik INU'!Q31</f>
        <v>0</v>
      </c>
      <c r="R31" s="118">
        <f>'statistik The Nusa Dua'!R31+'statistik The Mandalika'!R31+'statistik The Golo Mori'!R31+'statistik MGPA'!R31+'statistik INU'!R31</f>
        <v>0</v>
      </c>
      <c r="S31" s="118">
        <f>'statistik The Nusa Dua'!S31+'statistik The Mandalika'!S31+'statistik The Golo Mori'!S31+'statistik MGPA'!S31+'statistik INU'!S31</f>
        <v>0</v>
      </c>
      <c r="T31" s="118">
        <f>'statistik The Nusa Dua'!T31+'statistik The Mandalika'!T31+'statistik The Golo Mori'!T31+'statistik MGPA'!T31+'statistik INU'!T31</f>
        <v>0</v>
      </c>
      <c r="U31" s="118">
        <f>'statistik The Nusa Dua'!U31+'statistik The Mandalika'!U31+'statistik The Golo Mori'!U31+'statistik MGPA'!U31+'statistik INU'!U31</f>
        <v>0</v>
      </c>
      <c r="V31" s="118">
        <f>'statistik The Nusa Dua'!V31+'statistik The Mandalika'!V31+'statistik The Golo Mori'!V31+'statistik MGPA'!V31+'statistik INU'!V31</f>
        <v>0</v>
      </c>
      <c r="W31" s="118">
        <f>'statistik The Nusa Dua'!W31+'statistik The Mandalika'!W31+'statistik The Golo Mori'!W31+'statistik MGPA'!W31+'statistik INU'!W31</f>
        <v>0</v>
      </c>
      <c r="X31" s="114" t="s">
        <v>69</v>
      </c>
      <c r="Y31" s="114" t="s">
        <v>69</v>
      </c>
      <c r="Z31" s="114" t="s">
        <v>69</v>
      </c>
      <c r="AA31" s="114" t="s">
        <v>69</v>
      </c>
      <c r="AB31" s="114" t="s">
        <v>69</v>
      </c>
      <c r="AC31" s="114" t="s">
        <v>69</v>
      </c>
      <c r="AD31" s="114" t="s">
        <v>69</v>
      </c>
      <c r="AE31" s="114" t="s">
        <v>69</v>
      </c>
      <c r="AF31" s="114" t="s">
        <v>69</v>
      </c>
      <c r="AG31" s="114" t="s">
        <v>69</v>
      </c>
      <c r="AH31" s="114" t="s">
        <v>69</v>
      </c>
      <c r="AI31" s="114" t="s">
        <v>69</v>
      </c>
      <c r="AJ31" s="114" t="s">
        <v>69</v>
      </c>
      <c r="AK31" s="114" t="s">
        <v>69</v>
      </c>
      <c r="AL31" s="114" t="s">
        <v>69</v>
      </c>
      <c r="AM31" s="114" t="s">
        <v>69</v>
      </c>
      <c r="AN31" s="114" t="s">
        <v>69</v>
      </c>
      <c r="AO31" s="114" t="s">
        <v>69</v>
      </c>
      <c r="AP31" s="114" t="s">
        <v>69</v>
      </c>
      <c r="AQ31" s="114" t="s">
        <v>69</v>
      </c>
      <c r="AR31" s="114" t="s">
        <v>69</v>
      </c>
      <c r="AS31" s="114" t="s">
        <v>69</v>
      </c>
      <c r="AT31" s="114" t="s">
        <v>69</v>
      </c>
      <c r="AU31" s="114" t="s">
        <v>69</v>
      </c>
      <c r="AV31" s="114" t="s">
        <v>69</v>
      </c>
      <c r="AW31" s="114" t="s">
        <v>69</v>
      </c>
      <c r="AX31" s="115"/>
      <c r="AY31" s="115"/>
    </row>
    <row r="32" spans="1:51">
      <c r="A32" s="314"/>
      <c r="B32" s="121" t="s">
        <v>69</v>
      </c>
      <c r="C32" s="122" t="s">
        <v>69</v>
      </c>
      <c r="D32" s="123" t="str">
        <f>D28</f>
        <v>Keluhan</v>
      </c>
      <c r="E32" s="110" t="s">
        <v>69</v>
      </c>
      <c r="F32" s="118">
        <f>'statistik The Nusa Dua'!F32+'statistik The Mandalika'!F32+'statistik The Golo Mori'!F32+'statistik MGPA'!F32+'statistik INU'!F32</f>
        <v>0</v>
      </c>
      <c r="G32" s="118">
        <f>'statistik The Nusa Dua'!G32+'statistik The Mandalika'!G32+'statistik The Golo Mori'!G32+'statistik MGPA'!G32+'statistik INU'!G32</f>
        <v>0</v>
      </c>
      <c r="H32" s="118">
        <f>'statistik The Nusa Dua'!H32+'statistik The Mandalika'!H32+'statistik The Golo Mori'!H32+'statistik MGPA'!H32+'statistik INU'!H32</f>
        <v>0</v>
      </c>
      <c r="I32" s="118">
        <f>'statistik The Nusa Dua'!I32+'statistik The Mandalika'!I32+'statistik The Golo Mori'!I32+'statistik MGPA'!I32+'statistik INU'!I32</f>
        <v>0</v>
      </c>
      <c r="J32" s="118">
        <f>'statistik The Nusa Dua'!J32+'statistik The Mandalika'!J32+'statistik The Golo Mori'!J32+'statistik MGPA'!J32+'statistik INU'!J32</f>
        <v>0</v>
      </c>
      <c r="K32" s="118">
        <f>'statistik The Nusa Dua'!K32+'statistik The Mandalika'!K32+'statistik The Golo Mori'!K32+'statistik MGPA'!K32+'statistik INU'!K32</f>
        <v>0</v>
      </c>
      <c r="L32" s="118">
        <f>'statistik The Nusa Dua'!L32+'statistik The Mandalika'!L32+'statistik The Golo Mori'!L32+'statistik MGPA'!L32+'statistik INU'!L32</f>
        <v>0</v>
      </c>
      <c r="M32" s="118">
        <f>'statistik The Nusa Dua'!M32+'statistik The Mandalika'!M32+'statistik The Golo Mori'!M32+'statistik MGPA'!M32+'statistik INU'!M32</f>
        <v>0</v>
      </c>
      <c r="N32" s="118">
        <f>'statistik The Nusa Dua'!N32+'statistik The Mandalika'!N32+'statistik The Golo Mori'!N32+'statistik MGPA'!N32+'statistik INU'!N32</f>
        <v>0</v>
      </c>
      <c r="O32" s="118">
        <f>'statistik The Nusa Dua'!O32+'statistik The Mandalika'!O32+'statistik The Golo Mori'!O32+'statistik MGPA'!O32+'statistik INU'!O32</f>
        <v>0</v>
      </c>
      <c r="P32" s="118">
        <f>'statistik The Nusa Dua'!P32+'statistik The Mandalika'!P32+'statistik The Golo Mori'!P32+'statistik MGPA'!P32+'statistik INU'!P32</f>
        <v>0</v>
      </c>
      <c r="Q32" s="118">
        <f>'statistik The Nusa Dua'!Q32+'statistik The Mandalika'!Q32+'statistik The Golo Mori'!Q32+'statistik MGPA'!Q32+'statistik INU'!Q32</f>
        <v>0</v>
      </c>
      <c r="R32" s="118">
        <f>'statistik The Nusa Dua'!R32+'statistik The Mandalika'!R32+'statistik The Golo Mori'!R32+'statistik MGPA'!R32+'statistik INU'!R32</f>
        <v>0</v>
      </c>
      <c r="S32" s="118">
        <f>'statistik The Nusa Dua'!S32+'statistik The Mandalika'!S32+'statistik The Golo Mori'!S32+'statistik MGPA'!S32+'statistik INU'!S32</f>
        <v>0</v>
      </c>
      <c r="T32" s="118">
        <f>'statistik The Nusa Dua'!T32+'statistik The Mandalika'!T32+'statistik The Golo Mori'!T32+'statistik MGPA'!T32+'statistik INU'!T32</f>
        <v>0</v>
      </c>
      <c r="U32" s="118">
        <f>'statistik The Nusa Dua'!U32+'statistik The Mandalika'!U32+'statistik The Golo Mori'!U32+'statistik MGPA'!U32+'statistik INU'!U32</f>
        <v>0</v>
      </c>
      <c r="V32" s="118">
        <f>'statistik The Nusa Dua'!V32+'statistik The Mandalika'!V32+'statistik The Golo Mori'!V32+'statistik MGPA'!V32+'statistik INU'!V32</f>
        <v>0</v>
      </c>
      <c r="W32" s="118">
        <f>'statistik The Nusa Dua'!W32+'statistik The Mandalika'!W32+'statistik The Golo Mori'!W32+'statistik MGPA'!W32+'statistik INU'!W32</f>
        <v>0</v>
      </c>
      <c r="X32" s="114" t="s">
        <v>69</v>
      </c>
      <c r="Y32" s="114" t="s">
        <v>69</v>
      </c>
      <c r="Z32" s="114" t="s">
        <v>69</v>
      </c>
      <c r="AA32" s="114" t="s">
        <v>69</v>
      </c>
      <c r="AB32" s="114" t="s">
        <v>69</v>
      </c>
      <c r="AC32" s="114" t="s">
        <v>69</v>
      </c>
      <c r="AD32" s="114" t="s">
        <v>69</v>
      </c>
      <c r="AE32" s="114" t="s">
        <v>69</v>
      </c>
      <c r="AF32" s="114" t="s">
        <v>69</v>
      </c>
      <c r="AG32" s="114" t="s">
        <v>69</v>
      </c>
      <c r="AH32" s="114" t="s">
        <v>69</v>
      </c>
      <c r="AI32" s="114" t="s">
        <v>69</v>
      </c>
      <c r="AJ32" s="114" t="s">
        <v>69</v>
      </c>
      <c r="AK32" s="114" t="s">
        <v>69</v>
      </c>
      <c r="AL32" s="114" t="s">
        <v>69</v>
      </c>
      <c r="AM32" s="114" t="s">
        <v>69</v>
      </c>
      <c r="AN32" s="114" t="s">
        <v>69</v>
      </c>
      <c r="AO32" s="114" t="s">
        <v>69</v>
      </c>
      <c r="AP32" s="114" t="s">
        <v>69</v>
      </c>
      <c r="AQ32" s="114" t="s">
        <v>69</v>
      </c>
      <c r="AR32" s="114" t="s">
        <v>69</v>
      </c>
      <c r="AS32" s="114" t="s">
        <v>69</v>
      </c>
      <c r="AT32" s="114" t="s">
        <v>69</v>
      </c>
      <c r="AU32" s="114" t="s">
        <v>69</v>
      </c>
      <c r="AV32" s="114" t="s">
        <v>69</v>
      </c>
      <c r="AW32" s="114" t="s">
        <v>69</v>
      </c>
      <c r="AX32" s="115"/>
      <c r="AY32" s="115"/>
    </row>
    <row r="33" spans="1:51">
      <c r="A33" s="314"/>
      <c r="B33" s="121" t="s">
        <v>69</v>
      </c>
      <c r="C33" s="122" t="s">
        <v>69</v>
      </c>
      <c r="D33" s="123" t="s">
        <v>88</v>
      </c>
      <c r="E33" s="110" t="s">
        <v>69</v>
      </c>
      <c r="F33" s="118">
        <f>'statistik The Nusa Dua'!F33+'statistik The Mandalika'!F33+'statistik The Golo Mori'!F33+'statistik MGPA'!F33+'statistik INU'!F33</f>
        <v>0</v>
      </c>
      <c r="G33" s="118">
        <f>'statistik The Nusa Dua'!G33+'statistik The Mandalika'!G33+'statistik The Golo Mori'!G33+'statistik MGPA'!G33+'statistik INU'!G33</f>
        <v>0</v>
      </c>
      <c r="H33" s="118">
        <f>'statistik The Nusa Dua'!H33+'statistik The Mandalika'!H33+'statistik The Golo Mori'!H33+'statistik MGPA'!H33+'statistik INU'!H33</f>
        <v>0</v>
      </c>
      <c r="I33" s="118">
        <f>'statistik The Nusa Dua'!I33+'statistik The Mandalika'!I33+'statistik The Golo Mori'!I33+'statistik MGPA'!I33+'statistik INU'!I33</f>
        <v>0</v>
      </c>
      <c r="J33" s="118">
        <f>'statistik The Nusa Dua'!J33+'statistik The Mandalika'!J33+'statistik The Golo Mori'!J33+'statistik MGPA'!J33+'statistik INU'!J33</f>
        <v>0</v>
      </c>
      <c r="K33" s="118">
        <f>'statistik The Nusa Dua'!K33+'statistik The Mandalika'!K33+'statistik The Golo Mori'!K33+'statistik MGPA'!K33+'statistik INU'!K33</f>
        <v>0</v>
      </c>
      <c r="L33" s="118">
        <f>'statistik The Nusa Dua'!L33+'statistik The Mandalika'!L33+'statistik The Golo Mori'!L33+'statistik MGPA'!L33+'statistik INU'!L33</f>
        <v>0</v>
      </c>
      <c r="M33" s="118">
        <f>'statistik The Nusa Dua'!M33+'statistik The Mandalika'!M33+'statistik The Golo Mori'!M33+'statistik MGPA'!M33+'statistik INU'!M33</f>
        <v>0</v>
      </c>
      <c r="N33" s="118">
        <f>'statistik The Nusa Dua'!N33+'statistik The Mandalika'!N33+'statistik The Golo Mori'!N33+'statistik MGPA'!N33+'statistik INU'!N33</f>
        <v>0</v>
      </c>
      <c r="O33" s="118">
        <f>'statistik The Nusa Dua'!O33+'statistik The Mandalika'!O33+'statistik The Golo Mori'!O33+'statistik MGPA'!O33+'statistik INU'!O33</f>
        <v>0</v>
      </c>
      <c r="P33" s="118">
        <f>'statistik The Nusa Dua'!P33+'statistik The Mandalika'!P33+'statistik The Golo Mori'!P33+'statistik MGPA'!P33+'statistik INU'!P33</f>
        <v>0</v>
      </c>
      <c r="Q33" s="118">
        <f>'statistik The Nusa Dua'!Q33+'statistik The Mandalika'!Q33+'statistik The Golo Mori'!Q33+'statistik MGPA'!Q33+'statistik INU'!Q33</f>
        <v>0</v>
      </c>
      <c r="R33" s="118">
        <f>'statistik The Nusa Dua'!R33+'statistik The Mandalika'!R33+'statistik The Golo Mori'!R33+'statistik MGPA'!R33+'statistik INU'!R33</f>
        <v>0</v>
      </c>
      <c r="S33" s="118">
        <f>'statistik The Nusa Dua'!S33+'statistik The Mandalika'!S33+'statistik The Golo Mori'!S33+'statistik MGPA'!S33+'statistik INU'!S33</f>
        <v>0</v>
      </c>
      <c r="T33" s="118">
        <f>'statistik The Nusa Dua'!T33+'statistik The Mandalika'!T33+'statistik The Golo Mori'!T33+'statistik MGPA'!T33+'statistik INU'!T33</f>
        <v>0</v>
      </c>
      <c r="U33" s="118">
        <f>'statistik The Nusa Dua'!U33+'statistik The Mandalika'!U33+'statistik The Golo Mori'!U33+'statistik MGPA'!U33+'statistik INU'!U33</f>
        <v>0</v>
      </c>
      <c r="V33" s="118">
        <f>'statistik The Nusa Dua'!V33+'statistik The Mandalika'!V33+'statistik The Golo Mori'!V33+'statistik MGPA'!V33+'statistik INU'!V33</f>
        <v>0</v>
      </c>
      <c r="W33" s="118">
        <f>'statistik The Nusa Dua'!W33+'statistik The Mandalika'!W33+'statistik The Golo Mori'!W33+'statistik MGPA'!W33+'statistik INU'!W33</f>
        <v>0</v>
      </c>
      <c r="X33" s="114" t="s">
        <v>69</v>
      </c>
      <c r="Y33" s="114" t="s">
        <v>69</v>
      </c>
      <c r="Z33" s="114" t="s">
        <v>69</v>
      </c>
      <c r="AA33" s="114" t="s">
        <v>69</v>
      </c>
      <c r="AB33" s="114" t="s">
        <v>69</v>
      </c>
      <c r="AC33" s="114" t="s">
        <v>69</v>
      </c>
      <c r="AD33" s="114" t="s">
        <v>69</v>
      </c>
      <c r="AE33" s="114" t="s">
        <v>69</v>
      </c>
      <c r="AF33" s="114" t="s">
        <v>69</v>
      </c>
      <c r="AG33" s="114" t="s">
        <v>69</v>
      </c>
      <c r="AH33" s="114" t="s">
        <v>69</v>
      </c>
      <c r="AI33" s="114" t="s">
        <v>69</v>
      </c>
      <c r="AJ33" s="114" t="s">
        <v>69</v>
      </c>
      <c r="AK33" s="114" t="s">
        <v>69</v>
      </c>
      <c r="AL33" s="114" t="s">
        <v>69</v>
      </c>
      <c r="AM33" s="114" t="s">
        <v>69</v>
      </c>
      <c r="AN33" s="114" t="s">
        <v>69</v>
      </c>
      <c r="AO33" s="114" t="s">
        <v>69</v>
      </c>
      <c r="AP33" s="114" t="s">
        <v>69</v>
      </c>
      <c r="AQ33" s="114" t="s">
        <v>69</v>
      </c>
      <c r="AR33" s="114" t="s">
        <v>69</v>
      </c>
      <c r="AS33" s="114" t="s">
        <v>69</v>
      </c>
      <c r="AT33" s="114" t="s">
        <v>69</v>
      </c>
      <c r="AU33" s="114" t="s">
        <v>69</v>
      </c>
      <c r="AV33" s="114" t="s">
        <v>69</v>
      </c>
      <c r="AW33" s="114" t="s">
        <v>69</v>
      </c>
      <c r="AX33" s="115"/>
      <c r="AY33" s="115"/>
    </row>
    <row r="34" spans="1:51">
      <c r="A34" s="314"/>
      <c r="B34" s="121" t="s">
        <v>89</v>
      </c>
      <c r="C34" s="122" t="s">
        <v>90</v>
      </c>
      <c r="D34" s="123" t="str">
        <f>D30</f>
        <v>Permintaan Informasi</v>
      </c>
      <c r="E34" s="110" t="s">
        <v>69</v>
      </c>
      <c r="F34" s="118">
        <f>'statistik The Nusa Dua'!F34+'statistik The Mandalika'!F34+'statistik The Golo Mori'!F34+'statistik MGPA'!F34+'statistik INU'!F34</f>
        <v>0</v>
      </c>
      <c r="G34" s="118">
        <f>'statistik The Nusa Dua'!G34+'statistik The Mandalika'!G34+'statistik The Golo Mori'!G34+'statistik MGPA'!G34+'statistik INU'!G34</f>
        <v>0</v>
      </c>
      <c r="H34" s="118">
        <f>'statistik The Nusa Dua'!H34+'statistik The Mandalika'!H34+'statistik The Golo Mori'!H34+'statistik MGPA'!H34+'statistik INU'!H34</f>
        <v>0</v>
      </c>
      <c r="I34" s="118">
        <f>'statistik The Nusa Dua'!I34+'statistik The Mandalika'!I34+'statistik The Golo Mori'!I34+'statistik MGPA'!I34+'statistik INU'!I34</f>
        <v>0</v>
      </c>
      <c r="J34" s="118">
        <f>'statistik The Nusa Dua'!J34+'statistik The Mandalika'!J34+'statistik The Golo Mori'!J34+'statistik MGPA'!J34+'statistik INU'!J34</f>
        <v>0</v>
      </c>
      <c r="K34" s="118">
        <f>'statistik The Nusa Dua'!K34+'statistik The Mandalika'!K34+'statistik The Golo Mori'!K34+'statistik MGPA'!K34+'statistik INU'!K34</f>
        <v>0</v>
      </c>
      <c r="L34" s="118">
        <f>'statistik The Nusa Dua'!L34+'statistik The Mandalika'!L34+'statistik The Golo Mori'!L34+'statistik MGPA'!L34+'statistik INU'!L34</f>
        <v>0</v>
      </c>
      <c r="M34" s="118">
        <f>'statistik The Nusa Dua'!M34+'statistik The Mandalika'!M34+'statistik The Golo Mori'!M34+'statistik MGPA'!M34+'statistik INU'!M34</f>
        <v>0</v>
      </c>
      <c r="N34" s="118">
        <f>'statistik The Nusa Dua'!N34+'statistik The Mandalika'!N34+'statistik The Golo Mori'!N34+'statistik MGPA'!N34+'statistik INU'!N34</f>
        <v>0</v>
      </c>
      <c r="O34" s="118">
        <f>'statistik The Nusa Dua'!O34+'statistik The Mandalika'!O34+'statistik The Golo Mori'!O34+'statistik MGPA'!O34+'statistik INU'!O34</f>
        <v>0</v>
      </c>
      <c r="P34" s="118">
        <f>'statistik The Nusa Dua'!P34+'statistik The Mandalika'!P34+'statistik The Golo Mori'!P34+'statistik MGPA'!P34+'statistik INU'!P34</f>
        <v>0</v>
      </c>
      <c r="Q34" s="118">
        <f>'statistik The Nusa Dua'!Q34+'statistik The Mandalika'!Q34+'statistik The Golo Mori'!Q34+'statistik MGPA'!Q34+'statistik INU'!Q34</f>
        <v>0</v>
      </c>
      <c r="R34" s="118">
        <f>'statistik The Nusa Dua'!R34+'statistik The Mandalika'!R34+'statistik The Golo Mori'!R34+'statistik MGPA'!R34+'statistik INU'!R34</f>
        <v>14</v>
      </c>
      <c r="S34" s="118">
        <f>'statistik The Nusa Dua'!S34+'statistik The Mandalika'!S34+'statistik The Golo Mori'!S34+'statistik MGPA'!S34+'statistik INU'!S34</f>
        <v>7</v>
      </c>
      <c r="T34" s="118">
        <f>'statistik The Nusa Dua'!T34+'statistik The Mandalika'!T34+'statistik The Golo Mori'!T34+'statistik MGPA'!T34+'statistik INU'!T34</f>
        <v>8</v>
      </c>
      <c r="U34" s="118">
        <f>'statistik The Nusa Dua'!U34+'statistik The Mandalika'!U34+'statistik The Golo Mori'!U34+'statistik MGPA'!U34+'statistik INU'!U34</f>
        <v>9</v>
      </c>
      <c r="V34" s="118">
        <f>'statistik The Nusa Dua'!V34+'statistik The Mandalika'!V34+'statistik The Golo Mori'!V34+'statistik MGPA'!V34+'statistik INU'!V34</f>
        <v>15</v>
      </c>
      <c r="W34" s="118">
        <f>'statistik The Nusa Dua'!W34+'statistik The Mandalika'!W34+'statistik The Golo Mori'!W34+'statistik MGPA'!W34+'statistik INU'!W34</f>
        <v>15</v>
      </c>
      <c r="X34" s="114" t="s">
        <v>69</v>
      </c>
      <c r="Y34" s="114" t="s">
        <v>69</v>
      </c>
      <c r="Z34" s="114" t="s">
        <v>69</v>
      </c>
      <c r="AA34" s="114" t="s">
        <v>69</v>
      </c>
      <c r="AB34" s="114" t="s">
        <v>69</v>
      </c>
      <c r="AC34" s="114" t="s">
        <v>69</v>
      </c>
      <c r="AD34" s="114" t="s">
        <v>69</v>
      </c>
      <c r="AE34" s="114" t="s">
        <v>69</v>
      </c>
      <c r="AF34" s="114" t="s">
        <v>69</v>
      </c>
      <c r="AG34" s="114" t="s">
        <v>69</v>
      </c>
      <c r="AH34" s="114" t="s">
        <v>69</v>
      </c>
      <c r="AI34" s="114" t="s">
        <v>69</v>
      </c>
      <c r="AJ34" s="114" t="s">
        <v>69</v>
      </c>
      <c r="AK34" s="114" t="s">
        <v>69</v>
      </c>
      <c r="AL34" s="114" t="s">
        <v>69</v>
      </c>
      <c r="AM34" s="114" t="s">
        <v>69</v>
      </c>
      <c r="AN34" s="114" t="s">
        <v>69</v>
      </c>
      <c r="AO34" s="114" t="s">
        <v>69</v>
      </c>
      <c r="AP34" s="114" t="s">
        <v>69</v>
      </c>
      <c r="AQ34" s="114" t="s">
        <v>69</v>
      </c>
      <c r="AR34" s="114" t="s">
        <v>69</v>
      </c>
      <c r="AS34" s="114" t="s">
        <v>69</v>
      </c>
      <c r="AT34" s="114" t="s">
        <v>69</v>
      </c>
      <c r="AU34" s="114" t="s">
        <v>69</v>
      </c>
      <c r="AV34" s="114" t="s">
        <v>69</v>
      </c>
      <c r="AW34" s="114" t="s">
        <v>69</v>
      </c>
      <c r="AX34" s="115"/>
      <c r="AY34" s="115"/>
    </row>
    <row r="35" spans="1:51">
      <c r="A35" s="314"/>
      <c r="B35" s="121" t="s">
        <v>69</v>
      </c>
      <c r="C35" s="122" t="s">
        <v>69</v>
      </c>
      <c r="D35" s="123" t="str">
        <f>D31</f>
        <v>Request</v>
      </c>
      <c r="E35" s="110" t="s">
        <v>69</v>
      </c>
      <c r="F35" s="118">
        <f>'statistik The Nusa Dua'!F35+'statistik The Mandalika'!F35+'statistik The Golo Mori'!F35+'statistik MGPA'!F35+'statistik INU'!F35</f>
        <v>0</v>
      </c>
      <c r="G35" s="118">
        <f>'statistik The Nusa Dua'!G35+'statistik The Mandalika'!G35+'statistik The Golo Mori'!G35+'statistik MGPA'!G35+'statistik INU'!G35</f>
        <v>0</v>
      </c>
      <c r="H35" s="118">
        <f>'statistik The Nusa Dua'!H35+'statistik The Mandalika'!H35+'statistik The Golo Mori'!H35+'statistik MGPA'!H35+'statistik INU'!H35</f>
        <v>0</v>
      </c>
      <c r="I35" s="118">
        <f>'statistik The Nusa Dua'!I35+'statistik The Mandalika'!I35+'statistik The Golo Mori'!I35+'statistik MGPA'!I35+'statistik INU'!I35</f>
        <v>0</v>
      </c>
      <c r="J35" s="118">
        <f>'statistik The Nusa Dua'!J35+'statistik The Mandalika'!J35+'statistik The Golo Mori'!J35+'statistik MGPA'!J35+'statistik INU'!J35</f>
        <v>0</v>
      </c>
      <c r="K35" s="118">
        <f>'statistik The Nusa Dua'!K35+'statistik The Mandalika'!K35+'statistik The Golo Mori'!K35+'statistik MGPA'!K35+'statistik INU'!K35</f>
        <v>0</v>
      </c>
      <c r="L35" s="118">
        <f>'statistik The Nusa Dua'!L35+'statistik The Mandalika'!L35+'statistik The Golo Mori'!L35+'statistik MGPA'!L35+'statistik INU'!L35</f>
        <v>0</v>
      </c>
      <c r="M35" s="118">
        <f>'statistik The Nusa Dua'!M35+'statistik The Mandalika'!M35+'statistik The Golo Mori'!M35+'statistik MGPA'!M35+'statistik INU'!M35</f>
        <v>0</v>
      </c>
      <c r="N35" s="118">
        <f>'statistik The Nusa Dua'!N35+'statistik The Mandalika'!N35+'statistik The Golo Mori'!N35+'statistik MGPA'!N35+'statistik INU'!N35</f>
        <v>0</v>
      </c>
      <c r="O35" s="118">
        <f>'statistik The Nusa Dua'!O35+'statistik The Mandalika'!O35+'statistik The Golo Mori'!O35+'statistik MGPA'!O35+'statistik INU'!O35</f>
        <v>0</v>
      </c>
      <c r="P35" s="118">
        <f>'statistik The Nusa Dua'!P35+'statistik The Mandalika'!P35+'statistik The Golo Mori'!P35+'statistik MGPA'!P35+'statistik INU'!P35</f>
        <v>0</v>
      </c>
      <c r="Q35" s="118">
        <f>'statistik The Nusa Dua'!Q35+'statistik The Mandalika'!Q35+'statistik The Golo Mori'!Q35+'statistik MGPA'!Q35+'statistik INU'!Q35</f>
        <v>0</v>
      </c>
      <c r="R35" s="118">
        <f>'statistik The Nusa Dua'!R35+'statistik The Mandalika'!R35+'statistik The Golo Mori'!R35+'statistik MGPA'!R35+'statistik INU'!R35</f>
        <v>2</v>
      </c>
      <c r="S35" s="118">
        <f>'statistik The Nusa Dua'!S35+'statistik The Mandalika'!S35+'statistik The Golo Mori'!S35+'statistik MGPA'!S35+'statistik INU'!S35</f>
        <v>4</v>
      </c>
      <c r="T35" s="118">
        <f>'statistik The Nusa Dua'!T35+'statistik The Mandalika'!T35+'statistik The Golo Mori'!T35+'statistik MGPA'!T35+'statistik INU'!T35</f>
        <v>3</v>
      </c>
      <c r="U35" s="118">
        <f>'statistik The Nusa Dua'!U35+'statistik The Mandalika'!U35+'statistik The Golo Mori'!U35+'statistik MGPA'!U35+'statistik INU'!U35</f>
        <v>7</v>
      </c>
      <c r="V35" s="118">
        <f>'statistik The Nusa Dua'!V35+'statistik The Mandalika'!V35+'statistik The Golo Mori'!V35+'statistik MGPA'!V35+'statistik INU'!V35</f>
        <v>5</v>
      </c>
      <c r="W35" s="118">
        <f>'statistik The Nusa Dua'!W35+'statistik The Mandalika'!W35+'statistik The Golo Mori'!W35+'statistik MGPA'!W35+'statistik INU'!W35</f>
        <v>7</v>
      </c>
      <c r="X35" s="114" t="s">
        <v>69</v>
      </c>
      <c r="Y35" s="114" t="s">
        <v>69</v>
      </c>
      <c r="Z35" s="114" t="s">
        <v>69</v>
      </c>
      <c r="AA35" s="114" t="s">
        <v>69</v>
      </c>
      <c r="AB35" s="114" t="s">
        <v>69</v>
      </c>
      <c r="AC35" s="114" t="s">
        <v>69</v>
      </c>
      <c r="AD35" s="114" t="s">
        <v>69</v>
      </c>
      <c r="AE35" s="114" t="s">
        <v>69</v>
      </c>
      <c r="AF35" s="114" t="s">
        <v>69</v>
      </c>
      <c r="AG35" s="114" t="s">
        <v>69</v>
      </c>
      <c r="AH35" s="114" t="s">
        <v>69</v>
      </c>
      <c r="AI35" s="114" t="s">
        <v>69</v>
      </c>
      <c r="AJ35" s="114" t="s">
        <v>69</v>
      </c>
      <c r="AK35" s="114" t="s">
        <v>69</v>
      </c>
      <c r="AL35" s="114" t="s">
        <v>69</v>
      </c>
      <c r="AM35" s="114" t="s">
        <v>69</v>
      </c>
      <c r="AN35" s="114" t="s">
        <v>69</v>
      </c>
      <c r="AO35" s="114" t="s">
        <v>69</v>
      </c>
      <c r="AP35" s="114" t="s">
        <v>69</v>
      </c>
      <c r="AQ35" s="114" t="s">
        <v>69</v>
      </c>
      <c r="AR35" s="114" t="s">
        <v>69</v>
      </c>
      <c r="AS35" s="114" t="s">
        <v>69</v>
      </c>
      <c r="AT35" s="114" t="s">
        <v>69</v>
      </c>
      <c r="AU35" s="114" t="s">
        <v>69</v>
      </c>
      <c r="AV35" s="114" t="s">
        <v>69</v>
      </c>
      <c r="AW35" s="114" t="s">
        <v>69</v>
      </c>
      <c r="AX35" s="115"/>
      <c r="AY35" s="115"/>
    </row>
    <row r="36" spans="1:51" s="162" customFormat="1">
      <c r="A36" s="314"/>
      <c r="B36" s="254" t="s">
        <v>69</v>
      </c>
      <c r="C36" s="255" t="s">
        <v>69</v>
      </c>
      <c r="D36" s="256" t="str">
        <f>D32</f>
        <v>Keluhan</v>
      </c>
      <c r="E36" s="257" t="s">
        <v>69</v>
      </c>
      <c r="F36" s="258">
        <f>'statistik The Nusa Dua'!F36+'statistik The Mandalika'!F36+'statistik The Golo Mori'!F36+'statistik MGPA'!F36+'statistik INU'!F36</f>
        <v>3</v>
      </c>
      <c r="G36" s="258">
        <f>'statistik The Nusa Dua'!G36+'statistik The Mandalika'!G36+'statistik The Golo Mori'!G36+'statistik MGPA'!G36+'statistik INU'!G36</f>
        <v>1</v>
      </c>
      <c r="H36" s="258">
        <f>'statistik The Nusa Dua'!H36+'statistik The Mandalika'!H36+'statistik The Golo Mori'!H36+'statistik MGPA'!H36+'statistik INU'!H36</f>
        <v>0</v>
      </c>
      <c r="I36" s="258">
        <f>'statistik The Nusa Dua'!I36+'statistik The Mandalika'!I36+'statistik The Golo Mori'!I36+'statistik MGPA'!I36+'statistik INU'!I36</f>
        <v>3</v>
      </c>
      <c r="J36" s="258">
        <f>'statistik The Nusa Dua'!J36+'statistik The Mandalika'!J36+'statistik The Golo Mori'!J36+'statistik MGPA'!J36+'statistik INU'!J36</f>
        <v>5</v>
      </c>
      <c r="K36" s="258">
        <f>'statistik The Nusa Dua'!K36+'statistik The Mandalika'!K36+'statistik The Golo Mori'!K36+'statistik MGPA'!K36+'statistik INU'!K36</f>
        <v>6</v>
      </c>
      <c r="L36" s="258">
        <f>'statistik The Nusa Dua'!L36+'statistik The Mandalika'!L36+'statistik The Golo Mori'!L36+'statistik MGPA'!L36+'statistik INU'!L36</f>
        <v>8</v>
      </c>
      <c r="M36" s="258">
        <f>'statistik The Nusa Dua'!M36+'statistik The Mandalika'!M36+'statistik The Golo Mori'!M36+'statistik MGPA'!M36+'statistik INU'!M36</f>
        <v>11</v>
      </c>
      <c r="N36" s="258">
        <f>'statistik The Nusa Dua'!N36+'statistik The Mandalika'!N36+'statistik The Golo Mori'!N36+'statistik MGPA'!N36+'statistik INU'!N36</f>
        <v>10</v>
      </c>
      <c r="O36" s="258">
        <f>'statistik The Nusa Dua'!O36+'statistik The Mandalika'!O36+'statistik The Golo Mori'!O36+'statistik MGPA'!O36+'statistik INU'!O36</f>
        <v>14</v>
      </c>
      <c r="P36" s="258">
        <f>'statistik The Nusa Dua'!P36+'statistik The Mandalika'!P36+'statistik The Golo Mori'!P36+'statistik MGPA'!P36+'statistik INU'!P36</f>
        <v>6</v>
      </c>
      <c r="Q36" s="258">
        <f>'statistik The Nusa Dua'!Q36+'statistik The Mandalika'!Q36+'statistik The Golo Mori'!Q36+'statistik MGPA'!Q36+'statistik INU'!Q36</f>
        <v>7</v>
      </c>
      <c r="R36" s="258">
        <f>'statistik The Nusa Dua'!R36+'statistik The Mandalika'!R36+'statistik The Golo Mori'!R36+'statistik MGPA'!R36+'statistik INU'!R36</f>
        <v>13</v>
      </c>
      <c r="S36" s="258">
        <f>'statistik The Nusa Dua'!S36+'statistik The Mandalika'!S36+'statistik The Golo Mori'!S36+'statistik MGPA'!S36+'statistik INU'!S36</f>
        <v>3</v>
      </c>
      <c r="T36" s="258">
        <f>'statistik The Nusa Dua'!T36+'statistik The Mandalika'!T36+'statistik The Golo Mori'!T36+'statistik MGPA'!T36+'statistik INU'!T36</f>
        <v>4</v>
      </c>
      <c r="U36" s="258">
        <f>'statistik The Nusa Dua'!U36+'statistik The Mandalika'!U36+'statistik The Golo Mori'!U36+'statistik MGPA'!U36+'statistik INU'!U36</f>
        <v>9</v>
      </c>
      <c r="V36" s="258">
        <f>'statistik The Nusa Dua'!V36+'statistik The Mandalika'!V36+'statistik The Golo Mori'!V36+'statistik MGPA'!V36+'statistik INU'!V36</f>
        <v>8</v>
      </c>
      <c r="W36" s="258">
        <f>'statistik The Nusa Dua'!W36+'statistik The Mandalika'!W36+'statistik The Golo Mori'!W36+'statistik MGPA'!W36+'statistik INU'!W36</f>
        <v>7</v>
      </c>
      <c r="X36" s="259" t="s">
        <v>69</v>
      </c>
      <c r="Y36" s="259" t="s">
        <v>69</v>
      </c>
      <c r="Z36" s="259" t="s">
        <v>69</v>
      </c>
      <c r="AA36" s="259" t="s">
        <v>69</v>
      </c>
      <c r="AB36" s="259" t="s">
        <v>69</v>
      </c>
      <c r="AC36" s="259" t="s">
        <v>69</v>
      </c>
      <c r="AD36" s="259" t="s">
        <v>69</v>
      </c>
      <c r="AE36" s="259" t="s">
        <v>69</v>
      </c>
      <c r="AF36" s="259" t="s">
        <v>69</v>
      </c>
      <c r="AG36" s="259" t="s">
        <v>69</v>
      </c>
      <c r="AH36" s="259" t="s">
        <v>69</v>
      </c>
      <c r="AI36" s="259" t="s">
        <v>69</v>
      </c>
      <c r="AJ36" s="259" t="s">
        <v>69</v>
      </c>
      <c r="AK36" s="259" t="s">
        <v>69</v>
      </c>
      <c r="AL36" s="259" t="s">
        <v>69</v>
      </c>
      <c r="AM36" s="259" t="s">
        <v>69</v>
      </c>
      <c r="AN36" s="259" t="s">
        <v>69</v>
      </c>
      <c r="AO36" s="259" t="s">
        <v>69</v>
      </c>
      <c r="AP36" s="259" t="s">
        <v>69</v>
      </c>
      <c r="AQ36" s="259" t="s">
        <v>69</v>
      </c>
      <c r="AR36" s="259" t="s">
        <v>69</v>
      </c>
      <c r="AS36" s="259" t="s">
        <v>69</v>
      </c>
      <c r="AT36" s="259" t="s">
        <v>69</v>
      </c>
      <c r="AU36" s="259" t="s">
        <v>69</v>
      </c>
      <c r="AV36" s="259" t="s">
        <v>69</v>
      </c>
      <c r="AW36" s="259" t="s">
        <v>69</v>
      </c>
      <c r="AX36" s="260"/>
      <c r="AY36" s="260"/>
    </row>
    <row r="37" spans="1:51">
      <c r="A37" s="314"/>
      <c r="B37" s="121" t="s">
        <v>69</v>
      </c>
      <c r="C37" s="122" t="s">
        <v>69</v>
      </c>
      <c r="D37" s="123" t="str">
        <f>D33</f>
        <v>Apresiasi</v>
      </c>
      <c r="E37" s="110" t="s">
        <v>69</v>
      </c>
      <c r="F37" s="118">
        <f>'statistik The Nusa Dua'!F37+'statistik The Mandalika'!F37+'statistik The Golo Mori'!F37+'statistik MGPA'!F37+'statistik INU'!F37</f>
        <v>0</v>
      </c>
      <c r="G37" s="118">
        <f>'statistik The Nusa Dua'!G37+'statistik The Mandalika'!G37+'statistik The Golo Mori'!G37+'statistik MGPA'!G37+'statistik INU'!G37</f>
        <v>0</v>
      </c>
      <c r="H37" s="118">
        <f>'statistik The Nusa Dua'!H37+'statistik The Mandalika'!H37+'statistik The Golo Mori'!H37+'statistik MGPA'!H37+'statistik INU'!H37</f>
        <v>0</v>
      </c>
      <c r="I37" s="118">
        <f>'statistik The Nusa Dua'!I37+'statistik The Mandalika'!I37+'statistik The Golo Mori'!I37+'statistik MGPA'!I37+'statistik INU'!I37</f>
        <v>0</v>
      </c>
      <c r="J37" s="118">
        <f>'statistik The Nusa Dua'!J37+'statistik The Mandalika'!J37+'statistik The Golo Mori'!J37+'statistik MGPA'!J37+'statistik INU'!J37</f>
        <v>4</v>
      </c>
      <c r="K37" s="118">
        <f>'statistik The Nusa Dua'!K37+'statistik The Mandalika'!K37+'statistik The Golo Mori'!K37+'statistik MGPA'!K37+'statistik INU'!K37</f>
        <v>4</v>
      </c>
      <c r="L37" s="118">
        <f>'statistik The Nusa Dua'!L37+'statistik The Mandalika'!L37+'statistik The Golo Mori'!L37+'statistik MGPA'!L37+'statistik INU'!L37</f>
        <v>8</v>
      </c>
      <c r="M37" s="118">
        <f>'statistik The Nusa Dua'!M37+'statistik The Mandalika'!M37+'statistik The Golo Mori'!M37+'statistik MGPA'!M37+'statistik INU'!M37</f>
        <v>6</v>
      </c>
      <c r="N37" s="118">
        <f>'statistik The Nusa Dua'!N37+'statistik The Mandalika'!N37+'statistik The Golo Mori'!N37+'statistik MGPA'!N37+'statistik INU'!N37</f>
        <v>5</v>
      </c>
      <c r="O37" s="118">
        <f>'statistik The Nusa Dua'!O37+'statistik The Mandalika'!O37+'statistik The Golo Mori'!O37+'statistik MGPA'!O37+'statistik INU'!O37</f>
        <v>9</v>
      </c>
      <c r="P37" s="118">
        <f>'statistik The Nusa Dua'!P37+'statistik The Mandalika'!P37+'statistik The Golo Mori'!P37+'statistik MGPA'!P37+'statistik INU'!P37</f>
        <v>0</v>
      </c>
      <c r="Q37" s="118">
        <f>'statistik The Nusa Dua'!Q37+'statistik The Mandalika'!Q37+'statistik The Golo Mori'!Q37+'statistik MGPA'!Q37+'statistik INU'!Q37</f>
        <v>4</v>
      </c>
      <c r="R37" s="118">
        <f>'statistik The Nusa Dua'!R37+'statistik The Mandalika'!R37+'statistik The Golo Mori'!R37+'statistik MGPA'!R37+'statistik INU'!R37</f>
        <v>10</v>
      </c>
      <c r="S37" s="118">
        <f>'statistik The Nusa Dua'!S37+'statistik The Mandalika'!S37+'statistik The Golo Mori'!S37+'statistik MGPA'!S37+'statistik INU'!S37</f>
        <v>8</v>
      </c>
      <c r="T37" s="118">
        <f>'statistik The Nusa Dua'!T37+'statistik The Mandalika'!T37+'statistik The Golo Mori'!T37+'statistik MGPA'!T37+'statistik INU'!T37</f>
        <v>4</v>
      </c>
      <c r="U37" s="118">
        <f>'statistik The Nusa Dua'!U37+'statistik The Mandalika'!U37+'statistik The Golo Mori'!U37+'statistik MGPA'!U37+'statistik INU'!U37</f>
        <v>18</v>
      </c>
      <c r="V37" s="118">
        <f>'statistik The Nusa Dua'!V37+'statistik The Mandalika'!V37+'statistik The Golo Mori'!V37+'statistik MGPA'!V37+'statistik INU'!V37</f>
        <v>16</v>
      </c>
      <c r="W37" s="118">
        <f>'statistik The Nusa Dua'!W37+'statistik The Mandalika'!W37+'statistik The Golo Mori'!W37+'statistik MGPA'!W37+'statistik INU'!W37</f>
        <v>9</v>
      </c>
      <c r="X37" s="114" t="s">
        <v>69</v>
      </c>
      <c r="Y37" s="114" t="s">
        <v>69</v>
      </c>
      <c r="Z37" s="114" t="s">
        <v>69</v>
      </c>
      <c r="AA37" s="114" t="s">
        <v>69</v>
      </c>
      <c r="AB37" s="114" t="s">
        <v>69</v>
      </c>
      <c r="AC37" s="114" t="s">
        <v>69</v>
      </c>
      <c r="AD37" s="114" t="s">
        <v>69</v>
      </c>
      <c r="AE37" s="114" t="s">
        <v>69</v>
      </c>
      <c r="AF37" s="114" t="s">
        <v>69</v>
      </c>
      <c r="AG37" s="114" t="s">
        <v>69</v>
      </c>
      <c r="AH37" s="114" t="s">
        <v>69</v>
      </c>
      <c r="AI37" s="114" t="s">
        <v>69</v>
      </c>
      <c r="AJ37" s="114" t="s">
        <v>69</v>
      </c>
      <c r="AK37" s="114" t="s">
        <v>69</v>
      </c>
      <c r="AL37" s="114" t="s">
        <v>69</v>
      </c>
      <c r="AM37" s="114" t="s">
        <v>69</v>
      </c>
      <c r="AN37" s="114" t="s">
        <v>69</v>
      </c>
      <c r="AO37" s="114" t="s">
        <v>69</v>
      </c>
      <c r="AP37" s="114" t="s">
        <v>69</v>
      </c>
      <c r="AQ37" s="114" t="s">
        <v>69</v>
      </c>
      <c r="AR37" s="114" t="s">
        <v>69</v>
      </c>
      <c r="AS37" s="114" t="s">
        <v>69</v>
      </c>
      <c r="AT37" s="114" t="s">
        <v>69</v>
      </c>
      <c r="AU37" s="114" t="s">
        <v>69</v>
      </c>
      <c r="AV37" s="114" t="s">
        <v>69</v>
      </c>
      <c r="AW37" s="114" t="s">
        <v>69</v>
      </c>
      <c r="AX37" s="115"/>
      <c r="AY37" s="115"/>
    </row>
    <row r="38" spans="1:51">
      <c r="A38" s="314"/>
      <c r="B38" s="111" t="s">
        <v>91</v>
      </c>
      <c r="C38" s="117" t="s">
        <v>92</v>
      </c>
      <c r="D38" s="112" t="str">
        <f>D34</f>
        <v>Permintaan Informasi</v>
      </c>
      <c r="E38" s="110" t="s">
        <v>69</v>
      </c>
      <c r="F38" s="118">
        <f>'statistik The Nusa Dua'!F38+'statistik The Mandalika'!F38+'statistik The Golo Mori'!F38+'statistik MGPA'!F38+'statistik INU'!F38</f>
        <v>2</v>
      </c>
      <c r="G38" s="118">
        <f>'statistik The Nusa Dua'!G38+'statistik The Mandalika'!G38+'statistik The Golo Mori'!G38+'statistik MGPA'!G38+'statistik INU'!G38</f>
        <v>1</v>
      </c>
      <c r="H38" s="118">
        <f>'statistik The Nusa Dua'!H38+'statistik The Mandalika'!H38+'statistik The Golo Mori'!H38+'statistik MGPA'!H38+'statistik INU'!H38</f>
        <v>3</v>
      </c>
      <c r="I38" s="118">
        <f>'statistik The Nusa Dua'!I38+'statistik The Mandalika'!I38+'statistik The Golo Mori'!I38+'statistik MGPA'!I38+'statistik INU'!I38</f>
        <v>3</v>
      </c>
      <c r="J38" s="118">
        <f>'statistik The Nusa Dua'!J38+'statistik The Mandalika'!J38+'statistik The Golo Mori'!J38+'statistik MGPA'!J38+'statistik INU'!J38</f>
        <v>2</v>
      </c>
      <c r="K38" s="118">
        <f>'statistik The Nusa Dua'!K38+'statistik The Mandalika'!K38+'statistik The Golo Mori'!K38+'statistik MGPA'!K38+'statistik INU'!K38</f>
        <v>0</v>
      </c>
      <c r="L38" s="118">
        <f>'statistik The Nusa Dua'!L38+'statistik The Mandalika'!L38+'statistik The Golo Mori'!L38+'statistik MGPA'!L38+'statistik INU'!L38</f>
        <v>11</v>
      </c>
      <c r="M38" s="118">
        <f>'statistik The Nusa Dua'!M38+'statistik The Mandalika'!M38+'statistik The Golo Mori'!M38+'statistik MGPA'!M38+'statistik INU'!M38</f>
        <v>10</v>
      </c>
      <c r="N38" s="118">
        <f>'statistik The Nusa Dua'!N38+'statistik The Mandalika'!N38+'statistik The Golo Mori'!N38+'statistik MGPA'!N38+'statistik INU'!N38</f>
        <v>3</v>
      </c>
      <c r="O38" s="118">
        <f>'statistik The Nusa Dua'!O38+'statistik The Mandalika'!O38+'statistik The Golo Mori'!O38+'statistik MGPA'!O38+'statistik INU'!O38</f>
        <v>0</v>
      </c>
      <c r="P38" s="118">
        <f>'statistik The Nusa Dua'!P38+'statistik The Mandalika'!P38+'statistik The Golo Mori'!P38+'statistik MGPA'!P38+'statistik INU'!P38</f>
        <v>1</v>
      </c>
      <c r="Q38" s="118">
        <f>'statistik The Nusa Dua'!Q38+'statistik The Mandalika'!Q38+'statistik The Golo Mori'!Q38+'statistik MGPA'!Q38+'statistik INU'!Q38</f>
        <v>11</v>
      </c>
      <c r="R38" s="118">
        <f>'statistik The Nusa Dua'!R38+'statistik The Mandalika'!R38+'statistik The Golo Mori'!R38+'statistik MGPA'!R38+'statistik INU'!R38</f>
        <v>11</v>
      </c>
      <c r="S38" s="118">
        <f>'statistik The Nusa Dua'!S38+'statistik The Mandalika'!S38+'statistik The Golo Mori'!S38+'statistik MGPA'!S38+'statistik INU'!S38</f>
        <v>18</v>
      </c>
      <c r="T38" s="118">
        <f>'statistik The Nusa Dua'!T38+'statistik The Mandalika'!T38+'statistik The Golo Mori'!T38+'statistik MGPA'!T38+'statistik INU'!T38</f>
        <v>13</v>
      </c>
      <c r="U38" s="118">
        <f>'statistik The Nusa Dua'!U38+'statistik The Mandalika'!U38+'statistik The Golo Mori'!U38+'statistik MGPA'!U38+'statistik INU'!U38</f>
        <v>30</v>
      </c>
      <c r="V38" s="118">
        <f>'statistik The Nusa Dua'!V38+'statistik The Mandalika'!V38+'statistik The Golo Mori'!V38+'statistik MGPA'!V38+'statistik INU'!V38</f>
        <v>8</v>
      </c>
      <c r="W38" s="118">
        <f>'statistik The Nusa Dua'!W38+'statistik The Mandalika'!W38+'statistik The Golo Mori'!W38+'statistik MGPA'!W38+'statistik INU'!W38</f>
        <v>12</v>
      </c>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5"/>
      <c r="AY38" s="115"/>
    </row>
    <row r="39" spans="1:51">
      <c r="A39" s="314"/>
      <c r="B39" s="121" t="s">
        <v>69</v>
      </c>
      <c r="C39" s="121" t="s">
        <v>69</v>
      </c>
      <c r="D39" s="112" t="str">
        <f>D35</f>
        <v>Request</v>
      </c>
      <c r="E39" s="110" t="s">
        <v>69</v>
      </c>
      <c r="F39" s="118">
        <f>'statistik The Nusa Dua'!F39+'statistik The Mandalika'!F39+'statistik The Golo Mori'!F39+'statistik MGPA'!F39+'statistik INU'!F39</f>
        <v>0</v>
      </c>
      <c r="G39" s="118">
        <f>'statistik The Nusa Dua'!G39+'statistik The Mandalika'!G39+'statistik The Golo Mori'!G39+'statistik MGPA'!G39+'statistik INU'!G39</f>
        <v>0</v>
      </c>
      <c r="H39" s="118">
        <f>'statistik The Nusa Dua'!H39+'statistik The Mandalika'!H39+'statistik The Golo Mori'!H39+'statistik MGPA'!H39+'statistik INU'!H39</f>
        <v>0</v>
      </c>
      <c r="I39" s="118">
        <f>'statistik The Nusa Dua'!I39+'statistik The Mandalika'!I39+'statistik The Golo Mori'!I39+'statistik MGPA'!I39+'statistik INU'!I39</f>
        <v>0</v>
      </c>
      <c r="J39" s="118">
        <f>'statistik The Nusa Dua'!J39+'statistik The Mandalika'!J39+'statistik The Golo Mori'!J39+'statistik MGPA'!J39+'statistik INU'!J39</f>
        <v>0</v>
      </c>
      <c r="K39" s="118">
        <f>'statistik The Nusa Dua'!K39+'statistik The Mandalika'!K39+'statistik The Golo Mori'!K39+'statistik MGPA'!K39+'statistik INU'!K39</f>
        <v>0</v>
      </c>
      <c r="L39" s="118">
        <f>'statistik The Nusa Dua'!L39+'statistik The Mandalika'!L39+'statistik The Golo Mori'!L39+'statistik MGPA'!L39+'statistik INU'!L39</f>
        <v>0</v>
      </c>
      <c r="M39" s="118">
        <f>'statistik The Nusa Dua'!M39+'statistik The Mandalika'!M39+'statistik The Golo Mori'!M39+'statistik MGPA'!M39+'statistik INU'!M39</f>
        <v>0</v>
      </c>
      <c r="N39" s="118">
        <f>'statistik The Nusa Dua'!N39+'statistik The Mandalika'!N39+'statistik The Golo Mori'!N39+'statistik MGPA'!N39+'statistik INU'!N39</f>
        <v>0</v>
      </c>
      <c r="O39" s="118">
        <f>'statistik The Nusa Dua'!O39+'statistik The Mandalika'!O39+'statistik The Golo Mori'!O39+'statistik MGPA'!O39+'statistik INU'!O39</f>
        <v>0</v>
      </c>
      <c r="P39" s="118">
        <f>'statistik The Nusa Dua'!P39+'statistik The Mandalika'!P39+'statistik The Golo Mori'!P39+'statistik MGPA'!P39+'statistik INU'!P39</f>
        <v>0</v>
      </c>
      <c r="Q39" s="118">
        <f>'statistik The Nusa Dua'!Q39+'statistik The Mandalika'!Q39+'statistik The Golo Mori'!Q39+'statistik MGPA'!Q39+'statistik INU'!Q39</f>
        <v>5</v>
      </c>
      <c r="R39" s="118">
        <f>'statistik The Nusa Dua'!R39+'statistik The Mandalika'!R39+'statistik The Golo Mori'!R39+'statistik MGPA'!R39+'statistik INU'!R39</f>
        <v>3</v>
      </c>
      <c r="S39" s="118">
        <f>'statistik The Nusa Dua'!S39+'statistik The Mandalika'!S39+'statistik The Golo Mori'!S39+'statistik MGPA'!S39+'statistik INU'!S39</f>
        <v>2</v>
      </c>
      <c r="T39" s="118">
        <f>'statistik The Nusa Dua'!T39+'statistik The Mandalika'!T39+'statistik The Golo Mori'!T39+'statistik MGPA'!T39+'statistik INU'!T39</f>
        <v>4</v>
      </c>
      <c r="U39" s="118">
        <f>'statistik The Nusa Dua'!U39+'statistik The Mandalika'!U39+'statistik The Golo Mori'!U39+'statistik MGPA'!U39+'statistik INU'!U39</f>
        <v>2</v>
      </c>
      <c r="V39" s="118">
        <f>'statistik The Nusa Dua'!V39+'statistik The Mandalika'!V39+'statistik The Golo Mori'!V39+'statistik MGPA'!V39+'statistik INU'!V39</f>
        <v>1</v>
      </c>
      <c r="W39" s="118">
        <f>'statistik The Nusa Dua'!W39+'statistik The Mandalika'!W39+'statistik The Golo Mori'!W39+'statistik MGPA'!W39+'statistik INU'!W39</f>
        <v>9</v>
      </c>
      <c r="X39" s="114" t="s">
        <v>69</v>
      </c>
      <c r="Y39" s="114" t="s">
        <v>69</v>
      </c>
      <c r="Z39" s="114" t="s">
        <v>69</v>
      </c>
      <c r="AA39" s="114" t="s">
        <v>69</v>
      </c>
      <c r="AB39" s="114" t="s">
        <v>69</v>
      </c>
      <c r="AC39" s="114" t="s">
        <v>69</v>
      </c>
      <c r="AD39" s="114" t="s">
        <v>69</v>
      </c>
      <c r="AE39" s="114" t="s">
        <v>69</v>
      </c>
      <c r="AF39" s="114" t="s">
        <v>69</v>
      </c>
      <c r="AG39" s="114" t="s">
        <v>69</v>
      </c>
      <c r="AH39" s="114" t="s">
        <v>69</v>
      </c>
      <c r="AI39" s="114" t="s">
        <v>69</v>
      </c>
      <c r="AJ39" s="114" t="s">
        <v>69</v>
      </c>
      <c r="AK39" s="114" t="s">
        <v>69</v>
      </c>
      <c r="AL39" s="114" t="s">
        <v>69</v>
      </c>
      <c r="AM39" s="114" t="s">
        <v>69</v>
      </c>
      <c r="AN39" s="114" t="s">
        <v>69</v>
      </c>
      <c r="AO39" s="114" t="s">
        <v>69</v>
      </c>
      <c r="AP39" s="114" t="s">
        <v>69</v>
      </c>
      <c r="AQ39" s="114" t="s">
        <v>69</v>
      </c>
      <c r="AR39" s="114" t="s">
        <v>69</v>
      </c>
      <c r="AS39" s="114" t="s">
        <v>69</v>
      </c>
      <c r="AT39" s="114" t="s">
        <v>69</v>
      </c>
      <c r="AU39" s="114" t="s">
        <v>69</v>
      </c>
      <c r="AV39" s="114" t="s">
        <v>69</v>
      </c>
      <c r="AW39" s="114" t="s">
        <v>69</v>
      </c>
      <c r="AX39" s="115"/>
      <c r="AY39" s="115"/>
    </row>
    <row r="40" spans="1:51" s="162" customFormat="1">
      <c r="A40" s="314"/>
      <c r="B40" s="254" t="s">
        <v>69</v>
      </c>
      <c r="C40" s="254" t="s">
        <v>69</v>
      </c>
      <c r="D40" s="256" t="str">
        <f>D36</f>
        <v>Keluhan</v>
      </c>
      <c r="E40" s="257" t="s">
        <v>69</v>
      </c>
      <c r="F40" s="258">
        <f>'statistik The Nusa Dua'!F40+'statistik The Mandalika'!F40+'statistik The Golo Mori'!F40+'statistik MGPA'!F40+'statistik INU'!F40</f>
        <v>0</v>
      </c>
      <c r="G40" s="258">
        <f>'statistik The Nusa Dua'!G40+'statistik The Mandalika'!G40+'statistik The Golo Mori'!G40+'statistik MGPA'!G40+'statistik INU'!G40</f>
        <v>1</v>
      </c>
      <c r="H40" s="258">
        <f>'statistik The Nusa Dua'!H40+'statistik The Mandalika'!H40+'statistik The Golo Mori'!H40+'statistik MGPA'!H40+'statistik INU'!H40</f>
        <v>0</v>
      </c>
      <c r="I40" s="258">
        <f>'statistik The Nusa Dua'!I40+'statistik The Mandalika'!I40+'statistik The Golo Mori'!I40+'statistik MGPA'!I40+'statistik INU'!I40</f>
        <v>1</v>
      </c>
      <c r="J40" s="258">
        <f>'statistik The Nusa Dua'!J40+'statistik The Mandalika'!J40+'statistik The Golo Mori'!J40+'statistik MGPA'!J40+'statistik INU'!J40</f>
        <v>0</v>
      </c>
      <c r="K40" s="258">
        <f>'statistik The Nusa Dua'!K40+'statistik The Mandalika'!K40+'statistik The Golo Mori'!K40+'statistik MGPA'!K40+'statistik INU'!K40</f>
        <v>0</v>
      </c>
      <c r="L40" s="258">
        <f>'statistik The Nusa Dua'!L40+'statistik The Mandalika'!L40+'statistik The Golo Mori'!L40+'statistik MGPA'!L40+'statistik INU'!L40</f>
        <v>0</v>
      </c>
      <c r="M40" s="258">
        <f>'statistik The Nusa Dua'!M40+'statistik The Mandalika'!M40+'statistik The Golo Mori'!M40+'statistik MGPA'!M40+'statistik INU'!M40</f>
        <v>0</v>
      </c>
      <c r="N40" s="258">
        <f>'statistik The Nusa Dua'!N40+'statistik The Mandalika'!N40+'statistik The Golo Mori'!N40+'statistik MGPA'!N40+'statistik INU'!N40</f>
        <v>2</v>
      </c>
      <c r="O40" s="258">
        <f>'statistik The Nusa Dua'!O40+'statistik The Mandalika'!O40+'statistik The Golo Mori'!O40+'statistik MGPA'!O40+'statistik INU'!O40</f>
        <v>0</v>
      </c>
      <c r="P40" s="258">
        <f>'statistik The Nusa Dua'!P40+'statistik The Mandalika'!P40+'statistik The Golo Mori'!P40+'statistik MGPA'!P40+'statistik INU'!P40</f>
        <v>0</v>
      </c>
      <c r="Q40" s="258">
        <f>'statistik The Nusa Dua'!Q40+'statistik The Mandalika'!Q40+'statistik The Golo Mori'!Q40+'statistik MGPA'!Q40+'statistik INU'!Q40</f>
        <v>1</v>
      </c>
      <c r="R40" s="258">
        <f>'statistik The Nusa Dua'!R40+'statistik The Mandalika'!R40+'statistik The Golo Mori'!R40+'statistik MGPA'!R40+'statistik INU'!R40</f>
        <v>3</v>
      </c>
      <c r="S40" s="258">
        <f>'statistik The Nusa Dua'!S40+'statistik The Mandalika'!S40+'statistik The Golo Mori'!S40+'statistik MGPA'!S40+'statistik INU'!S40</f>
        <v>4</v>
      </c>
      <c r="T40" s="258">
        <f>'statistik The Nusa Dua'!T40+'statistik The Mandalika'!T40+'statistik The Golo Mori'!T40+'statistik MGPA'!T40+'statistik INU'!T40</f>
        <v>2</v>
      </c>
      <c r="U40" s="258">
        <f>'statistik The Nusa Dua'!U40+'statistik The Mandalika'!U40+'statistik The Golo Mori'!U40+'statistik MGPA'!U40+'statistik INU'!U40</f>
        <v>4</v>
      </c>
      <c r="V40" s="258">
        <f>'statistik The Nusa Dua'!V40+'statistik The Mandalika'!V40+'statistik The Golo Mori'!V40+'statistik MGPA'!V40+'statistik INU'!V40</f>
        <v>3</v>
      </c>
      <c r="W40" s="258">
        <f>'statistik The Nusa Dua'!W40+'statistik The Mandalika'!W40+'statistik The Golo Mori'!W40+'statistik MGPA'!W40+'statistik INU'!W40</f>
        <v>9</v>
      </c>
      <c r="X40" s="259"/>
      <c r="Y40" s="259"/>
      <c r="Z40" s="259"/>
      <c r="AA40" s="259"/>
      <c r="AB40" s="259"/>
      <c r="AC40" s="259"/>
      <c r="AD40" s="259"/>
      <c r="AE40" s="259"/>
      <c r="AF40" s="259"/>
      <c r="AG40" s="259"/>
      <c r="AH40" s="259"/>
      <c r="AI40" s="259"/>
      <c r="AJ40" s="259"/>
      <c r="AK40" s="259"/>
      <c r="AL40" s="259"/>
      <c r="AM40" s="259"/>
      <c r="AN40" s="259"/>
      <c r="AO40" s="259"/>
      <c r="AP40" s="259"/>
      <c r="AQ40" s="259"/>
      <c r="AR40" s="259"/>
      <c r="AS40" s="259"/>
      <c r="AT40" s="259"/>
      <c r="AU40" s="259"/>
      <c r="AV40" s="259"/>
      <c r="AW40" s="259"/>
      <c r="AX40" s="260"/>
      <c r="AY40" s="260"/>
    </row>
    <row r="41" spans="1:51">
      <c r="A41" s="314"/>
      <c r="B41" s="111" t="s">
        <v>69</v>
      </c>
      <c r="C41" s="111" t="s">
        <v>69</v>
      </c>
      <c r="D41" s="112" t="str">
        <f>D37</f>
        <v>Apresiasi</v>
      </c>
      <c r="E41" s="110" t="s">
        <v>69</v>
      </c>
      <c r="F41" s="118">
        <f>'statistik The Nusa Dua'!F41+'statistik The Mandalika'!F41+'statistik The Golo Mori'!F41+'statistik MGPA'!F41+'statistik INU'!F41</f>
        <v>0</v>
      </c>
      <c r="G41" s="118">
        <f>'statistik The Nusa Dua'!G41+'statistik The Mandalika'!G41+'statistik The Golo Mori'!G41+'statistik MGPA'!G41+'statistik INU'!G41</f>
        <v>0</v>
      </c>
      <c r="H41" s="118">
        <f>'statistik The Nusa Dua'!H41+'statistik The Mandalika'!H41+'statistik The Golo Mori'!H41+'statistik MGPA'!H41+'statistik INU'!H41</f>
        <v>0</v>
      </c>
      <c r="I41" s="118">
        <f>'statistik The Nusa Dua'!I41+'statistik The Mandalika'!I41+'statistik The Golo Mori'!I41+'statistik MGPA'!I41+'statistik INU'!I41</f>
        <v>0</v>
      </c>
      <c r="J41" s="118">
        <f>'statistik The Nusa Dua'!J41+'statistik The Mandalika'!J41+'statistik The Golo Mori'!J41+'statistik MGPA'!J41+'statistik INU'!J41</f>
        <v>0</v>
      </c>
      <c r="K41" s="118">
        <f>'statistik The Nusa Dua'!K41+'statistik The Mandalika'!K41+'statistik The Golo Mori'!K41+'statistik MGPA'!K41+'statistik INU'!K41</f>
        <v>0</v>
      </c>
      <c r="L41" s="118">
        <f>'statistik The Nusa Dua'!L41+'statistik The Mandalika'!L41+'statistik The Golo Mori'!L41+'statistik MGPA'!L41+'statistik INU'!L41</f>
        <v>0</v>
      </c>
      <c r="M41" s="118">
        <f>'statistik The Nusa Dua'!M41+'statistik The Mandalika'!M41+'statistik The Golo Mori'!M41+'statistik MGPA'!M41+'statistik INU'!M41</f>
        <v>0</v>
      </c>
      <c r="N41" s="118">
        <f>'statistik The Nusa Dua'!N41+'statistik The Mandalika'!N41+'statistik The Golo Mori'!N41+'statistik MGPA'!N41+'statistik INU'!N41</f>
        <v>0</v>
      </c>
      <c r="O41" s="118">
        <f>'statistik The Nusa Dua'!O41+'statistik The Mandalika'!O41+'statistik The Golo Mori'!O41+'statistik MGPA'!O41+'statistik INU'!O41</f>
        <v>0</v>
      </c>
      <c r="P41" s="118">
        <f>'statistik The Nusa Dua'!P41+'statistik The Mandalika'!P41+'statistik The Golo Mori'!P41+'statistik MGPA'!P41+'statistik INU'!P41</f>
        <v>0</v>
      </c>
      <c r="Q41" s="118">
        <f>'statistik The Nusa Dua'!Q41+'statistik The Mandalika'!Q41+'statistik The Golo Mori'!Q41+'statistik MGPA'!Q41+'statistik INU'!Q41</f>
        <v>4</v>
      </c>
      <c r="R41" s="118">
        <f>'statistik The Nusa Dua'!R41+'statistik The Mandalika'!R41+'statistik The Golo Mori'!R41+'statistik MGPA'!R41+'statistik INU'!R41</f>
        <v>1</v>
      </c>
      <c r="S41" s="118">
        <f>'statistik The Nusa Dua'!S41+'statistik The Mandalika'!S41+'statistik The Golo Mori'!S41+'statistik MGPA'!S41+'statistik INU'!S41</f>
        <v>2</v>
      </c>
      <c r="T41" s="118">
        <f>'statistik The Nusa Dua'!T41+'statistik The Mandalika'!T41+'statistik The Golo Mori'!T41+'statistik MGPA'!T41+'statistik INU'!T41</f>
        <v>4</v>
      </c>
      <c r="U41" s="118">
        <f>'statistik The Nusa Dua'!U41+'statistik The Mandalika'!U41+'statistik The Golo Mori'!U41+'statistik MGPA'!U41+'statistik INU'!U41</f>
        <v>3</v>
      </c>
      <c r="V41" s="118">
        <f>'statistik The Nusa Dua'!V41+'statistik The Mandalika'!V41+'statistik The Golo Mori'!V41+'statistik MGPA'!V41+'statistik INU'!V41</f>
        <v>4</v>
      </c>
      <c r="W41" s="118">
        <f>'statistik The Nusa Dua'!W41+'statistik The Mandalika'!W41+'statistik The Golo Mori'!W41+'statistik MGPA'!W41+'statistik INU'!W41</f>
        <v>6</v>
      </c>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4"/>
      <c r="AX41" s="115"/>
      <c r="AY41" s="115"/>
    </row>
    <row r="42" spans="1:51">
      <c r="A42" s="314"/>
      <c r="B42" s="112" t="s">
        <v>93</v>
      </c>
      <c r="C42" s="124" t="s">
        <v>94</v>
      </c>
      <c r="D42" s="112" t="str">
        <f>D38</f>
        <v>Permintaan Informasi</v>
      </c>
      <c r="E42" s="110" t="s">
        <v>69</v>
      </c>
      <c r="F42" s="118">
        <f>'statistik The Nusa Dua'!F42+'statistik The Mandalika'!F42+'statistik The Golo Mori'!F42+'statistik MGPA'!F42+'statistik INU'!F42</f>
        <v>0</v>
      </c>
      <c r="G42" s="118">
        <f>'statistik The Nusa Dua'!G42+'statistik The Mandalika'!G42+'statistik The Golo Mori'!G42+'statistik MGPA'!G42+'statistik INU'!G42</f>
        <v>0</v>
      </c>
      <c r="H42" s="118">
        <f>'statistik The Nusa Dua'!H42+'statistik The Mandalika'!H42+'statistik The Golo Mori'!H42+'statistik MGPA'!H42+'statistik INU'!H42</f>
        <v>0</v>
      </c>
      <c r="I42" s="118">
        <f>'statistik The Nusa Dua'!I42+'statistik The Mandalika'!I42+'statistik The Golo Mori'!I42+'statistik MGPA'!I42+'statistik INU'!I42</f>
        <v>0</v>
      </c>
      <c r="J42" s="118">
        <f>'statistik The Nusa Dua'!J42+'statistik The Mandalika'!J42+'statistik The Golo Mori'!J42+'statistik MGPA'!J42+'statistik INU'!J42</f>
        <v>0</v>
      </c>
      <c r="K42" s="118">
        <f>'statistik The Nusa Dua'!K42+'statistik The Mandalika'!K42+'statistik The Golo Mori'!K42+'statistik MGPA'!K42+'statistik INU'!K42</f>
        <v>0</v>
      </c>
      <c r="L42" s="118">
        <f>'statistik The Nusa Dua'!L42+'statistik The Mandalika'!L42+'statistik The Golo Mori'!L42+'statistik MGPA'!L42+'statistik INU'!L42</f>
        <v>0</v>
      </c>
      <c r="M42" s="118">
        <f>'statistik The Nusa Dua'!M42+'statistik The Mandalika'!M42+'statistik The Golo Mori'!M42+'statistik MGPA'!M42+'statistik INU'!M42</f>
        <v>0</v>
      </c>
      <c r="N42" s="118">
        <f>'statistik The Nusa Dua'!N42+'statistik The Mandalika'!N42+'statistik The Golo Mori'!N42+'statistik MGPA'!N42+'statistik INU'!N42</f>
        <v>0</v>
      </c>
      <c r="O42" s="118">
        <f>'statistik The Nusa Dua'!O42+'statistik The Mandalika'!O42+'statistik The Golo Mori'!O42+'statistik MGPA'!O42+'statistik INU'!O42</f>
        <v>0</v>
      </c>
      <c r="P42" s="118">
        <f>'statistik The Nusa Dua'!P42+'statistik The Mandalika'!P42+'statistik The Golo Mori'!P42+'statistik MGPA'!P42+'statistik INU'!P42</f>
        <v>0</v>
      </c>
      <c r="Q42" s="118">
        <f>'statistik The Nusa Dua'!Q42+'statistik The Mandalika'!Q42+'statistik The Golo Mori'!Q42+'statistik MGPA'!Q42+'statistik INU'!Q42</f>
        <v>0</v>
      </c>
      <c r="R42" s="118">
        <f>'statistik The Nusa Dua'!R42+'statistik The Mandalika'!R42+'statistik The Golo Mori'!R42+'statistik MGPA'!R42+'statistik INU'!R42</f>
        <v>0</v>
      </c>
      <c r="S42" s="118">
        <f>'statistik The Nusa Dua'!S42+'statistik The Mandalika'!S42+'statistik The Golo Mori'!S42+'statistik MGPA'!S42+'statistik INU'!S42</f>
        <v>0</v>
      </c>
      <c r="T42" s="118">
        <f>'statistik The Nusa Dua'!T42+'statistik The Mandalika'!T42+'statistik The Golo Mori'!T42+'statistik MGPA'!T42+'statistik INU'!T42</f>
        <v>0</v>
      </c>
      <c r="U42" s="118">
        <f>'statistik The Nusa Dua'!U42+'statistik The Mandalika'!U42+'statistik The Golo Mori'!U42+'statistik MGPA'!U42+'statistik INU'!U42</f>
        <v>0</v>
      </c>
      <c r="V42" s="118">
        <f>'statistik The Nusa Dua'!V42+'statistik The Mandalika'!V42+'statistik The Golo Mori'!V42+'statistik MGPA'!V42+'statistik INU'!V42</f>
        <v>0</v>
      </c>
      <c r="W42" s="118">
        <f>'statistik The Nusa Dua'!W42+'statistik The Mandalika'!W42+'statistik The Golo Mori'!W42+'statistik MGPA'!W42+'statistik INU'!W42</f>
        <v>0</v>
      </c>
      <c r="X42" s="114"/>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114"/>
      <c r="AX42" s="115"/>
      <c r="AY42" s="115"/>
    </row>
    <row r="43" spans="1:51">
      <c r="A43" s="314"/>
      <c r="B43" s="123" t="s">
        <v>69</v>
      </c>
      <c r="C43" s="125" t="s">
        <v>69</v>
      </c>
      <c r="D43" s="112" t="str">
        <f>D39</f>
        <v>Request</v>
      </c>
      <c r="E43" s="110" t="s">
        <v>69</v>
      </c>
      <c r="F43" s="118">
        <f>'statistik The Nusa Dua'!F43+'statistik The Mandalika'!F43+'statistik The Golo Mori'!F43+'statistik MGPA'!F43+'statistik INU'!F43</f>
        <v>0</v>
      </c>
      <c r="G43" s="118">
        <f>'statistik The Nusa Dua'!G43+'statistik The Mandalika'!G43+'statistik The Golo Mori'!G43+'statistik MGPA'!G43+'statistik INU'!G43</f>
        <v>0</v>
      </c>
      <c r="H43" s="118">
        <f>'statistik The Nusa Dua'!H43+'statistik The Mandalika'!H43+'statistik The Golo Mori'!H43+'statistik MGPA'!H43+'statistik INU'!H43</f>
        <v>0</v>
      </c>
      <c r="I43" s="118">
        <f>'statistik The Nusa Dua'!I43+'statistik The Mandalika'!I43+'statistik The Golo Mori'!I43+'statistik MGPA'!I43+'statistik INU'!I43</f>
        <v>0</v>
      </c>
      <c r="J43" s="118">
        <f>'statistik The Nusa Dua'!J43+'statistik The Mandalika'!J43+'statistik The Golo Mori'!J43+'statistik MGPA'!J43+'statistik INU'!J43</f>
        <v>0</v>
      </c>
      <c r="K43" s="118">
        <f>'statistik The Nusa Dua'!K43+'statistik The Mandalika'!K43+'statistik The Golo Mori'!K43+'statistik MGPA'!K43+'statistik INU'!K43</f>
        <v>0</v>
      </c>
      <c r="L43" s="118">
        <f>'statistik The Nusa Dua'!L43+'statistik The Mandalika'!L43+'statistik The Golo Mori'!L43+'statistik MGPA'!L43+'statistik INU'!L43</f>
        <v>0</v>
      </c>
      <c r="M43" s="118">
        <f>'statistik The Nusa Dua'!M43+'statistik The Mandalika'!M43+'statistik The Golo Mori'!M43+'statistik MGPA'!M43+'statistik INU'!M43</f>
        <v>0</v>
      </c>
      <c r="N43" s="118">
        <f>'statistik The Nusa Dua'!N43+'statistik The Mandalika'!N43+'statistik The Golo Mori'!N43+'statistik MGPA'!N43+'statistik INU'!N43</f>
        <v>0</v>
      </c>
      <c r="O43" s="118">
        <f>'statistik The Nusa Dua'!O43+'statistik The Mandalika'!O43+'statistik The Golo Mori'!O43+'statistik MGPA'!O43+'statistik INU'!O43</f>
        <v>0</v>
      </c>
      <c r="P43" s="118">
        <f>'statistik The Nusa Dua'!P43+'statistik The Mandalika'!P43+'statistik The Golo Mori'!P43+'statistik MGPA'!P43+'statistik INU'!P43</f>
        <v>0</v>
      </c>
      <c r="Q43" s="118">
        <f>'statistik The Nusa Dua'!Q43+'statistik The Mandalika'!Q43+'statistik The Golo Mori'!Q43+'statistik MGPA'!Q43+'statistik INU'!Q43</f>
        <v>0</v>
      </c>
      <c r="R43" s="118">
        <f>'statistik The Nusa Dua'!R43+'statistik The Mandalika'!R43+'statistik The Golo Mori'!R43+'statistik MGPA'!R43+'statistik INU'!R43</f>
        <v>0</v>
      </c>
      <c r="S43" s="118">
        <f>'statistik The Nusa Dua'!S43+'statistik The Mandalika'!S43+'statistik The Golo Mori'!S43+'statistik MGPA'!S43+'statistik INU'!S43</f>
        <v>0</v>
      </c>
      <c r="T43" s="118">
        <f>'statistik The Nusa Dua'!T43+'statistik The Mandalika'!T43+'statistik The Golo Mori'!T43+'statistik MGPA'!T43+'statistik INU'!T43</f>
        <v>0</v>
      </c>
      <c r="U43" s="118">
        <f>'statistik The Nusa Dua'!U43+'statistik The Mandalika'!U43+'statistik The Golo Mori'!U43+'statistik MGPA'!U43+'statistik INU'!U43</f>
        <v>0</v>
      </c>
      <c r="V43" s="118">
        <f>'statistik The Nusa Dua'!V43+'statistik The Mandalika'!V43+'statistik The Golo Mori'!V43+'statistik MGPA'!V43+'statistik INU'!V43</f>
        <v>0</v>
      </c>
      <c r="W43" s="118">
        <f>'statistik The Nusa Dua'!W43+'statistik The Mandalika'!W43+'statistik The Golo Mori'!W43+'statistik MGPA'!W43+'statistik INU'!W43</f>
        <v>0</v>
      </c>
      <c r="X43" s="114" t="s">
        <v>69</v>
      </c>
      <c r="Y43" s="114" t="s">
        <v>69</v>
      </c>
      <c r="Z43" s="114" t="s">
        <v>69</v>
      </c>
      <c r="AA43" s="114" t="s">
        <v>69</v>
      </c>
      <c r="AB43" s="114" t="s">
        <v>69</v>
      </c>
      <c r="AC43" s="114" t="s">
        <v>69</v>
      </c>
      <c r="AD43" s="114" t="s">
        <v>69</v>
      </c>
      <c r="AE43" s="114" t="s">
        <v>69</v>
      </c>
      <c r="AF43" s="114" t="s">
        <v>69</v>
      </c>
      <c r="AG43" s="114" t="s">
        <v>69</v>
      </c>
      <c r="AH43" s="114" t="s">
        <v>69</v>
      </c>
      <c r="AI43" s="114" t="s">
        <v>69</v>
      </c>
      <c r="AJ43" s="114" t="s">
        <v>69</v>
      </c>
      <c r="AK43" s="114" t="s">
        <v>69</v>
      </c>
      <c r="AL43" s="114" t="s">
        <v>69</v>
      </c>
      <c r="AM43" s="114" t="s">
        <v>69</v>
      </c>
      <c r="AN43" s="114" t="s">
        <v>69</v>
      </c>
      <c r="AO43" s="114" t="s">
        <v>69</v>
      </c>
      <c r="AP43" s="114" t="s">
        <v>69</v>
      </c>
      <c r="AQ43" s="114" t="s">
        <v>69</v>
      </c>
      <c r="AR43" s="114" t="s">
        <v>69</v>
      </c>
      <c r="AS43" s="114" t="s">
        <v>69</v>
      </c>
      <c r="AT43" s="114" t="s">
        <v>69</v>
      </c>
      <c r="AU43" s="114" t="s">
        <v>69</v>
      </c>
      <c r="AV43" s="114" t="s">
        <v>69</v>
      </c>
      <c r="AW43" s="114" t="s">
        <v>69</v>
      </c>
      <c r="AX43" s="115"/>
      <c r="AY43" s="115"/>
    </row>
    <row r="44" spans="1:51">
      <c r="A44" s="314"/>
      <c r="B44" s="112" t="s">
        <v>69</v>
      </c>
      <c r="C44" s="126" t="s">
        <v>69</v>
      </c>
      <c r="D44" s="112" t="str">
        <f>D40</f>
        <v>Keluhan</v>
      </c>
      <c r="E44" s="110" t="s">
        <v>69</v>
      </c>
      <c r="F44" s="118">
        <f>'statistik The Nusa Dua'!F44+'statistik The Mandalika'!F44+'statistik The Golo Mori'!F44+'statistik MGPA'!F44+'statistik INU'!F44</f>
        <v>0</v>
      </c>
      <c r="G44" s="118">
        <f>'statistik The Nusa Dua'!G44+'statistik The Mandalika'!G44+'statistik The Golo Mori'!G44+'statistik MGPA'!G44+'statistik INU'!G44</f>
        <v>0</v>
      </c>
      <c r="H44" s="118">
        <f>'statistik The Nusa Dua'!H44+'statistik The Mandalika'!H44+'statistik The Golo Mori'!H44+'statistik MGPA'!H44+'statistik INU'!H44</f>
        <v>0</v>
      </c>
      <c r="I44" s="118">
        <f>'statistik The Nusa Dua'!I44+'statistik The Mandalika'!I44+'statistik The Golo Mori'!I44+'statistik MGPA'!I44+'statistik INU'!I44</f>
        <v>0</v>
      </c>
      <c r="J44" s="118">
        <f>'statistik The Nusa Dua'!J44+'statistik The Mandalika'!J44+'statistik The Golo Mori'!J44+'statistik MGPA'!J44+'statistik INU'!J44</f>
        <v>0</v>
      </c>
      <c r="K44" s="118">
        <f>'statistik The Nusa Dua'!K44+'statistik The Mandalika'!K44+'statistik The Golo Mori'!K44+'statistik MGPA'!K44+'statistik INU'!K44</f>
        <v>0</v>
      </c>
      <c r="L44" s="118">
        <f>'statistik The Nusa Dua'!L44+'statistik The Mandalika'!L44+'statistik The Golo Mori'!L44+'statistik MGPA'!L44+'statistik INU'!L44</f>
        <v>0</v>
      </c>
      <c r="M44" s="118">
        <f>'statistik The Nusa Dua'!M44+'statistik The Mandalika'!M44+'statistik The Golo Mori'!M44+'statistik MGPA'!M44+'statistik INU'!M44</f>
        <v>0</v>
      </c>
      <c r="N44" s="118">
        <f>'statistik The Nusa Dua'!N44+'statistik The Mandalika'!N44+'statistik The Golo Mori'!N44+'statistik MGPA'!N44+'statistik INU'!N44</f>
        <v>0</v>
      </c>
      <c r="O44" s="118">
        <f>'statistik The Nusa Dua'!O44+'statistik The Mandalika'!O44+'statistik The Golo Mori'!O44+'statistik MGPA'!O44+'statistik INU'!O44</f>
        <v>0</v>
      </c>
      <c r="P44" s="118">
        <f>'statistik The Nusa Dua'!P44+'statistik The Mandalika'!P44+'statistik The Golo Mori'!P44+'statistik MGPA'!P44+'statistik INU'!P44</f>
        <v>0</v>
      </c>
      <c r="Q44" s="118">
        <f>'statistik The Nusa Dua'!Q44+'statistik The Mandalika'!Q44+'statistik The Golo Mori'!Q44+'statistik MGPA'!Q44+'statistik INU'!Q44</f>
        <v>0</v>
      </c>
      <c r="R44" s="118">
        <f>'statistik The Nusa Dua'!R44+'statistik The Mandalika'!R44+'statistik The Golo Mori'!R44+'statistik MGPA'!R44+'statistik INU'!R44</f>
        <v>0</v>
      </c>
      <c r="S44" s="118">
        <f>'statistik The Nusa Dua'!S44+'statistik The Mandalika'!S44+'statistik The Golo Mori'!S44+'statistik MGPA'!S44+'statistik INU'!S44</f>
        <v>0</v>
      </c>
      <c r="T44" s="118">
        <f>'statistik The Nusa Dua'!T44+'statistik The Mandalika'!T44+'statistik The Golo Mori'!T44+'statistik MGPA'!T44+'statistik INU'!T44</f>
        <v>0</v>
      </c>
      <c r="U44" s="118">
        <f>'statistik The Nusa Dua'!U44+'statistik The Mandalika'!U44+'statistik The Golo Mori'!U44+'statistik MGPA'!U44+'statistik INU'!U44</f>
        <v>0</v>
      </c>
      <c r="V44" s="118">
        <f>'statistik The Nusa Dua'!V44+'statistik The Mandalika'!V44+'statistik The Golo Mori'!V44+'statistik MGPA'!V44+'statistik INU'!V44</f>
        <v>0</v>
      </c>
      <c r="W44" s="118">
        <f>'statistik The Nusa Dua'!W44+'statistik The Mandalika'!W44+'statistik The Golo Mori'!W44+'statistik MGPA'!W44+'statistik INU'!W44</f>
        <v>0</v>
      </c>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s="115"/>
      <c r="AY44" s="115"/>
    </row>
    <row r="45" spans="1:51">
      <c r="A45" s="314"/>
      <c r="B45" s="123" t="s">
        <v>69</v>
      </c>
      <c r="C45" s="125" t="s">
        <v>69</v>
      </c>
      <c r="D45" s="112" t="s">
        <v>88</v>
      </c>
      <c r="E45" s="110" t="s">
        <v>69</v>
      </c>
      <c r="F45" s="118">
        <f>'statistik The Nusa Dua'!F46+'statistik The Mandalika'!F45+'statistik The Golo Mori'!F45+'statistik MGPA'!F45+'statistik INU'!F45</f>
        <v>0</v>
      </c>
      <c r="G45" s="118">
        <f>'statistik The Nusa Dua'!G46+'statistik The Mandalika'!G45+'statistik The Golo Mori'!G45+'statistik MGPA'!G45+'statistik INU'!G45</f>
        <v>0</v>
      </c>
      <c r="H45" s="118">
        <f>'statistik The Nusa Dua'!H46+'statistik The Mandalika'!H45+'statistik The Golo Mori'!H45+'statistik MGPA'!H45+'statistik INU'!H45</f>
        <v>0</v>
      </c>
      <c r="I45" s="118">
        <f>'statistik The Nusa Dua'!I46+'statistik The Mandalika'!I45+'statistik The Golo Mori'!I45+'statistik MGPA'!I45+'statistik INU'!I45</f>
        <v>0</v>
      </c>
      <c r="J45" s="118">
        <f>'statistik The Nusa Dua'!J46+'statistik The Mandalika'!J45+'statistik The Golo Mori'!J45+'statistik MGPA'!J45+'statistik INU'!J45</f>
        <v>0</v>
      </c>
      <c r="K45" s="118">
        <f>'statistik The Nusa Dua'!K46+'statistik The Mandalika'!K45+'statistik The Golo Mori'!K45+'statistik MGPA'!K45+'statistik INU'!K45</f>
        <v>0</v>
      </c>
      <c r="L45" s="118">
        <f>'statistik The Nusa Dua'!L46+'statistik The Mandalika'!L45+'statistik The Golo Mori'!L45+'statistik MGPA'!L45+'statistik INU'!L45</f>
        <v>0</v>
      </c>
      <c r="M45" s="118">
        <f>'statistik The Nusa Dua'!M46+'statistik The Mandalika'!M45+'statistik The Golo Mori'!M45+'statistik MGPA'!M45+'statistik INU'!M45</f>
        <v>0</v>
      </c>
      <c r="N45" s="118">
        <f>'statistik The Nusa Dua'!N46+'statistik The Mandalika'!N45+'statistik The Golo Mori'!N45+'statistik MGPA'!N45+'statistik INU'!N45</f>
        <v>0</v>
      </c>
      <c r="O45" s="118">
        <f>'statistik The Nusa Dua'!O46+'statistik The Mandalika'!O45+'statistik The Golo Mori'!O45+'statistik MGPA'!O45+'statistik INU'!O45</f>
        <v>0</v>
      </c>
      <c r="P45" s="118">
        <f>'statistik The Nusa Dua'!P46+'statistik The Mandalika'!P45+'statistik The Golo Mori'!P45+'statistik MGPA'!P45+'statistik INU'!P45</f>
        <v>0</v>
      </c>
      <c r="Q45" s="118">
        <f>'statistik The Nusa Dua'!Q46+'statistik The Mandalika'!Q45+'statistik The Golo Mori'!Q45+'statistik MGPA'!Q45+'statistik INU'!Q45</f>
        <v>0</v>
      </c>
      <c r="R45" s="118">
        <f>'statistik The Nusa Dua'!R46+'statistik The Mandalika'!R45+'statistik The Golo Mori'!R45+'statistik MGPA'!R45+'statistik INU'!R45</f>
        <v>0</v>
      </c>
      <c r="S45" s="118">
        <f>'statistik The Nusa Dua'!S46+'statistik The Mandalika'!S45+'statistik The Golo Mori'!S45+'statistik MGPA'!S45+'statistik INU'!S45</f>
        <v>0</v>
      </c>
      <c r="T45" s="118">
        <f>'statistik The Nusa Dua'!T46+'statistik The Mandalika'!T45+'statistik The Golo Mori'!T45+'statistik MGPA'!T45+'statistik INU'!T45</f>
        <v>0</v>
      </c>
      <c r="U45" s="118">
        <f>'statistik The Nusa Dua'!U46+'statistik The Mandalika'!U45+'statistik The Golo Mori'!U45+'statistik MGPA'!U45+'statistik INU'!U45</f>
        <v>0</v>
      </c>
      <c r="V45" s="118">
        <f>'statistik The Nusa Dua'!V46+'statistik The Mandalika'!V45+'statistik The Golo Mori'!V45+'statistik MGPA'!V45+'statistik INU'!V45</f>
        <v>0</v>
      </c>
      <c r="W45" s="118">
        <f>'statistik The Nusa Dua'!W46+'statistik The Mandalika'!W45+'statistik The Golo Mori'!W45+'statistik MGPA'!W45+'statistik INU'!W45</f>
        <v>0</v>
      </c>
      <c r="X45" s="114" t="s">
        <v>69</v>
      </c>
      <c r="Y45" s="114" t="s">
        <v>69</v>
      </c>
      <c r="Z45" s="114" t="s">
        <v>69</v>
      </c>
      <c r="AA45" s="114" t="s">
        <v>69</v>
      </c>
      <c r="AB45" s="114" t="s">
        <v>69</v>
      </c>
      <c r="AC45" s="114" t="s">
        <v>69</v>
      </c>
      <c r="AD45" s="114" t="s">
        <v>69</v>
      </c>
      <c r="AE45" s="114" t="s">
        <v>69</v>
      </c>
      <c r="AF45" s="114" t="s">
        <v>69</v>
      </c>
      <c r="AG45" s="114" t="s">
        <v>69</v>
      </c>
      <c r="AH45" s="114" t="s">
        <v>69</v>
      </c>
      <c r="AI45" s="114" t="s">
        <v>69</v>
      </c>
      <c r="AJ45" s="114" t="s">
        <v>69</v>
      </c>
      <c r="AK45" s="114" t="s">
        <v>69</v>
      </c>
      <c r="AL45" s="114" t="s">
        <v>69</v>
      </c>
      <c r="AM45" s="114" t="s">
        <v>69</v>
      </c>
      <c r="AN45" s="114" t="s">
        <v>69</v>
      </c>
      <c r="AO45" s="114" t="s">
        <v>69</v>
      </c>
      <c r="AP45" s="114" t="s">
        <v>69</v>
      </c>
      <c r="AQ45" s="114" t="s">
        <v>69</v>
      </c>
      <c r="AR45" s="114" t="s">
        <v>69</v>
      </c>
      <c r="AS45" s="114" t="s">
        <v>69</v>
      </c>
      <c r="AT45" s="114" t="s">
        <v>69</v>
      </c>
      <c r="AU45" s="114" t="s">
        <v>69</v>
      </c>
      <c r="AV45" s="114" t="s">
        <v>69</v>
      </c>
      <c r="AW45" s="114" t="s">
        <v>69</v>
      </c>
      <c r="AX45" s="115"/>
      <c r="AY45" s="115"/>
    </row>
    <row r="46" spans="1:51">
      <c r="A46" s="116"/>
      <c r="B46" s="112" t="s">
        <v>95</v>
      </c>
      <c r="C46" s="124" t="s">
        <v>96</v>
      </c>
      <c r="D46" s="112" t="str">
        <f>D42</f>
        <v>Permintaan Informasi</v>
      </c>
      <c r="E46" s="110" t="s">
        <v>69</v>
      </c>
      <c r="F46" s="118">
        <f>'statistik The Golo Mori'!F46</f>
        <v>0</v>
      </c>
      <c r="G46" s="118">
        <f>'statistik The Golo Mori'!G46</f>
        <v>0</v>
      </c>
      <c r="H46" s="118">
        <f>'statistik The Golo Mori'!H46</f>
        <v>0</v>
      </c>
      <c r="I46" s="118">
        <f>'statistik The Golo Mori'!I46</f>
        <v>0</v>
      </c>
      <c r="J46" s="118">
        <f>'statistik The Golo Mori'!J46</f>
        <v>0</v>
      </c>
      <c r="K46" s="118">
        <f>'statistik The Golo Mori'!K46</f>
        <v>0</v>
      </c>
      <c r="L46" s="118">
        <f>'statistik The Golo Mori'!L46</f>
        <v>0</v>
      </c>
      <c r="M46" s="118">
        <f>'statistik The Golo Mori'!M46</f>
        <v>0</v>
      </c>
      <c r="N46" s="118">
        <f>'statistik The Golo Mori'!N46</f>
        <v>0</v>
      </c>
      <c r="O46" s="118">
        <f>'statistik The Golo Mori'!O46</f>
        <v>0</v>
      </c>
      <c r="P46" s="118">
        <f>'statistik The Golo Mori'!P46</f>
        <v>0</v>
      </c>
      <c r="Q46" s="118">
        <f>'statistik The Golo Mori'!Q46</f>
        <v>0</v>
      </c>
      <c r="R46" s="118">
        <f>'statistik The Golo Mori'!R46</f>
        <v>0</v>
      </c>
      <c r="S46" s="118">
        <f>'statistik The Golo Mori'!S46</f>
        <v>0</v>
      </c>
      <c r="T46" s="118">
        <f>'statistik The Golo Mori'!T46</f>
        <v>0</v>
      </c>
      <c r="U46" s="118">
        <f>'statistik The Golo Mori'!U46</f>
        <v>0</v>
      </c>
      <c r="V46" s="118">
        <f>'statistik The Golo Mori'!V46</f>
        <v>0</v>
      </c>
      <c r="W46" s="118">
        <f>'statistik The Golo Mori'!W46</f>
        <v>0</v>
      </c>
      <c r="X46" s="114"/>
      <c r="Y46" s="114"/>
      <c r="Z46" s="114"/>
      <c r="AA46" s="114"/>
      <c r="AB46" s="114"/>
      <c r="AC46" s="114"/>
      <c r="AD46" s="114"/>
      <c r="AE46" s="114"/>
      <c r="AF46" s="114"/>
      <c r="AG46" s="114"/>
      <c r="AH46" s="114"/>
      <c r="AI46" s="114"/>
      <c r="AJ46" s="114"/>
      <c r="AK46" s="114"/>
      <c r="AL46" s="114"/>
      <c r="AM46" s="114"/>
      <c r="AN46" s="114"/>
      <c r="AO46" s="114"/>
      <c r="AP46" s="114"/>
      <c r="AQ46" s="114"/>
      <c r="AR46" s="114"/>
      <c r="AS46" s="114"/>
      <c r="AT46" s="114"/>
      <c r="AU46" s="114"/>
      <c r="AV46" s="114"/>
      <c r="AW46" s="114"/>
      <c r="AX46" s="115"/>
      <c r="AY46" s="115"/>
    </row>
    <row r="47" spans="1:51">
      <c r="A47" s="116"/>
      <c r="B47" s="123" t="s">
        <v>69</v>
      </c>
      <c r="C47" s="125" t="s">
        <v>69</v>
      </c>
      <c r="D47" s="112" t="str">
        <f>D43</f>
        <v>Request</v>
      </c>
      <c r="E47" s="110" t="s">
        <v>69</v>
      </c>
      <c r="F47" s="118">
        <f>'statistik The Golo Mori'!F47</f>
        <v>0</v>
      </c>
      <c r="G47" s="118">
        <f>'statistik The Golo Mori'!G47</f>
        <v>0</v>
      </c>
      <c r="H47" s="118">
        <f>'statistik The Golo Mori'!H47</f>
        <v>0</v>
      </c>
      <c r="I47" s="118">
        <f>'statistik The Golo Mori'!I47</f>
        <v>0</v>
      </c>
      <c r="J47" s="118">
        <f>'statistik The Golo Mori'!J47</f>
        <v>0</v>
      </c>
      <c r="K47" s="118">
        <f>'statistik The Golo Mori'!K47</f>
        <v>0</v>
      </c>
      <c r="L47" s="118">
        <f>'statistik The Golo Mori'!L47</f>
        <v>0</v>
      </c>
      <c r="M47" s="118">
        <f>'statistik The Golo Mori'!M47</f>
        <v>0</v>
      </c>
      <c r="N47" s="118">
        <f>'statistik The Golo Mori'!N47</f>
        <v>0</v>
      </c>
      <c r="O47" s="118">
        <f>'statistik The Golo Mori'!O47</f>
        <v>0</v>
      </c>
      <c r="P47" s="118">
        <f>'statistik The Golo Mori'!P47</f>
        <v>0</v>
      </c>
      <c r="Q47" s="118">
        <f>'statistik The Golo Mori'!Q47</f>
        <v>0</v>
      </c>
      <c r="R47" s="118">
        <f>'statistik The Golo Mori'!R47</f>
        <v>0</v>
      </c>
      <c r="S47" s="118">
        <f>'statistik The Golo Mori'!S47</f>
        <v>0</v>
      </c>
      <c r="T47" s="118">
        <f>'statistik The Golo Mori'!T47</f>
        <v>0</v>
      </c>
      <c r="U47" s="118">
        <f>'statistik The Golo Mori'!U47</f>
        <v>0</v>
      </c>
      <c r="V47" s="118">
        <f>'statistik The Golo Mori'!V47</f>
        <v>0</v>
      </c>
      <c r="W47" s="118">
        <f>'statistik The Golo Mori'!W47</f>
        <v>0</v>
      </c>
      <c r="X47" s="114" t="s">
        <v>69</v>
      </c>
      <c r="Y47" s="114" t="s">
        <v>69</v>
      </c>
      <c r="Z47" s="114" t="s">
        <v>69</v>
      </c>
      <c r="AA47" s="114" t="s">
        <v>69</v>
      </c>
      <c r="AB47" s="114" t="s">
        <v>69</v>
      </c>
      <c r="AC47" s="114" t="s">
        <v>69</v>
      </c>
      <c r="AD47" s="114" t="s">
        <v>69</v>
      </c>
      <c r="AE47" s="114" t="s">
        <v>69</v>
      </c>
      <c r="AF47" s="114" t="s">
        <v>69</v>
      </c>
      <c r="AG47" s="114" t="s">
        <v>69</v>
      </c>
      <c r="AH47" s="114" t="s">
        <v>69</v>
      </c>
      <c r="AI47" s="114" t="s">
        <v>69</v>
      </c>
      <c r="AJ47" s="114" t="s">
        <v>69</v>
      </c>
      <c r="AK47" s="114" t="s">
        <v>69</v>
      </c>
      <c r="AL47" s="114" t="s">
        <v>69</v>
      </c>
      <c r="AM47" s="114" t="s">
        <v>69</v>
      </c>
      <c r="AN47" s="114" t="s">
        <v>69</v>
      </c>
      <c r="AO47" s="114" t="s">
        <v>69</v>
      </c>
      <c r="AP47" s="114" t="s">
        <v>69</v>
      </c>
      <c r="AQ47" s="114" t="s">
        <v>69</v>
      </c>
      <c r="AR47" s="114" t="s">
        <v>69</v>
      </c>
      <c r="AS47" s="114" t="s">
        <v>69</v>
      </c>
      <c r="AT47" s="114" t="s">
        <v>69</v>
      </c>
      <c r="AU47" s="114" t="s">
        <v>69</v>
      </c>
      <c r="AV47" s="114" t="s">
        <v>69</v>
      </c>
      <c r="AW47" s="114" t="s">
        <v>69</v>
      </c>
      <c r="AX47" s="115"/>
      <c r="AY47" s="115"/>
    </row>
    <row r="48" spans="1:51" s="162" customFormat="1">
      <c r="A48" s="261"/>
      <c r="B48" s="256" t="s">
        <v>69</v>
      </c>
      <c r="C48" s="262" t="s">
        <v>69</v>
      </c>
      <c r="D48" s="256" t="str">
        <f>D44</f>
        <v>Keluhan</v>
      </c>
      <c r="E48" s="257" t="s">
        <v>69</v>
      </c>
      <c r="F48" s="258">
        <f>'statistik The Golo Mori'!F48</f>
        <v>0</v>
      </c>
      <c r="G48" s="258">
        <f>'statistik The Golo Mori'!G48</f>
        <v>0</v>
      </c>
      <c r="H48" s="258">
        <f>'statistik The Golo Mori'!H48</f>
        <v>0</v>
      </c>
      <c r="I48" s="258">
        <f>'statistik The Golo Mori'!I48</f>
        <v>1</v>
      </c>
      <c r="J48" s="258">
        <f>'statistik The Golo Mori'!J48</f>
        <v>0</v>
      </c>
      <c r="K48" s="258">
        <f>'statistik The Golo Mori'!K48</f>
        <v>0</v>
      </c>
      <c r="L48" s="258">
        <f>'statistik The Golo Mori'!L48</f>
        <v>1</v>
      </c>
      <c r="M48" s="258">
        <f>'statistik The Golo Mori'!M48</f>
        <v>0</v>
      </c>
      <c r="N48" s="258">
        <f>'statistik The Golo Mori'!N48</f>
        <v>0</v>
      </c>
      <c r="O48" s="258">
        <f>'statistik The Golo Mori'!O48</f>
        <v>1</v>
      </c>
      <c r="P48" s="258">
        <f>'statistik The Golo Mori'!P48</f>
        <v>0</v>
      </c>
      <c r="Q48" s="258">
        <f>'statistik The Golo Mori'!Q48</f>
        <v>0</v>
      </c>
      <c r="R48" s="258">
        <f>'statistik The Golo Mori'!R48</f>
        <v>1</v>
      </c>
      <c r="S48" s="258">
        <f>'statistik The Golo Mori'!S48</f>
        <v>0</v>
      </c>
      <c r="T48" s="258">
        <f>'statistik The Golo Mori'!T48</f>
        <v>0</v>
      </c>
      <c r="U48" s="258">
        <f>'statistik The Golo Mori'!U48</f>
        <v>0</v>
      </c>
      <c r="V48" s="258">
        <f>'statistik The Golo Mori'!V48</f>
        <v>1</v>
      </c>
      <c r="W48" s="258">
        <f>'statistik The Golo Mori'!W48</f>
        <v>1</v>
      </c>
      <c r="X48" s="259"/>
      <c r="Y48" s="259"/>
      <c r="Z48" s="259"/>
      <c r="AA48" s="259"/>
      <c r="AB48" s="259"/>
      <c r="AC48" s="259"/>
      <c r="AD48" s="259"/>
      <c r="AE48" s="259"/>
      <c r="AF48" s="259"/>
      <c r="AG48" s="259"/>
      <c r="AH48" s="259"/>
      <c r="AI48" s="259"/>
      <c r="AJ48" s="259"/>
      <c r="AK48" s="259"/>
      <c r="AL48" s="259"/>
      <c r="AM48" s="259"/>
      <c r="AN48" s="259"/>
      <c r="AO48" s="259"/>
      <c r="AP48" s="259"/>
      <c r="AQ48" s="259"/>
      <c r="AR48" s="259"/>
      <c r="AS48" s="259"/>
      <c r="AT48" s="259"/>
      <c r="AU48" s="259"/>
      <c r="AV48" s="259"/>
      <c r="AW48" s="259"/>
      <c r="AX48" s="260"/>
      <c r="AY48" s="260"/>
    </row>
    <row r="49" spans="1:51">
      <c r="A49" s="116"/>
      <c r="B49" s="112" t="s">
        <v>69</v>
      </c>
      <c r="C49" s="126" t="s">
        <v>69</v>
      </c>
      <c r="D49" s="112" t="str">
        <f>D45</f>
        <v>Apresiasi</v>
      </c>
      <c r="E49" s="110" t="s">
        <v>69</v>
      </c>
      <c r="F49" s="118">
        <f>'statistik The Golo Mori'!F49</f>
        <v>1</v>
      </c>
      <c r="G49" s="118">
        <f>'statistik The Golo Mori'!G49</f>
        <v>4</v>
      </c>
      <c r="H49" s="118">
        <f>'statistik The Golo Mori'!H49</f>
        <v>0</v>
      </c>
      <c r="I49" s="118">
        <f>'statistik The Golo Mori'!I49</f>
        <v>1</v>
      </c>
      <c r="J49" s="118">
        <f>'statistik The Golo Mori'!J49</f>
        <v>1</v>
      </c>
      <c r="K49" s="118">
        <f>'statistik The Golo Mori'!K49</f>
        <v>0</v>
      </c>
      <c r="L49" s="118">
        <f>'statistik The Golo Mori'!L49</f>
        <v>2</v>
      </c>
      <c r="M49" s="118">
        <f>'statistik The Golo Mori'!M49</f>
        <v>2</v>
      </c>
      <c r="N49" s="118">
        <f>'statistik The Golo Mori'!N49</f>
        <v>0</v>
      </c>
      <c r="O49" s="118">
        <f>'statistik The Golo Mori'!O49</f>
        <v>3</v>
      </c>
      <c r="P49" s="118">
        <f>'statistik The Golo Mori'!P49</f>
        <v>10</v>
      </c>
      <c r="Q49" s="118">
        <f>'statistik The Golo Mori'!Q49</f>
        <v>2</v>
      </c>
      <c r="R49" s="118">
        <f>'statistik The Golo Mori'!R49</f>
        <v>1</v>
      </c>
      <c r="S49" s="118">
        <f>'statistik The Golo Mori'!S49</f>
        <v>0</v>
      </c>
      <c r="T49" s="118">
        <f>'statistik The Golo Mori'!T49</f>
        <v>2</v>
      </c>
      <c r="U49" s="118">
        <f>'statistik The Golo Mori'!U49</f>
        <v>2</v>
      </c>
      <c r="V49" s="118">
        <f>'statistik The Golo Mori'!V49</f>
        <v>3</v>
      </c>
      <c r="W49" s="118">
        <f>'statistik The Golo Mori'!W49</f>
        <v>6</v>
      </c>
      <c r="X49" s="114"/>
      <c r="Y49" s="114"/>
      <c r="Z49" s="114"/>
      <c r="AA49" s="114"/>
      <c r="AB49" s="114"/>
      <c r="AC49" s="114"/>
      <c r="AD49" s="114"/>
      <c r="AE49" s="114"/>
      <c r="AF49" s="114"/>
      <c r="AG49" s="114"/>
      <c r="AH49" s="114"/>
      <c r="AI49" s="114"/>
      <c r="AJ49" s="114"/>
      <c r="AK49" s="114"/>
      <c r="AL49" s="114"/>
      <c r="AM49" s="114"/>
      <c r="AN49" s="114"/>
      <c r="AO49" s="114"/>
      <c r="AP49" s="114"/>
      <c r="AQ49" s="114"/>
      <c r="AR49" s="114"/>
      <c r="AS49" s="114"/>
      <c r="AT49" s="114"/>
      <c r="AU49" s="114"/>
      <c r="AV49" s="114"/>
      <c r="AW49" s="114"/>
      <c r="AX49" s="115"/>
      <c r="AY49" s="115"/>
    </row>
    <row r="50" spans="1:51" ht="69" customHeight="1">
      <c r="A50" s="313">
        <v>5</v>
      </c>
      <c r="B50" s="317" t="s">
        <v>97</v>
      </c>
      <c r="C50" s="317"/>
      <c r="D50" s="317"/>
      <c r="E50" s="110" t="s">
        <v>98</v>
      </c>
      <c r="F50" s="111" t="s">
        <v>69</v>
      </c>
      <c r="G50" s="127" t="s">
        <v>69</v>
      </c>
      <c r="H50" s="128" t="s">
        <v>69</v>
      </c>
      <c r="I50" s="113" t="s">
        <v>69</v>
      </c>
      <c r="J50" s="111" t="s">
        <v>69</v>
      </c>
      <c r="K50" s="127" t="s">
        <v>69</v>
      </c>
      <c r="L50" s="111" t="s">
        <v>69</v>
      </c>
      <c r="M50" s="111" t="s">
        <v>69</v>
      </c>
      <c r="N50" s="127" t="s">
        <v>69</v>
      </c>
      <c r="O50" s="127" t="s">
        <v>69</v>
      </c>
      <c r="P50" s="127" t="s">
        <v>69</v>
      </c>
      <c r="Q50" s="127" t="s">
        <v>69</v>
      </c>
      <c r="R50" s="127" t="s">
        <v>69</v>
      </c>
      <c r="S50" s="127" t="s">
        <v>69</v>
      </c>
      <c r="T50" s="127" t="s">
        <v>69</v>
      </c>
      <c r="U50" s="128" t="s">
        <v>69</v>
      </c>
      <c r="V50" s="129" t="s">
        <v>69</v>
      </c>
      <c r="W50" s="129"/>
      <c r="X50" s="130"/>
      <c r="Y50" s="130"/>
      <c r="Z50" s="130"/>
      <c r="AA50" s="130"/>
      <c r="AB50" s="130"/>
      <c r="AC50" s="130"/>
      <c r="AD50" s="130"/>
      <c r="AE50" s="130"/>
      <c r="AF50" s="130"/>
      <c r="AG50" s="130"/>
      <c r="AH50" s="130"/>
      <c r="AI50" s="130"/>
      <c r="AJ50" s="130"/>
      <c r="AK50" s="130" t="s">
        <v>69</v>
      </c>
      <c r="AL50" s="130" t="s">
        <v>69</v>
      </c>
      <c r="AM50" s="130" t="s">
        <v>69</v>
      </c>
      <c r="AN50" s="130" t="s">
        <v>69</v>
      </c>
      <c r="AO50" s="130" t="s">
        <v>69</v>
      </c>
      <c r="AP50" s="130" t="s">
        <v>69</v>
      </c>
      <c r="AQ50" s="130" t="s">
        <v>69</v>
      </c>
      <c r="AR50" s="130" t="s">
        <v>69</v>
      </c>
      <c r="AS50" s="130" t="s">
        <v>69</v>
      </c>
      <c r="AT50" s="130" t="s">
        <v>69</v>
      </c>
      <c r="AU50" s="130" t="s">
        <v>69</v>
      </c>
      <c r="AV50" s="130" t="s">
        <v>69</v>
      </c>
      <c r="AW50" s="130" t="s">
        <v>69</v>
      </c>
      <c r="AX50" s="115"/>
      <c r="AY50" s="115"/>
    </row>
    <row r="51" spans="1:51" ht="24" customHeight="1">
      <c r="A51" s="314"/>
      <c r="B51" s="111" t="s">
        <v>70</v>
      </c>
      <c r="C51" s="316" t="s">
        <v>99</v>
      </c>
      <c r="D51" s="316"/>
      <c r="E51" s="357" t="s">
        <v>100</v>
      </c>
      <c r="F51" s="111" t="s">
        <v>69</v>
      </c>
      <c r="G51" s="127" t="s">
        <v>69</v>
      </c>
      <c r="H51" s="128" t="s">
        <v>69</v>
      </c>
      <c r="I51" s="113" t="s">
        <v>69</v>
      </c>
      <c r="J51" s="111" t="s">
        <v>69</v>
      </c>
      <c r="K51" s="127" t="s">
        <v>69</v>
      </c>
      <c r="L51" s="111" t="s">
        <v>69</v>
      </c>
      <c r="M51" s="111" t="s">
        <v>69</v>
      </c>
      <c r="N51" s="127" t="s">
        <v>69</v>
      </c>
      <c r="O51" s="127" t="s">
        <v>69</v>
      </c>
      <c r="P51" s="127" t="s">
        <v>69</v>
      </c>
      <c r="Q51" s="127" t="s">
        <v>69</v>
      </c>
      <c r="R51" s="127" t="s">
        <v>69</v>
      </c>
      <c r="S51" s="127" t="s">
        <v>69</v>
      </c>
      <c r="T51" s="127" t="s">
        <v>69</v>
      </c>
      <c r="U51" s="128" t="s">
        <v>69</v>
      </c>
      <c r="V51" s="129" t="s">
        <v>69</v>
      </c>
      <c r="W51" s="129"/>
      <c r="X51" s="130"/>
      <c r="Y51" s="130"/>
      <c r="Z51" s="130"/>
      <c r="AA51" s="130"/>
      <c r="AB51" s="130"/>
      <c r="AC51" s="130"/>
      <c r="AD51" s="130"/>
      <c r="AE51" s="130"/>
      <c r="AF51" s="130"/>
      <c r="AG51" s="130"/>
      <c r="AH51" s="130"/>
      <c r="AI51" s="130"/>
      <c r="AJ51" s="130"/>
      <c r="AK51" s="130" t="s">
        <v>69</v>
      </c>
      <c r="AL51" s="130" t="s">
        <v>69</v>
      </c>
      <c r="AM51" s="130" t="s">
        <v>69</v>
      </c>
      <c r="AN51" s="130" t="s">
        <v>69</v>
      </c>
      <c r="AO51" s="130" t="s">
        <v>69</v>
      </c>
      <c r="AP51" s="130" t="s">
        <v>69</v>
      </c>
      <c r="AQ51" s="130" t="s">
        <v>69</v>
      </c>
      <c r="AR51" s="130" t="s">
        <v>69</v>
      </c>
      <c r="AS51" s="130" t="s">
        <v>69</v>
      </c>
      <c r="AT51" s="130" t="s">
        <v>69</v>
      </c>
      <c r="AU51" s="130" t="s">
        <v>69</v>
      </c>
      <c r="AV51" s="130" t="s">
        <v>69</v>
      </c>
      <c r="AW51" s="130" t="s">
        <v>69</v>
      </c>
      <c r="AX51" s="115"/>
      <c r="AY51" s="115"/>
    </row>
    <row r="52" spans="1:51" ht="17.25">
      <c r="A52" s="314"/>
      <c r="B52" s="111" t="s">
        <v>73</v>
      </c>
      <c r="C52" s="132" t="s">
        <v>101</v>
      </c>
      <c r="D52" s="133" t="s">
        <v>69</v>
      </c>
      <c r="E52" s="358"/>
      <c r="F52" s="131">
        <f>('statistik The Nusa Dua'!F49+'statistik The Mandalika'!F48+'statistik The Golo Mori'!F52+'statistik MGPA'!F48+'statistik INU'!F48)</f>
        <v>2</v>
      </c>
      <c r="G52" s="131">
        <f>'statistik The Nusa Dua'!G49+'statistik The Mandalika'!G48+'statistik The Golo Mori'!G52+'statistik MGPA'!G48+'statistik INU'!G48</f>
        <v>2</v>
      </c>
      <c r="H52" s="131">
        <f>'statistik The Nusa Dua'!H49+'statistik The Mandalika'!H48+'statistik The Golo Mori'!H52+'statistik MGPA'!H48+'statistik INU'!H48</f>
        <v>2</v>
      </c>
      <c r="I52" s="131">
        <f>'statistik The Nusa Dua'!I49+'statistik The Mandalika'!I48+'statistik The Golo Mori'!I52+'statistik MGPA'!I48+'statistik INU'!I48</f>
        <v>2</v>
      </c>
      <c r="J52" s="131">
        <f>'statistik The Nusa Dua'!J49+'statistik The Mandalika'!J48+'statistik The Golo Mori'!J52+'statistik MGPA'!J48+'statistik INU'!J48</f>
        <v>3</v>
      </c>
      <c r="K52" s="131">
        <f>'statistik The Nusa Dua'!K49+'statistik The Mandalika'!K48+'statistik The Golo Mori'!K52+'statistik MGPA'!K48+'statistik INU'!K48</f>
        <v>3</v>
      </c>
      <c r="L52" s="131">
        <f>'statistik The Nusa Dua'!L49+'statistik The Mandalika'!L48+'statistik The Golo Mori'!L52+'statistik MGPA'!L48+'statistik INU'!L48</f>
        <v>3</v>
      </c>
      <c r="M52" s="131">
        <f>'statistik The Nusa Dua'!M49+'statistik The Mandalika'!M48+'statistik The Golo Mori'!M52+'statistik MGPA'!M48+'statistik INU'!M48</f>
        <v>3</v>
      </c>
      <c r="N52" s="131">
        <f>'statistik The Nusa Dua'!N49+'statistik The Mandalika'!N48+'statistik The Golo Mori'!N52+'statistik MGPA'!N48+'statistik INU'!N48</f>
        <v>3</v>
      </c>
      <c r="O52" s="131">
        <f>'statistik The Nusa Dua'!O49+'statistik The Mandalika'!O48+'statistik The Golo Mori'!O52+'statistik MGPA'!O48+'statistik INU'!O48</f>
        <v>3</v>
      </c>
      <c r="P52" s="131">
        <f>'statistik The Nusa Dua'!P49+'statistik The Mandalika'!P48+'statistik The Golo Mori'!P52+'statistik MGPA'!P48+'statistik INU'!P48</f>
        <v>3</v>
      </c>
      <c r="Q52" s="131">
        <f>'statistik The Nusa Dua'!Q49+'statistik The Mandalika'!Q48+'statistik The Golo Mori'!Q52+'statistik MGPA'!Q48+'statistik INU'!Q48</f>
        <v>3</v>
      </c>
      <c r="R52" s="131">
        <f>'statistik The Nusa Dua'!R49+'statistik The Mandalika'!R48+'statistik The Golo Mori'!R52+'statistik MGPA'!R48+'statistik INU'!R48</f>
        <v>3</v>
      </c>
      <c r="S52" s="131">
        <f>'statistik The Nusa Dua'!S49+'statistik The Mandalika'!S48+'statistik The Golo Mori'!S52+'statistik MGPA'!S48+'statistik INU'!S48</f>
        <v>3</v>
      </c>
      <c r="T52" s="131">
        <f>'statistik The Nusa Dua'!T49+'statistik The Mandalika'!T48+'statistik The Golo Mori'!T52+'statistik MGPA'!T48+'statistik INU'!T48</f>
        <v>3</v>
      </c>
      <c r="U52" s="131">
        <f>'statistik The Nusa Dua'!U49+'statistik The Mandalika'!U48+'statistik The Golo Mori'!U52+'statistik MGPA'!U48+'statistik INU'!U48</f>
        <v>3</v>
      </c>
      <c r="V52" s="131">
        <f>'statistik The Nusa Dua'!V49+'statistik The Mandalika'!V48+'statistik The Golo Mori'!V52+'statistik MGPA'!V48+'statistik INU'!V48</f>
        <v>3</v>
      </c>
      <c r="W52" s="131">
        <f>'statistik The Nusa Dua'!W49+'statistik The Mandalika'!W48+'statistik The Golo Mori'!W52+'statistik MGPA'!W48+'statistik INU'!W48</f>
        <v>3</v>
      </c>
      <c r="X52" s="130"/>
      <c r="Y52" s="130"/>
      <c r="Z52" s="130"/>
      <c r="AA52" s="130"/>
      <c r="AB52" s="130"/>
      <c r="AC52" s="130"/>
      <c r="AD52" s="130"/>
      <c r="AE52" s="130"/>
      <c r="AF52" s="130"/>
      <c r="AG52" s="130"/>
      <c r="AH52" s="130"/>
      <c r="AI52" s="130"/>
      <c r="AJ52" s="130"/>
      <c r="AK52" s="130" t="s">
        <v>69</v>
      </c>
      <c r="AL52" s="130" t="s">
        <v>69</v>
      </c>
      <c r="AM52" s="130" t="s">
        <v>69</v>
      </c>
      <c r="AN52" s="130" t="s">
        <v>69</v>
      </c>
      <c r="AO52" s="130" t="s">
        <v>69</v>
      </c>
      <c r="AP52" s="130" t="s">
        <v>69</v>
      </c>
      <c r="AQ52" s="130" t="s">
        <v>69</v>
      </c>
      <c r="AR52" s="130" t="s">
        <v>69</v>
      </c>
      <c r="AS52" s="130" t="s">
        <v>69</v>
      </c>
      <c r="AT52" s="130" t="s">
        <v>69</v>
      </c>
      <c r="AU52" s="130" t="s">
        <v>69</v>
      </c>
      <c r="AV52" s="130" t="s">
        <v>69</v>
      </c>
      <c r="AW52" s="130" t="s">
        <v>69</v>
      </c>
      <c r="AX52" s="115"/>
      <c r="AY52" s="115"/>
    </row>
    <row r="53" spans="1:51" ht="17.25">
      <c r="A53" s="314"/>
      <c r="B53" s="111" t="s">
        <v>75</v>
      </c>
      <c r="C53" s="316" t="s">
        <v>102</v>
      </c>
      <c r="D53" s="316"/>
      <c r="E53" s="358"/>
      <c r="F53" s="131">
        <f>'statistik The Nusa Dua'!F50+'statistik The Mandalika'!F49+'statistik The Golo Mori'!F53+'statistik MGPA'!F49+'statistik INU'!F49</f>
        <v>0</v>
      </c>
      <c r="G53" s="131">
        <f>'statistik The Nusa Dua'!G50+'statistik The Mandalika'!G49+'statistik The Golo Mori'!G53+'statistik MGPA'!G49+'statistik INU'!G49</f>
        <v>0</v>
      </c>
      <c r="H53" s="131">
        <f>'statistik The Nusa Dua'!H50+'statistik The Mandalika'!H49+'statistik The Golo Mori'!H53+'statistik MGPA'!H49+'statistik INU'!H49</f>
        <v>0</v>
      </c>
      <c r="I53" s="131">
        <f>'statistik The Nusa Dua'!I50+'statistik The Mandalika'!I49+'statistik The Golo Mori'!I53+'statistik MGPA'!I49+'statistik INU'!I49</f>
        <v>1</v>
      </c>
      <c r="J53" s="131">
        <f>'statistik The Nusa Dua'!J50+'statistik The Mandalika'!J49+'statistik The Golo Mori'!J53+'statistik MGPA'!J49+'statistik INU'!J49</f>
        <v>0</v>
      </c>
      <c r="K53" s="131">
        <f>'statistik The Nusa Dua'!K50+'statistik The Mandalika'!K49+'statistik The Golo Mori'!K53+'statistik MGPA'!K49+'statistik INU'!K49</f>
        <v>0</v>
      </c>
      <c r="L53" s="131">
        <f>'statistik The Nusa Dua'!L50+'statistik The Mandalika'!L49+'statistik The Golo Mori'!L53+'statistik MGPA'!L49+'statistik INU'!L49</f>
        <v>2</v>
      </c>
      <c r="M53" s="131">
        <f>'statistik The Nusa Dua'!M50+'statistik The Mandalika'!M49+'statistik The Golo Mori'!M53+'statistik MGPA'!M49+'statistik INU'!M49</f>
        <v>2</v>
      </c>
      <c r="N53" s="131">
        <f>'statistik The Nusa Dua'!N50+'statistik The Mandalika'!N49+'statistik The Golo Mori'!N53+'statistik MGPA'!N49+'statistik INU'!N49</f>
        <v>0</v>
      </c>
      <c r="O53" s="131">
        <f>'statistik The Nusa Dua'!O50+'statistik The Mandalika'!O49+'statistik The Golo Mori'!O53+'statistik MGPA'!O49+'statistik INU'!O49</f>
        <v>1</v>
      </c>
      <c r="P53" s="131">
        <f>'statistik The Nusa Dua'!P50+'statistik The Mandalika'!P49+'statistik The Golo Mori'!P53+'statistik MGPA'!P49+'statistik INU'!P49</f>
        <v>0</v>
      </c>
      <c r="Q53" s="131">
        <f>'statistik The Nusa Dua'!Q50+'statistik The Mandalika'!Q49+'statistik The Golo Mori'!Q53+'statistik MGPA'!Q49+'statistik INU'!Q49</f>
        <v>0</v>
      </c>
      <c r="R53" s="131">
        <f>'statistik The Nusa Dua'!R50+'statistik The Mandalika'!R49+'statistik The Golo Mori'!R53+'statistik MGPA'!R49+'statistik INU'!R49</f>
        <v>0</v>
      </c>
      <c r="S53" s="131">
        <f>'statistik The Nusa Dua'!S50+'statistik The Mandalika'!S49+'statistik The Golo Mori'!S53+'statistik MGPA'!S49+'statistik INU'!S49</f>
        <v>0</v>
      </c>
      <c r="T53" s="131">
        <f>'statistik The Nusa Dua'!T50+'statistik The Mandalika'!T49+'statistik The Golo Mori'!T53+'statistik MGPA'!T49+'statistik INU'!T49</f>
        <v>0</v>
      </c>
      <c r="U53" s="131">
        <f>'statistik The Nusa Dua'!U50+'statistik The Mandalika'!U49+'statistik The Golo Mori'!U53+'statistik MGPA'!U49+'statistik INU'!U49</f>
        <v>0</v>
      </c>
      <c r="V53" s="131">
        <f>'statistik The Nusa Dua'!V50+'statistik The Mandalika'!V49+'statistik The Golo Mori'!V53+'statistik MGPA'!V49+'statistik INU'!V49</f>
        <v>1</v>
      </c>
      <c r="W53" s="131">
        <f>'statistik The Nusa Dua'!W50+'statistik The Mandalika'!W49+'statistik The Golo Mori'!W53+'statistik MGPA'!W49+'statistik INU'!W49</f>
        <v>1</v>
      </c>
      <c r="X53" s="130"/>
      <c r="Y53" s="130"/>
      <c r="Z53" s="130"/>
      <c r="AA53" s="130"/>
      <c r="AB53" s="130"/>
      <c r="AC53" s="130"/>
      <c r="AD53" s="130"/>
      <c r="AE53" s="130"/>
      <c r="AF53" s="130"/>
      <c r="AG53" s="130"/>
      <c r="AH53" s="130"/>
      <c r="AI53" s="130"/>
      <c r="AJ53" s="130"/>
      <c r="AK53" s="130" t="s">
        <v>69</v>
      </c>
      <c r="AL53" s="130" t="s">
        <v>69</v>
      </c>
      <c r="AM53" s="130" t="s">
        <v>69</v>
      </c>
      <c r="AN53" s="130" t="s">
        <v>69</v>
      </c>
      <c r="AO53" s="130" t="s">
        <v>69</v>
      </c>
      <c r="AP53" s="130" t="s">
        <v>69</v>
      </c>
      <c r="AQ53" s="130" t="s">
        <v>69</v>
      </c>
      <c r="AR53" s="130" t="s">
        <v>69</v>
      </c>
      <c r="AS53" s="130" t="s">
        <v>69</v>
      </c>
      <c r="AT53" s="130" t="s">
        <v>69</v>
      </c>
      <c r="AU53" s="130" t="s">
        <v>69</v>
      </c>
      <c r="AV53" s="130" t="s">
        <v>69</v>
      </c>
      <c r="AW53" s="130" t="s">
        <v>69</v>
      </c>
      <c r="AX53" s="115"/>
      <c r="AY53" s="115"/>
    </row>
    <row r="54" spans="1:51">
      <c r="A54" s="314"/>
      <c r="B54" s="111" t="s">
        <v>77</v>
      </c>
      <c r="C54" s="316" t="s">
        <v>103</v>
      </c>
      <c r="D54" s="316"/>
      <c r="E54" s="358"/>
      <c r="F54" s="131">
        <f>'statistik The Nusa Dua'!F51+'statistik The Mandalika'!F50+'statistik The Golo Mori'!F54+'statistik MGPA'!F50+'statistik INU'!F50</f>
        <v>0</v>
      </c>
      <c r="G54" s="131">
        <f>'statistik The Nusa Dua'!G51+'statistik The Mandalika'!G50+'statistik The Golo Mori'!G54+'statistik MGPA'!G50+'statistik INU'!G50</f>
        <v>0</v>
      </c>
      <c r="H54" s="131">
        <f>'statistik The Nusa Dua'!H51+'statistik The Mandalika'!H50+'statistik The Golo Mori'!H54+'statistik MGPA'!H50+'statistik INU'!H50</f>
        <v>0</v>
      </c>
      <c r="I54" s="131">
        <f>'statistik The Nusa Dua'!I51+'statistik The Mandalika'!I50+'statistik The Golo Mori'!I54+'statistik MGPA'!I50+'statistik INU'!I50</f>
        <v>0</v>
      </c>
      <c r="J54" s="131">
        <f>'statistik The Nusa Dua'!J51+'statistik The Mandalika'!J50+'statistik The Golo Mori'!J54+'statistik MGPA'!J50+'statistik INU'!J50</f>
        <v>0</v>
      </c>
      <c r="K54" s="131">
        <f>'statistik The Nusa Dua'!K51+'statistik The Mandalika'!K50+'statistik The Golo Mori'!K54+'statistik MGPA'!K50+'statistik INU'!K50</f>
        <v>0</v>
      </c>
      <c r="L54" s="131">
        <f>'statistik The Nusa Dua'!L51+'statistik The Mandalika'!L50+'statistik The Golo Mori'!L54+'statistik MGPA'!L50+'statistik INU'!L50</f>
        <v>0</v>
      </c>
      <c r="M54" s="131">
        <f>'statistik The Nusa Dua'!M51+'statistik The Mandalika'!M50+'statistik The Golo Mori'!M54+'statistik MGPA'!M50+'statistik INU'!M50</f>
        <v>0</v>
      </c>
      <c r="N54" s="131">
        <f>'statistik The Nusa Dua'!N51+'statistik The Mandalika'!N50+'statistik The Golo Mori'!N54+'statistik MGPA'!N50+'statistik INU'!N50</f>
        <v>0</v>
      </c>
      <c r="O54" s="131">
        <f>'statistik The Nusa Dua'!O51+'statistik The Mandalika'!O50+'statistik The Golo Mori'!O54+'statistik MGPA'!O50+'statistik INU'!O50</f>
        <v>0</v>
      </c>
      <c r="P54" s="131">
        <f>'statistik The Nusa Dua'!P51+'statistik The Mandalika'!P50+'statistik The Golo Mori'!P54+'statistik MGPA'!P50+'statistik INU'!P50</f>
        <v>0</v>
      </c>
      <c r="Q54" s="131">
        <f>'statistik The Nusa Dua'!Q51+'statistik The Mandalika'!Q50+'statistik The Golo Mori'!Q54+'statistik MGPA'!Q50+'statistik INU'!Q50</f>
        <v>0</v>
      </c>
      <c r="R54" s="131">
        <f>'statistik The Nusa Dua'!R51+'statistik The Mandalika'!R50+'statistik The Golo Mori'!R54+'statistik MGPA'!R50+'statistik INU'!R50</f>
        <v>0</v>
      </c>
      <c r="S54" s="131">
        <f>'statistik The Nusa Dua'!S51+'statistik The Mandalika'!S50+'statistik The Golo Mori'!S54+'statistik MGPA'!S50+'statistik INU'!S50</f>
        <v>0</v>
      </c>
      <c r="T54" s="131">
        <f>'statistik The Nusa Dua'!T51+'statistik The Mandalika'!T50+'statistik The Golo Mori'!T54+'statistik MGPA'!T50+'statistik INU'!T50</f>
        <v>0</v>
      </c>
      <c r="U54" s="131">
        <f>'statistik The Nusa Dua'!U51+'statistik The Mandalika'!U50+'statistik The Golo Mori'!U54+'statistik MGPA'!U50+'statistik INU'!U50</f>
        <v>0</v>
      </c>
      <c r="V54" s="131">
        <f>'statistik The Nusa Dua'!V51+'statistik The Mandalika'!V50+'statistik The Golo Mori'!V54+'statistik MGPA'!V50+'statistik INU'!V50</f>
        <v>0</v>
      </c>
      <c r="W54" s="131">
        <f>'statistik The Nusa Dua'!W51+'statistik The Mandalika'!W50+'statistik The Golo Mori'!W54+'statistik MGPA'!W50+'statistik INU'!W50</f>
        <v>0</v>
      </c>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5"/>
      <c r="AY54" s="115"/>
    </row>
    <row r="55" spans="1:51">
      <c r="A55" s="314"/>
      <c r="B55" s="134" t="s">
        <v>84</v>
      </c>
      <c r="C55" s="324" t="s">
        <v>104</v>
      </c>
      <c r="D55" s="324"/>
      <c r="E55" s="359"/>
      <c r="F55" s="131">
        <f>'statistik The Nusa Dua'!F52+'statistik The Mandalika'!F51+'statistik The Golo Mori'!F55+'statistik MGPA'!F51+'statistik INU'!F51</f>
        <v>0</v>
      </c>
      <c r="G55" s="131">
        <f>'statistik The Nusa Dua'!G52+'statistik The Mandalika'!G51+'statistik The Golo Mori'!G55+'statistik MGPA'!G51+'statistik INU'!G51</f>
        <v>0</v>
      </c>
      <c r="H55" s="131">
        <f>'statistik The Nusa Dua'!H52+'statistik The Mandalika'!H51+'statistik The Golo Mori'!H55+'statistik MGPA'!H51+'statistik INU'!H51</f>
        <v>0</v>
      </c>
      <c r="I55" s="131">
        <f>'statistik The Nusa Dua'!I52+'statistik The Mandalika'!I51+'statistik The Golo Mori'!I55+'statistik MGPA'!I51+'statistik INU'!I51</f>
        <v>0</v>
      </c>
      <c r="J55" s="131">
        <f>'statistik The Nusa Dua'!J52+'statistik The Mandalika'!J51+'statistik The Golo Mori'!J55+'statistik MGPA'!J51+'statistik INU'!J51</f>
        <v>0</v>
      </c>
      <c r="K55" s="131">
        <f>'statistik The Nusa Dua'!K52+'statistik The Mandalika'!K51+'statistik The Golo Mori'!K55+'statistik MGPA'!K51+'statistik INU'!K51</f>
        <v>0</v>
      </c>
      <c r="L55" s="131">
        <f>'statistik The Nusa Dua'!L52+'statistik The Mandalika'!L51+'statistik The Golo Mori'!L55+'statistik MGPA'!L51+'statistik INU'!L51</f>
        <v>0</v>
      </c>
      <c r="M55" s="131">
        <f>'statistik The Nusa Dua'!M52+'statistik The Mandalika'!M51+'statistik The Golo Mori'!M55+'statistik MGPA'!M51+'statistik INU'!M51</f>
        <v>0</v>
      </c>
      <c r="N55" s="131">
        <f>'statistik The Nusa Dua'!N52+'statistik The Mandalika'!N51+'statistik The Golo Mori'!N55+'statistik MGPA'!N51+'statistik INU'!N51</f>
        <v>0</v>
      </c>
      <c r="O55" s="131">
        <f>'statistik The Nusa Dua'!O52+'statistik The Mandalika'!O51+'statistik The Golo Mori'!O55+'statistik MGPA'!O51+'statistik INU'!O51</f>
        <v>0</v>
      </c>
      <c r="P55" s="131">
        <f>'statistik The Nusa Dua'!P52+'statistik The Mandalika'!P51+'statistik The Golo Mori'!P55+'statistik MGPA'!P51+'statistik INU'!P51</f>
        <v>0</v>
      </c>
      <c r="Q55" s="131">
        <f>'statistik The Nusa Dua'!Q52+'statistik The Mandalika'!Q51+'statistik The Golo Mori'!Q55+'statistik MGPA'!Q51+'statistik INU'!Q51</f>
        <v>0</v>
      </c>
      <c r="R55" s="131">
        <f>'statistik The Nusa Dua'!R52+'statistik The Mandalika'!R51+'statistik The Golo Mori'!R55+'statistik MGPA'!R51+'statistik INU'!R51</f>
        <v>0</v>
      </c>
      <c r="S55" s="131">
        <f>'statistik The Nusa Dua'!S52+'statistik The Mandalika'!S51+'statistik The Golo Mori'!S55+'statistik MGPA'!S51+'statistik INU'!S51</f>
        <v>0</v>
      </c>
      <c r="T55" s="131">
        <f>'statistik The Nusa Dua'!T52+'statistik The Mandalika'!T51+'statistik The Golo Mori'!T55+'statistik MGPA'!T51+'statistik INU'!T51</f>
        <v>0</v>
      </c>
      <c r="U55" s="131">
        <f>'statistik The Nusa Dua'!U52+'statistik The Mandalika'!U51+'statistik The Golo Mori'!U55+'statistik MGPA'!U51+'statistik INU'!U51</f>
        <v>0</v>
      </c>
      <c r="V55" s="131">
        <f>'statistik The Nusa Dua'!V52+'statistik The Mandalika'!V51+'statistik The Golo Mori'!V55+'statistik MGPA'!V51+'statistik INU'!V51</f>
        <v>0</v>
      </c>
      <c r="W55" s="131">
        <f>'statistik The Nusa Dua'!W52+'statistik The Mandalika'!W51+'statistik The Golo Mori'!W55+'statistik MGPA'!W51+'statistik INU'!W51</f>
        <v>0</v>
      </c>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5"/>
      <c r="AY55" s="115"/>
    </row>
    <row r="56" spans="1:51" s="268" customFormat="1" ht="33.75" customHeight="1">
      <c r="A56" s="354">
        <v>6</v>
      </c>
      <c r="B56" s="355" t="s">
        <v>105</v>
      </c>
      <c r="C56" s="355"/>
      <c r="D56" s="356"/>
      <c r="E56" s="263" t="s">
        <v>106</v>
      </c>
      <c r="F56" s="264" t="s">
        <v>69</v>
      </c>
      <c r="G56" s="264" t="s">
        <v>69</v>
      </c>
      <c r="H56" s="264" t="s">
        <v>69</v>
      </c>
      <c r="I56" s="264" t="s">
        <v>69</v>
      </c>
      <c r="J56" s="264" t="s">
        <v>69</v>
      </c>
      <c r="K56" s="264" t="s">
        <v>69</v>
      </c>
      <c r="L56" s="264" t="s">
        <v>69</v>
      </c>
      <c r="M56" s="264" t="s">
        <v>69</v>
      </c>
      <c r="N56" s="264" t="s">
        <v>69</v>
      </c>
      <c r="O56" s="264" t="s">
        <v>69</v>
      </c>
      <c r="P56" s="264" t="s">
        <v>69</v>
      </c>
      <c r="Q56" s="264" t="s">
        <v>69</v>
      </c>
      <c r="R56" s="264" t="s">
        <v>69</v>
      </c>
      <c r="S56" s="264" t="s">
        <v>69</v>
      </c>
      <c r="T56" s="264" t="s">
        <v>69</v>
      </c>
      <c r="U56" s="265" t="s">
        <v>69</v>
      </c>
      <c r="V56" s="266"/>
      <c r="W56" s="266"/>
      <c r="X56" s="265"/>
      <c r="Y56" s="265"/>
      <c r="Z56" s="265"/>
      <c r="AA56" s="265"/>
      <c r="AB56" s="265"/>
      <c r="AC56" s="265"/>
      <c r="AD56" s="265"/>
      <c r="AE56" s="265"/>
      <c r="AF56" s="265"/>
      <c r="AG56" s="265"/>
      <c r="AH56" s="265"/>
      <c r="AI56" s="265"/>
      <c r="AJ56" s="265"/>
      <c r="AK56" s="265"/>
      <c r="AL56" s="265"/>
      <c r="AM56" s="265"/>
      <c r="AN56" s="265"/>
      <c r="AO56" s="265"/>
      <c r="AP56" s="265"/>
      <c r="AQ56" s="265"/>
      <c r="AR56" s="265"/>
      <c r="AS56" s="265"/>
      <c r="AT56" s="265"/>
      <c r="AU56" s="265"/>
      <c r="AV56" s="265"/>
      <c r="AW56" s="265"/>
      <c r="AX56" s="267"/>
      <c r="AY56" s="267"/>
    </row>
    <row r="57" spans="1:51" s="268" customFormat="1">
      <c r="A57" s="354"/>
      <c r="B57" s="269" t="s">
        <v>70</v>
      </c>
      <c r="C57" s="350" t="s">
        <v>79</v>
      </c>
      <c r="D57" s="351"/>
      <c r="E57" s="364" t="s">
        <v>107</v>
      </c>
      <c r="F57" s="270" t="s">
        <v>38</v>
      </c>
      <c r="G57" s="270" t="s">
        <v>38</v>
      </c>
      <c r="H57" s="270" t="s">
        <v>38</v>
      </c>
      <c r="I57" s="270" t="s">
        <v>38</v>
      </c>
      <c r="J57" s="270" t="s">
        <v>38</v>
      </c>
      <c r="K57" s="270" t="s">
        <v>38</v>
      </c>
      <c r="L57" s="270" t="s">
        <v>38</v>
      </c>
      <c r="M57" s="270" t="s">
        <v>38</v>
      </c>
      <c r="N57" s="270" t="s">
        <v>38</v>
      </c>
      <c r="O57" s="270" t="s">
        <v>38</v>
      </c>
      <c r="P57" s="270" t="s">
        <v>38</v>
      </c>
      <c r="Q57" s="270" t="s">
        <v>38</v>
      </c>
      <c r="R57" s="270" t="s">
        <v>38</v>
      </c>
      <c r="S57" s="270" t="s">
        <v>38</v>
      </c>
      <c r="T57" s="270" t="s">
        <v>38</v>
      </c>
      <c r="U57" s="270" t="s">
        <v>38</v>
      </c>
      <c r="V57" s="270" t="s">
        <v>38</v>
      </c>
      <c r="W57" s="270" t="s">
        <v>38</v>
      </c>
      <c r="X57" s="265"/>
      <c r="Y57" s="265"/>
      <c r="Z57" s="265"/>
      <c r="AA57" s="265"/>
      <c r="AB57" s="265"/>
      <c r="AC57" s="265"/>
      <c r="AD57" s="265"/>
      <c r="AE57" s="265"/>
      <c r="AF57" s="265"/>
      <c r="AG57" s="265"/>
      <c r="AH57" s="265"/>
      <c r="AI57" s="265"/>
      <c r="AJ57" s="265"/>
      <c r="AK57" s="265"/>
      <c r="AL57" s="265"/>
      <c r="AM57" s="265"/>
      <c r="AN57" s="265"/>
      <c r="AO57" s="265"/>
      <c r="AP57" s="265"/>
      <c r="AQ57" s="265"/>
      <c r="AR57" s="265"/>
      <c r="AS57" s="265"/>
      <c r="AT57" s="265"/>
      <c r="AU57" s="265"/>
      <c r="AV57" s="265"/>
      <c r="AW57" s="265"/>
      <c r="AX57" s="267"/>
      <c r="AY57" s="267"/>
    </row>
    <row r="58" spans="1:51" s="268" customFormat="1">
      <c r="A58" s="354"/>
      <c r="B58" s="269" t="s">
        <v>73</v>
      </c>
      <c r="C58" s="350" t="s">
        <v>80</v>
      </c>
      <c r="D58" s="351"/>
      <c r="E58" s="364"/>
      <c r="F58" s="270" t="s">
        <v>38</v>
      </c>
      <c r="G58" s="270" t="s">
        <v>38</v>
      </c>
      <c r="H58" s="270" t="s">
        <v>38</v>
      </c>
      <c r="I58" s="270" t="s">
        <v>38</v>
      </c>
      <c r="J58" s="270" t="s">
        <v>38</v>
      </c>
      <c r="K58" s="270" t="s">
        <v>38</v>
      </c>
      <c r="L58" s="270" t="s">
        <v>38</v>
      </c>
      <c r="M58" s="270" t="s">
        <v>38</v>
      </c>
      <c r="N58" s="270" t="s">
        <v>38</v>
      </c>
      <c r="O58" s="270" t="s">
        <v>38</v>
      </c>
      <c r="P58" s="270" t="s">
        <v>38</v>
      </c>
      <c r="Q58" s="270" t="s">
        <v>38</v>
      </c>
      <c r="R58" s="270" t="s">
        <v>38</v>
      </c>
      <c r="S58" s="270" t="s">
        <v>38</v>
      </c>
      <c r="T58" s="270" t="s">
        <v>38</v>
      </c>
      <c r="U58" s="270" t="s">
        <v>38</v>
      </c>
      <c r="V58" s="270" t="s">
        <v>38</v>
      </c>
      <c r="W58" s="270" t="s">
        <v>38</v>
      </c>
      <c r="X58" s="265"/>
      <c r="Y58" s="265"/>
      <c r="Z58" s="265"/>
      <c r="AA58" s="265"/>
      <c r="AB58" s="265"/>
      <c r="AC58" s="265"/>
      <c r="AD58" s="265"/>
      <c r="AE58" s="265"/>
      <c r="AF58" s="265"/>
      <c r="AG58" s="265"/>
      <c r="AH58" s="265"/>
      <c r="AI58" s="265"/>
      <c r="AJ58" s="265"/>
      <c r="AK58" s="265"/>
      <c r="AL58" s="265"/>
      <c r="AM58" s="265"/>
      <c r="AN58" s="265"/>
      <c r="AO58" s="265"/>
      <c r="AP58" s="265"/>
      <c r="AQ58" s="265"/>
      <c r="AR58" s="265"/>
      <c r="AS58" s="265"/>
      <c r="AT58" s="265"/>
      <c r="AU58" s="265"/>
      <c r="AV58" s="265"/>
      <c r="AW58" s="265"/>
      <c r="AX58" s="267"/>
      <c r="AY58" s="267"/>
    </row>
    <row r="59" spans="1:51" s="268" customFormat="1">
      <c r="A59" s="354"/>
      <c r="B59" s="269" t="s">
        <v>75</v>
      </c>
      <c r="C59" s="350" t="s">
        <v>82</v>
      </c>
      <c r="D59" s="351"/>
      <c r="E59" s="364"/>
      <c r="F59" s="270" t="s">
        <v>38</v>
      </c>
      <c r="G59" s="270" t="s">
        <v>38</v>
      </c>
      <c r="H59" s="270" t="s">
        <v>38</v>
      </c>
      <c r="I59" s="270" t="s">
        <v>38</v>
      </c>
      <c r="J59" s="270" t="s">
        <v>38</v>
      </c>
      <c r="K59" s="270" t="s">
        <v>38</v>
      </c>
      <c r="L59" s="270" t="s">
        <v>38</v>
      </c>
      <c r="M59" s="270" t="s">
        <v>38</v>
      </c>
      <c r="N59" s="270" t="s">
        <v>38</v>
      </c>
      <c r="O59" s="270" t="s">
        <v>38</v>
      </c>
      <c r="P59" s="270" t="s">
        <v>38</v>
      </c>
      <c r="Q59" s="270" t="s">
        <v>38</v>
      </c>
      <c r="R59" s="270" t="s">
        <v>38</v>
      </c>
      <c r="S59" s="270" t="s">
        <v>38</v>
      </c>
      <c r="T59" s="270" t="s">
        <v>38</v>
      </c>
      <c r="U59" s="270" t="s">
        <v>38</v>
      </c>
      <c r="V59" s="270" t="s">
        <v>38</v>
      </c>
      <c r="W59" s="270" t="s">
        <v>38</v>
      </c>
      <c r="X59" s="265"/>
      <c r="Y59" s="265"/>
      <c r="Z59" s="265"/>
      <c r="AA59" s="265"/>
      <c r="AB59" s="265"/>
      <c r="AC59" s="265"/>
      <c r="AD59" s="265"/>
      <c r="AE59" s="265"/>
      <c r="AF59" s="265"/>
      <c r="AG59" s="265"/>
      <c r="AH59" s="265"/>
      <c r="AI59" s="265"/>
      <c r="AJ59" s="265"/>
      <c r="AK59" s="265"/>
      <c r="AL59" s="265"/>
      <c r="AM59" s="265"/>
      <c r="AN59" s="265"/>
      <c r="AO59" s="265"/>
      <c r="AP59" s="265"/>
      <c r="AQ59" s="265"/>
      <c r="AR59" s="265"/>
      <c r="AS59" s="265"/>
      <c r="AT59" s="265"/>
      <c r="AU59" s="265"/>
      <c r="AV59" s="265"/>
      <c r="AW59" s="265"/>
      <c r="AX59" s="267"/>
      <c r="AY59" s="267"/>
    </row>
    <row r="60" spans="1:51" s="268" customFormat="1">
      <c r="A60" s="354"/>
      <c r="B60" s="269" t="s">
        <v>77</v>
      </c>
      <c r="C60" s="350" t="s">
        <v>83</v>
      </c>
      <c r="D60" s="351"/>
      <c r="E60" s="364"/>
      <c r="F60" s="270" t="s">
        <v>38</v>
      </c>
      <c r="G60" s="270" t="s">
        <v>38</v>
      </c>
      <c r="H60" s="270" t="s">
        <v>38</v>
      </c>
      <c r="I60" s="270" t="s">
        <v>38</v>
      </c>
      <c r="J60" s="270" t="s">
        <v>38</v>
      </c>
      <c r="K60" s="270" t="s">
        <v>38</v>
      </c>
      <c r="L60" s="270" t="s">
        <v>38</v>
      </c>
      <c r="M60" s="270" t="s">
        <v>38</v>
      </c>
      <c r="N60" s="270" t="s">
        <v>38</v>
      </c>
      <c r="O60" s="270" t="s">
        <v>38</v>
      </c>
      <c r="P60" s="270" t="s">
        <v>38</v>
      </c>
      <c r="Q60" s="270" t="s">
        <v>38</v>
      </c>
      <c r="R60" s="270" t="s">
        <v>38</v>
      </c>
      <c r="S60" s="270" t="s">
        <v>38</v>
      </c>
      <c r="T60" s="270" t="s">
        <v>38</v>
      </c>
      <c r="U60" s="270" t="s">
        <v>38</v>
      </c>
      <c r="V60" s="270" t="s">
        <v>38</v>
      </c>
      <c r="W60" s="270" t="s">
        <v>38</v>
      </c>
      <c r="X60" s="265"/>
      <c r="Y60" s="265"/>
      <c r="Z60" s="265"/>
      <c r="AA60" s="265"/>
      <c r="AB60" s="265"/>
      <c r="AC60" s="265"/>
      <c r="AD60" s="265"/>
      <c r="AE60" s="265"/>
      <c r="AF60" s="265"/>
      <c r="AG60" s="265"/>
      <c r="AH60" s="265"/>
      <c r="AI60" s="265"/>
      <c r="AJ60" s="265"/>
      <c r="AK60" s="265"/>
      <c r="AL60" s="265"/>
      <c r="AM60" s="265"/>
      <c r="AN60" s="265"/>
      <c r="AO60" s="265"/>
      <c r="AP60" s="265"/>
      <c r="AQ60" s="265"/>
      <c r="AR60" s="265"/>
      <c r="AS60" s="265"/>
      <c r="AT60" s="265"/>
      <c r="AU60" s="265"/>
      <c r="AV60" s="265"/>
      <c r="AW60" s="265"/>
      <c r="AX60" s="267"/>
      <c r="AY60" s="267"/>
    </row>
    <row r="61" spans="1:51" s="268" customFormat="1">
      <c r="A61" s="354"/>
      <c r="B61" s="269" t="s">
        <v>84</v>
      </c>
      <c r="C61" s="350" t="s">
        <v>85</v>
      </c>
      <c r="D61" s="351"/>
      <c r="E61" s="364"/>
      <c r="F61" s="270" t="s">
        <v>38</v>
      </c>
      <c r="G61" s="270" t="s">
        <v>38</v>
      </c>
      <c r="H61" s="270" t="s">
        <v>38</v>
      </c>
      <c r="I61" s="270" t="s">
        <v>38</v>
      </c>
      <c r="J61" s="270" t="s">
        <v>38</v>
      </c>
      <c r="K61" s="270" t="s">
        <v>38</v>
      </c>
      <c r="L61" s="270" t="s">
        <v>38</v>
      </c>
      <c r="M61" s="270" t="s">
        <v>38</v>
      </c>
      <c r="N61" s="270" t="s">
        <v>38</v>
      </c>
      <c r="O61" s="270" t="s">
        <v>38</v>
      </c>
      <c r="P61" s="270" t="s">
        <v>38</v>
      </c>
      <c r="Q61" s="270" t="s">
        <v>38</v>
      </c>
      <c r="R61" s="270" t="s">
        <v>38</v>
      </c>
      <c r="S61" s="270" t="s">
        <v>38</v>
      </c>
      <c r="T61" s="270" t="s">
        <v>38</v>
      </c>
      <c r="U61" s="270" t="s">
        <v>38</v>
      </c>
      <c r="V61" s="270" t="s">
        <v>38</v>
      </c>
      <c r="W61" s="270" t="s">
        <v>38</v>
      </c>
      <c r="X61" s="265"/>
      <c r="Y61" s="265"/>
      <c r="Z61" s="265"/>
      <c r="AA61" s="265"/>
      <c r="AB61" s="265"/>
      <c r="AC61" s="265"/>
      <c r="AD61" s="265"/>
      <c r="AE61" s="265"/>
      <c r="AF61" s="265"/>
      <c r="AG61" s="265"/>
      <c r="AH61" s="265"/>
      <c r="AI61" s="265"/>
      <c r="AJ61" s="265"/>
      <c r="AK61" s="265"/>
      <c r="AL61" s="265"/>
      <c r="AM61" s="265"/>
      <c r="AN61" s="265"/>
      <c r="AO61" s="265"/>
      <c r="AP61" s="265"/>
      <c r="AQ61" s="265"/>
      <c r="AR61" s="265"/>
      <c r="AS61" s="265"/>
      <c r="AT61" s="265"/>
      <c r="AU61" s="265"/>
      <c r="AV61" s="265"/>
      <c r="AW61" s="265"/>
      <c r="AX61" s="267"/>
      <c r="AY61" s="267"/>
    </row>
    <row r="62" spans="1:51" s="268" customFormat="1">
      <c r="A62" s="354"/>
      <c r="B62" s="269" t="s">
        <v>86</v>
      </c>
      <c r="C62" s="350" t="s">
        <v>87</v>
      </c>
      <c r="D62" s="351"/>
      <c r="E62" s="364"/>
      <c r="F62" s="270" t="s">
        <v>38</v>
      </c>
      <c r="G62" s="270" t="s">
        <v>38</v>
      </c>
      <c r="H62" s="270" t="s">
        <v>38</v>
      </c>
      <c r="I62" s="270" t="s">
        <v>38</v>
      </c>
      <c r="J62" s="270" t="s">
        <v>38</v>
      </c>
      <c r="K62" s="270" t="s">
        <v>38</v>
      </c>
      <c r="L62" s="270" t="s">
        <v>38</v>
      </c>
      <c r="M62" s="270" t="s">
        <v>38</v>
      </c>
      <c r="N62" s="270" t="s">
        <v>38</v>
      </c>
      <c r="O62" s="270" t="s">
        <v>38</v>
      </c>
      <c r="P62" s="270" t="s">
        <v>38</v>
      </c>
      <c r="Q62" s="270" t="s">
        <v>38</v>
      </c>
      <c r="R62" s="270" t="s">
        <v>38</v>
      </c>
      <c r="S62" s="270" t="s">
        <v>38</v>
      </c>
      <c r="T62" s="270" t="s">
        <v>38</v>
      </c>
      <c r="U62" s="270" t="s">
        <v>38</v>
      </c>
      <c r="V62" s="270" t="s">
        <v>38</v>
      </c>
      <c r="W62" s="270" t="s">
        <v>38</v>
      </c>
      <c r="X62" s="265"/>
      <c r="Y62" s="265"/>
      <c r="Z62" s="265"/>
      <c r="AA62" s="265"/>
      <c r="AB62" s="265"/>
      <c r="AC62" s="265"/>
      <c r="AD62" s="265"/>
      <c r="AE62" s="265"/>
      <c r="AF62" s="265"/>
      <c r="AG62" s="265"/>
      <c r="AH62" s="265"/>
      <c r="AI62" s="265"/>
      <c r="AJ62" s="265"/>
      <c r="AK62" s="265"/>
      <c r="AL62" s="265"/>
      <c r="AM62" s="265"/>
      <c r="AN62" s="265"/>
      <c r="AO62" s="265"/>
      <c r="AP62" s="265"/>
      <c r="AQ62" s="265"/>
      <c r="AR62" s="265"/>
      <c r="AS62" s="265"/>
      <c r="AT62" s="265"/>
      <c r="AU62" s="265"/>
      <c r="AV62" s="265"/>
      <c r="AW62" s="265"/>
      <c r="AX62" s="267"/>
      <c r="AY62" s="267"/>
    </row>
    <row r="63" spans="1:51" s="268" customFormat="1">
      <c r="A63" s="354"/>
      <c r="B63" s="269" t="s">
        <v>89</v>
      </c>
      <c r="C63" s="350" t="s">
        <v>90</v>
      </c>
      <c r="D63" s="351"/>
      <c r="E63" s="364"/>
      <c r="F63" s="270" t="s">
        <v>38</v>
      </c>
      <c r="G63" s="270" t="s">
        <v>38</v>
      </c>
      <c r="H63" s="270" t="s">
        <v>38</v>
      </c>
      <c r="I63" s="270" t="s">
        <v>38</v>
      </c>
      <c r="J63" s="270" t="s">
        <v>38</v>
      </c>
      <c r="K63" s="270" t="s">
        <v>38</v>
      </c>
      <c r="L63" s="270" t="s">
        <v>38</v>
      </c>
      <c r="M63" s="270" t="s">
        <v>38</v>
      </c>
      <c r="N63" s="270" t="s">
        <v>38</v>
      </c>
      <c r="O63" s="270" t="s">
        <v>38</v>
      </c>
      <c r="P63" s="270" t="s">
        <v>38</v>
      </c>
      <c r="Q63" s="270" t="s">
        <v>38</v>
      </c>
      <c r="R63" s="270" t="s">
        <v>38</v>
      </c>
      <c r="S63" s="270" t="s">
        <v>38</v>
      </c>
      <c r="T63" s="270" t="s">
        <v>38</v>
      </c>
      <c r="U63" s="270" t="s">
        <v>38</v>
      </c>
      <c r="V63" s="270" t="s">
        <v>38</v>
      </c>
      <c r="W63" s="270" t="s">
        <v>38</v>
      </c>
      <c r="X63" s="265"/>
      <c r="Y63" s="265"/>
      <c r="Z63" s="265"/>
      <c r="AA63" s="265"/>
      <c r="AB63" s="265"/>
      <c r="AC63" s="265"/>
      <c r="AD63" s="265"/>
      <c r="AE63" s="265"/>
      <c r="AF63" s="265"/>
      <c r="AG63" s="265"/>
      <c r="AH63" s="265"/>
      <c r="AI63" s="265"/>
      <c r="AJ63" s="265"/>
      <c r="AK63" s="265"/>
      <c r="AL63" s="265"/>
      <c r="AM63" s="265"/>
      <c r="AN63" s="265"/>
      <c r="AO63" s="265"/>
      <c r="AP63" s="265"/>
      <c r="AQ63" s="265"/>
      <c r="AR63" s="265"/>
      <c r="AS63" s="265"/>
      <c r="AT63" s="265"/>
      <c r="AU63" s="265"/>
      <c r="AV63" s="265"/>
      <c r="AW63" s="265"/>
      <c r="AX63" s="267"/>
      <c r="AY63" s="267"/>
    </row>
    <row r="64" spans="1:51" s="268" customFormat="1">
      <c r="A64" s="354"/>
      <c r="B64" s="269" t="s">
        <v>91</v>
      </c>
      <c r="C64" s="350" t="s">
        <v>92</v>
      </c>
      <c r="D64" s="352"/>
      <c r="E64" s="364"/>
      <c r="F64" s="270" t="s">
        <v>38</v>
      </c>
      <c r="G64" s="270" t="s">
        <v>38</v>
      </c>
      <c r="H64" s="270" t="s">
        <v>38</v>
      </c>
      <c r="I64" s="270" t="s">
        <v>38</v>
      </c>
      <c r="J64" s="270" t="s">
        <v>38</v>
      </c>
      <c r="K64" s="270" t="s">
        <v>38</v>
      </c>
      <c r="L64" s="270" t="s">
        <v>38</v>
      </c>
      <c r="M64" s="270" t="s">
        <v>38</v>
      </c>
      <c r="N64" s="270" t="s">
        <v>38</v>
      </c>
      <c r="O64" s="270" t="s">
        <v>38</v>
      </c>
      <c r="P64" s="270" t="s">
        <v>38</v>
      </c>
      <c r="Q64" s="270" t="s">
        <v>38</v>
      </c>
      <c r="R64" s="270" t="s">
        <v>38</v>
      </c>
      <c r="S64" s="270" t="s">
        <v>38</v>
      </c>
      <c r="T64" s="270" t="s">
        <v>38</v>
      </c>
      <c r="U64" s="270" t="s">
        <v>38</v>
      </c>
      <c r="V64" s="270" t="s">
        <v>38</v>
      </c>
      <c r="W64" s="270" t="s">
        <v>38</v>
      </c>
      <c r="X64" s="265"/>
      <c r="Y64" s="265"/>
      <c r="Z64" s="265"/>
      <c r="AA64" s="265"/>
      <c r="AB64" s="265"/>
      <c r="AC64" s="265"/>
      <c r="AD64" s="265"/>
      <c r="AE64" s="265"/>
      <c r="AF64" s="265"/>
      <c r="AG64" s="265"/>
      <c r="AH64" s="265"/>
      <c r="AI64" s="265"/>
      <c r="AJ64" s="265"/>
      <c r="AK64" s="265"/>
      <c r="AL64" s="265"/>
      <c r="AM64" s="265"/>
      <c r="AN64" s="265"/>
      <c r="AO64" s="265"/>
      <c r="AP64" s="265"/>
      <c r="AQ64" s="265"/>
      <c r="AR64" s="265"/>
      <c r="AS64" s="265"/>
      <c r="AT64" s="265"/>
      <c r="AU64" s="265"/>
      <c r="AV64" s="265"/>
      <c r="AW64" s="265"/>
      <c r="AX64" s="267"/>
      <c r="AY64" s="267"/>
    </row>
    <row r="65" spans="1:51" s="268" customFormat="1">
      <c r="A65" s="354"/>
      <c r="B65" s="269" t="s">
        <v>93</v>
      </c>
      <c r="C65" s="350" t="s">
        <v>94</v>
      </c>
      <c r="D65" s="352"/>
      <c r="E65" s="365"/>
      <c r="F65" s="270" t="s">
        <v>38</v>
      </c>
      <c r="G65" s="270" t="s">
        <v>38</v>
      </c>
      <c r="H65" s="270" t="s">
        <v>38</v>
      </c>
      <c r="I65" s="270" t="s">
        <v>38</v>
      </c>
      <c r="J65" s="270" t="s">
        <v>38</v>
      </c>
      <c r="K65" s="270" t="s">
        <v>38</v>
      </c>
      <c r="L65" s="270" t="s">
        <v>38</v>
      </c>
      <c r="M65" s="270" t="s">
        <v>38</v>
      </c>
      <c r="N65" s="270" t="s">
        <v>38</v>
      </c>
      <c r="O65" s="270" t="s">
        <v>38</v>
      </c>
      <c r="P65" s="270" t="s">
        <v>38</v>
      </c>
      <c r="Q65" s="270" t="s">
        <v>38</v>
      </c>
      <c r="R65" s="270" t="s">
        <v>38</v>
      </c>
      <c r="S65" s="270" t="s">
        <v>38</v>
      </c>
      <c r="T65" s="270" t="s">
        <v>38</v>
      </c>
      <c r="U65" s="270" t="s">
        <v>38</v>
      </c>
      <c r="V65" s="270" t="s">
        <v>38</v>
      </c>
      <c r="W65" s="270" t="s">
        <v>38</v>
      </c>
      <c r="X65" s="265"/>
      <c r="Y65" s="265"/>
      <c r="Z65" s="265"/>
      <c r="AA65" s="265"/>
      <c r="AB65" s="265"/>
      <c r="AC65" s="265"/>
      <c r="AD65" s="265"/>
      <c r="AE65" s="265"/>
      <c r="AF65" s="265"/>
      <c r="AG65" s="265"/>
      <c r="AH65" s="265"/>
      <c r="AI65" s="265"/>
      <c r="AJ65" s="265"/>
      <c r="AK65" s="265"/>
      <c r="AL65" s="265"/>
      <c r="AM65" s="265"/>
      <c r="AN65" s="265"/>
      <c r="AO65" s="265"/>
      <c r="AP65" s="265"/>
      <c r="AQ65" s="265"/>
      <c r="AR65" s="265"/>
      <c r="AS65" s="265"/>
      <c r="AT65" s="265"/>
      <c r="AU65" s="265"/>
      <c r="AV65" s="265"/>
      <c r="AW65" s="265"/>
      <c r="AX65" s="267"/>
      <c r="AY65" s="267"/>
    </row>
    <row r="66" spans="1:51">
      <c r="A66" s="271"/>
      <c r="B66" s="103"/>
      <c r="C66" s="272" t="s">
        <v>108</v>
      </c>
      <c r="D66" s="273" t="s">
        <v>109</v>
      </c>
      <c r="E66" s="114"/>
      <c r="F66" s="114"/>
      <c r="G66" s="114"/>
      <c r="H66" s="114"/>
      <c r="I66" s="114"/>
      <c r="J66" s="114"/>
      <c r="K66" s="114"/>
      <c r="L66" s="114"/>
      <c r="M66" s="114"/>
      <c r="N66" s="114"/>
      <c r="O66" s="114"/>
      <c r="P66" s="114"/>
      <c r="Q66" s="114"/>
      <c r="R66" s="114"/>
      <c r="S66" s="114"/>
      <c r="T66" s="114"/>
      <c r="U66" s="114"/>
      <c r="V66" s="114"/>
      <c r="W66" s="114"/>
      <c r="X66" s="114"/>
      <c r="Y66" s="114"/>
      <c r="Z66" s="114"/>
      <c r="AA66" s="114"/>
      <c r="AB66" s="114"/>
      <c r="AC66" s="114"/>
      <c r="AD66" s="114"/>
      <c r="AE66" s="114"/>
      <c r="AF66" s="114"/>
      <c r="AG66" s="114"/>
      <c r="AH66" s="114"/>
      <c r="AI66" s="114"/>
      <c r="AJ66" s="114"/>
      <c r="AK66" s="114"/>
      <c r="AL66" s="114"/>
      <c r="AM66" s="114"/>
      <c r="AN66" s="114"/>
      <c r="AO66" s="114"/>
      <c r="AP66" s="114"/>
      <c r="AQ66" s="114"/>
      <c r="AR66" s="114"/>
      <c r="AS66" s="114"/>
      <c r="AT66" s="114"/>
      <c r="AU66" s="114"/>
      <c r="AV66" s="114"/>
      <c r="AW66" s="114"/>
      <c r="AX66" s="115"/>
      <c r="AY66" s="115"/>
    </row>
    <row r="67" spans="1:51">
      <c r="A67" s="271"/>
      <c r="B67" s="114"/>
      <c r="C67" s="272"/>
      <c r="D67" s="273" t="s">
        <v>110</v>
      </c>
      <c r="E67" s="114"/>
      <c r="F67" s="114"/>
      <c r="G67" s="114"/>
      <c r="H67" s="114"/>
      <c r="I67" s="114"/>
      <c r="J67" s="114"/>
      <c r="K67" s="114"/>
      <c r="L67" s="114"/>
      <c r="M67" s="114"/>
      <c r="N67" s="114"/>
      <c r="O67" s="114"/>
      <c r="P67" s="114"/>
      <c r="Q67" s="114"/>
      <c r="R67" s="114"/>
      <c r="S67" s="114"/>
      <c r="T67" s="114"/>
      <c r="U67" s="114"/>
      <c r="V67" s="114"/>
      <c r="W67" s="114"/>
      <c r="X67" s="114"/>
      <c r="Y67" s="114"/>
      <c r="Z67" s="114"/>
      <c r="AA67" s="114"/>
      <c r="AB67" s="114"/>
      <c r="AC67" s="114"/>
      <c r="AD67" s="114"/>
      <c r="AE67" s="114"/>
      <c r="AF67" s="114"/>
      <c r="AG67" s="114"/>
      <c r="AH67" s="114"/>
      <c r="AI67" s="114"/>
      <c r="AJ67" s="114"/>
      <c r="AK67" s="114"/>
      <c r="AL67" s="114"/>
      <c r="AM67" s="114"/>
      <c r="AN67" s="114"/>
      <c r="AO67" s="114"/>
      <c r="AP67" s="114"/>
      <c r="AQ67" s="114"/>
      <c r="AR67" s="114"/>
      <c r="AS67" s="114"/>
      <c r="AT67" s="114"/>
      <c r="AU67" s="114"/>
      <c r="AV67" s="114"/>
      <c r="AW67" s="114"/>
      <c r="AX67" s="115"/>
      <c r="AY67" s="115"/>
    </row>
    <row r="68" spans="1:51">
      <c r="A68" s="271"/>
      <c r="B68" s="114"/>
      <c r="C68" s="272"/>
      <c r="D68" s="273" t="s">
        <v>111</v>
      </c>
      <c r="E68" s="114"/>
      <c r="F68" s="114"/>
      <c r="G68" s="114"/>
      <c r="H68" s="114"/>
      <c r="I68" s="114"/>
      <c r="J68" s="114"/>
      <c r="K68" s="114"/>
      <c r="L68" s="114"/>
      <c r="M68" s="114"/>
      <c r="N68" s="114"/>
      <c r="O68" s="114"/>
      <c r="P68" s="114"/>
      <c r="Q68" s="114"/>
      <c r="R68" s="114"/>
      <c r="S68" s="114"/>
      <c r="T68" s="114"/>
      <c r="U68" s="114"/>
      <c r="V68" s="114"/>
      <c r="W68" s="114"/>
      <c r="X68" s="114"/>
      <c r="Y68" s="114"/>
      <c r="Z68" s="114"/>
      <c r="AA68" s="114"/>
      <c r="AB68" s="114"/>
      <c r="AC68" s="114"/>
      <c r="AD68" s="114"/>
      <c r="AE68" s="114"/>
      <c r="AF68" s="114"/>
      <c r="AG68" s="114"/>
      <c r="AH68" s="114"/>
      <c r="AI68" s="114"/>
      <c r="AJ68" s="114"/>
      <c r="AK68" s="114"/>
      <c r="AL68" s="114"/>
      <c r="AM68" s="114"/>
      <c r="AN68" s="114"/>
      <c r="AO68" s="114"/>
      <c r="AP68" s="114"/>
      <c r="AQ68" s="114"/>
      <c r="AR68" s="114"/>
      <c r="AS68" s="114"/>
      <c r="AT68" s="114"/>
      <c r="AU68" s="114"/>
      <c r="AV68" s="114"/>
      <c r="AW68" s="114"/>
      <c r="AX68" s="115"/>
      <c r="AY68" s="115"/>
    </row>
    <row r="69" spans="1:51">
      <c r="A69" s="271"/>
      <c r="B69" s="114"/>
      <c r="C69" s="272" t="s">
        <v>112</v>
      </c>
      <c r="D69" s="114"/>
      <c r="E69" s="114"/>
      <c r="F69" s="114"/>
      <c r="G69" s="114"/>
      <c r="H69" s="114"/>
      <c r="I69" s="114"/>
      <c r="J69" s="114"/>
      <c r="K69" s="114"/>
      <c r="L69" s="114"/>
      <c r="M69" s="114"/>
      <c r="N69" s="114"/>
      <c r="O69" s="114"/>
      <c r="P69" s="114"/>
      <c r="Q69" s="114"/>
      <c r="R69" s="114"/>
      <c r="S69" s="114"/>
      <c r="T69" s="114"/>
      <c r="U69" s="114"/>
      <c r="V69" s="114"/>
      <c r="W69" s="114"/>
      <c r="X69" s="114"/>
      <c r="Y69" s="114"/>
      <c r="Z69" s="114"/>
      <c r="AA69" s="114"/>
      <c r="AB69" s="114"/>
      <c r="AC69" s="114"/>
      <c r="AD69" s="114"/>
      <c r="AE69" s="114"/>
      <c r="AF69" s="114"/>
      <c r="AG69" s="114"/>
      <c r="AH69" s="114"/>
      <c r="AI69" s="114"/>
      <c r="AJ69" s="114"/>
      <c r="AK69" s="114"/>
      <c r="AL69" s="114"/>
      <c r="AM69" s="114"/>
      <c r="AN69" s="114"/>
      <c r="AO69" s="114"/>
      <c r="AP69" s="114"/>
      <c r="AQ69" s="114"/>
      <c r="AR69" s="114"/>
      <c r="AS69" s="114"/>
      <c r="AT69" s="114"/>
      <c r="AU69" s="114"/>
      <c r="AV69" s="114"/>
      <c r="AW69" s="114"/>
      <c r="AX69" s="115"/>
      <c r="AY69" s="115"/>
    </row>
    <row r="70" spans="1:51">
      <c r="A70" s="271"/>
      <c r="B70" s="114"/>
      <c r="C70" s="274" t="s">
        <v>113</v>
      </c>
      <c r="D70" s="360" t="s">
        <v>114</v>
      </c>
      <c r="E70" s="360"/>
      <c r="F70" s="360"/>
      <c r="G70" s="360"/>
      <c r="H70" s="360"/>
      <c r="I70" s="360"/>
      <c r="J70" s="360"/>
      <c r="K70" s="360"/>
      <c r="L70" s="360"/>
      <c r="M70" s="360"/>
      <c r="N70" s="360"/>
      <c r="O70" s="361"/>
      <c r="P70" s="114"/>
      <c r="Q70" s="114"/>
      <c r="R70" s="114"/>
      <c r="S70" s="114"/>
      <c r="T70" s="114"/>
      <c r="U70" s="114"/>
      <c r="V70" s="114"/>
      <c r="W70" s="114"/>
      <c r="X70" s="114"/>
      <c r="Y70" s="114"/>
      <c r="Z70" s="114"/>
      <c r="AA70" s="114"/>
      <c r="AB70" s="114"/>
      <c r="AC70" s="114"/>
      <c r="AD70" s="114"/>
      <c r="AE70" s="114"/>
      <c r="AF70" s="114"/>
      <c r="AG70" s="114"/>
      <c r="AH70" s="114"/>
      <c r="AI70" s="114"/>
      <c r="AJ70" s="114"/>
      <c r="AK70" s="114"/>
      <c r="AL70" s="114"/>
      <c r="AM70" s="114"/>
      <c r="AN70" s="114"/>
      <c r="AO70" s="114"/>
      <c r="AP70" s="114"/>
      <c r="AQ70" s="114"/>
      <c r="AR70" s="114"/>
      <c r="AS70" s="114"/>
      <c r="AT70" s="114"/>
      <c r="AU70" s="114"/>
      <c r="AV70" s="114"/>
      <c r="AW70" s="114"/>
      <c r="AX70" s="115"/>
      <c r="AY70" s="115"/>
    </row>
    <row r="71" spans="1:51">
      <c r="A71" s="271"/>
      <c r="B71" s="114"/>
      <c r="C71" s="126" t="s">
        <v>81</v>
      </c>
      <c r="D71" s="360" t="s">
        <v>115</v>
      </c>
      <c r="E71" s="360"/>
      <c r="F71" s="360"/>
      <c r="G71" s="360"/>
      <c r="H71" s="360"/>
      <c r="I71" s="360"/>
      <c r="J71" s="360"/>
      <c r="K71" s="360"/>
      <c r="L71" s="360"/>
      <c r="M71" s="360"/>
      <c r="N71" s="360"/>
      <c r="O71" s="361"/>
      <c r="P71" s="114"/>
      <c r="Q71" s="114"/>
      <c r="R71" s="114"/>
      <c r="S71" s="114"/>
      <c r="T71" s="114"/>
      <c r="U71" s="114"/>
      <c r="V71" s="114"/>
      <c r="W71" s="114"/>
      <c r="X71" s="114"/>
      <c r="Y71" s="114"/>
      <c r="Z71" s="114"/>
      <c r="AA71" s="114"/>
      <c r="AB71" s="114"/>
      <c r="AC71" s="114"/>
      <c r="AD71" s="114"/>
      <c r="AE71" s="114"/>
      <c r="AF71" s="114"/>
      <c r="AG71" s="114"/>
      <c r="AH71" s="114"/>
      <c r="AI71" s="114"/>
      <c r="AJ71" s="114"/>
      <c r="AK71" s="114"/>
      <c r="AL71" s="114"/>
      <c r="AM71" s="114"/>
      <c r="AN71" s="114"/>
      <c r="AO71" s="114"/>
      <c r="AP71" s="114"/>
      <c r="AQ71" s="114"/>
      <c r="AR71" s="114"/>
      <c r="AS71" s="114"/>
      <c r="AT71" s="114"/>
      <c r="AU71" s="114"/>
      <c r="AV71" s="114"/>
      <c r="AW71" s="114"/>
      <c r="AX71" s="115"/>
      <c r="AY71" s="115"/>
    </row>
    <row r="72" spans="1:51">
      <c r="A72" s="271"/>
      <c r="B72" s="114"/>
      <c r="C72" s="126" t="s">
        <v>116</v>
      </c>
      <c r="D72" s="360" t="s">
        <v>117</v>
      </c>
      <c r="E72" s="360"/>
      <c r="F72" s="360"/>
      <c r="G72" s="360"/>
      <c r="H72" s="360"/>
      <c r="I72" s="360"/>
      <c r="J72" s="360"/>
      <c r="K72" s="360"/>
      <c r="L72" s="360"/>
      <c r="M72" s="360"/>
      <c r="N72" s="360"/>
      <c r="O72" s="361"/>
      <c r="P72" s="114"/>
      <c r="Q72" s="114"/>
      <c r="R72" s="114"/>
      <c r="S72" s="114"/>
      <c r="T72" s="114"/>
      <c r="U72" s="114"/>
      <c r="V72" s="114"/>
      <c r="W72" s="114"/>
      <c r="X72" s="114"/>
      <c r="Y72" s="114"/>
      <c r="Z72" s="114"/>
      <c r="AA72" s="114"/>
      <c r="AB72" s="114"/>
      <c r="AC72" s="114"/>
      <c r="AD72" s="114"/>
      <c r="AE72" s="114"/>
      <c r="AF72" s="114"/>
      <c r="AG72" s="114"/>
      <c r="AH72" s="114"/>
      <c r="AI72" s="114"/>
      <c r="AJ72" s="114"/>
      <c r="AK72" s="114"/>
      <c r="AL72" s="114"/>
      <c r="AM72" s="114"/>
      <c r="AN72" s="114"/>
      <c r="AO72" s="114"/>
      <c r="AP72" s="114"/>
      <c r="AQ72" s="114"/>
      <c r="AR72" s="114"/>
      <c r="AS72" s="114"/>
      <c r="AT72" s="114"/>
      <c r="AU72" s="114"/>
      <c r="AV72" s="114"/>
      <c r="AW72" s="114"/>
      <c r="AX72" s="115"/>
      <c r="AY72" s="115"/>
    </row>
    <row r="73" spans="1:51">
      <c r="A73" s="271"/>
      <c r="B73" s="114"/>
      <c r="C73" s="126" t="s">
        <v>118</v>
      </c>
      <c r="D73" s="360" t="s">
        <v>119</v>
      </c>
      <c r="E73" s="360"/>
      <c r="F73" s="360"/>
      <c r="G73" s="360"/>
      <c r="H73" s="360"/>
      <c r="I73" s="360"/>
      <c r="J73" s="360"/>
      <c r="K73" s="360"/>
      <c r="L73" s="360"/>
      <c r="M73" s="360"/>
      <c r="N73" s="360"/>
      <c r="O73" s="361"/>
      <c r="P73" s="114"/>
      <c r="Q73" s="114"/>
      <c r="R73" s="114"/>
      <c r="S73" s="114"/>
      <c r="T73" s="114"/>
      <c r="U73" s="114"/>
      <c r="V73" s="114"/>
      <c r="W73" s="114"/>
      <c r="X73" s="114"/>
      <c r="Y73" s="114"/>
      <c r="Z73" s="114"/>
      <c r="AA73" s="114"/>
      <c r="AB73" s="114"/>
      <c r="AC73" s="114"/>
      <c r="AD73" s="114"/>
      <c r="AE73" s="114"/>
      <c r="AF73" s="114"/>
      <c r="AG73" s="114"/>
      <c r="AH73" s="114"/>
      <c r="AI73" s="114"/>
      <c r="AJ73" s="114"/>
      <c r="AK73" s="114"/>
      <c r="AL73" s="114"/>
      <c r="AM73" s="114"/>
      <c r="AN73" s="114"/>
      <c r="AO73" s="114"/>
      <c r="AP73" s="114"/>
      <c r="AQ73" s="114"/>
      <c r="AR73" s="114"/>
      <c r="AS73" s="114"/>
      <c r="AT73" s="114"/>
      <c r="AU73" s="114"/>
      <c r="AV73" s="114"/>
      <c r="AW73" s="114"/>
      <c r="AX73" s="115"/>
      <c r="AY73" s="115"/>
    </row>
    <row r="74" spans="1:51">
      <c r="A74" s="271"/>
      <c r="B74" s="114"/>
      <c r="C74" s="126" t="s">
        <v>88</v>
      </c>
      <c r="D74" s="362" t="s">
        <v>120</v>
      </c>
      <c r="E74" s="360"/>
      <c r="F74" s="360"/>
      <c r="G74" s="360"/>
      <c r="H74" s="360"/>
      <c r="I74" s="360"/>
      <c r="J74" s="360"/>
      <c r="K74" s="360"/>
      <c r="L74" s="360"/>
      <c r="M74" s="360"/>
      <c r="N74" s="360"/>
      <c r="O74" s="361"/>
      <c r="P74" s="114"/>
      <c r="Q74" s="114"/>
      <c r="R74" s="114"/>
      <c r="S74" s="114"/>
      <c r="T74" s="114"/>
      <c r="U74" s="114"/>
      <c r="V74" s="114"/>
      <c r="W74" s="114"/>
      <c r="X74" s="114"/>
      <c r="Y74" s="114"/>
      <c r="Z74" s="114"/>
      <c r="AA74" s="114"/>
      <c r="AB74" s="114"/>
      <c r="AC74" s="114"/>
      <c r="AD74" s="114"/>
      <c r="AE74" s="114"/>
      <c r="AF74" s="114"/>
      <c r="AG74" s="114"/>
      <c r="AH74" s="114"/>
      <c r="AI74" s="114"/>
      <c r="AJ74" s="114"/>
      <c r="AK74" s="114"/>
      <c r="AL74" s="114"/>
      <c r="AM74" s="114"/>
      <c r="AN74" s="114"/>
      <c r="AO74" s="114"/>
      <c r="AP74" s="114"/>
      <c r="AQ74" s="114"/>
      <c r="AR74" s="114"/>
      <c r="AS74" s="114"/>
      <c r="AT74" s="114"/>
      <c r="AU74" s="114"/>
      <c r="AV74" s="114"/>
      <c r="AW74" s="114"/>
      <c r="AX74" s="115"/>
      <c r="AY74" s="115"/>
    </row>
    <row r="75" spans="1:51" ht="28.5" customHeight="1">
      <c r="A75" s="271"/>
      <c r="B75" s="114"/>
      <c r="C75" s="126" t="s">
        <v>121</v>
      </c>
      <c r="D75" s="362" t="s">
        <v>122</v>
      </c>
      <c r="E75" s="362"/>
      <c r="F75" s="362"/>
      <c r="G75" s="362"/>
      <c r="H75" s="362"/>
      <c r="I75" s="362"/>
      <c r="J75" s="362"/>
      <c r="K75" s="362"/>
      <c r="L75" s="362"/>
      <c r="M75" s="362"/>
      <c r="N75" s="362"/>
      <c r="O75" s="363"/>
      <c r="P75" s="114"/>
      <c r="Q75" s="114"/>
      <c r="R75" s="114"/>
      <c r="S75" s="114"/>
      <c r="T75" s="114"/>
      <c r="U75" s="114"/>
      <c r="V75" s="114"/>
      <c r="W75" s="114"/>
      <c r="X75" s="114"/>
      <c r="Y75" s="114"/>
      <c r="Z75" s="114"/>
      <c r="AA75" s="114"/>
      <c r="AB75" s="114"/>
      <c r="AC75" s="114"/>
      <c r="AD75" s="114"/>
      <c r="AE75" s="114"/>
      <c r="AF75" s="114"/>
      <c r="AG75" s="114"/>
      <c r="AH75" s="114"/>
      <c r="AI75" s="114"/>
      <c r="AJ75" s="114"/>
      <c r="AK75" s="114"/>
      <c r="AL75" s="114"/>
      <c r="AM75" s="114"/>
      <c r="AN75" s="114"/>
      <c r="AO75" s="114"/>
      <c r="AP75" s="114"/>
      <c r="AQ75" s="114"/>
      <c r="AR75" s="114"/>
      <c r="AS75" s="114"/>
      <c r="AT75" s="114"/>
      <c r="AU75" s="114"/>
      <c r="AV75" s="114"/>
      <c r="AW75" s="114"/>
      <c r="AX75" s="115"/>
      <c r="AY75" s="115"/>
    </row>
    <row r="76" spans="1:51" ht="28.5" customHeight="1">
      <c r="A76" s="271"/>
      <c r="B76" s="114"/>
      <c r="C76" s="126" t="s">
        <v>123</v>
      </c>
      <c r="D76" s="362" t="s">
        <v>124</v>
      </c>
      <c r="E76" s="362"/>
      <c r="F76" s="362"/>
      <c r="G76" s="362"/>
      <c r="H76" s="362"/>
      <c r="I76" s="362"/>
      <c r="J76" s="362"/>
      <c r="K76" s="362"/>
      <c r="L76" s="362"/>
      <c r="M76" s="362"/>
      <c r="N76" s="362"/>
      <c r="O76" s="363"/>
      <c r="P76" s="114"/>
      <c r="Q76" s="114"/>
      <c r="R76" s="114"/>
      <c r="S76" s="114"/>
      <c r="T76" s="114"/>
      <c r="U76" s="114"/>
      <c r="V76" s="114"/>
      <c r="W76" s="114"/>
      <c r="X76" s="114"/>
      <c r="Y76" s="114"/>
      <c r="Z76" s="114"/>
      <c r="AA76" s="114"/>
      <c r="AB76" s="114"/>
      <c r="AC76" s="114"/>
      <c r="AD76" s="114"/>
      <c r="AE76" s="114"/>
      <c r="AF76" s="114"/>
      <c r="AG76" s="114"/>
      <c r="AH76" s="114"/>
      <c r="AI76" s="114"/>
      <c r="AJ76" s="114"/>
      <c r="AK76" s="114"/>
      <c r="AL76" s="114"/>
      <c r="AM76" s="114"/>
      <c r="AN76" s="114"/>
      <c r="AO76" s="114"/>
      <c r="AP76" s="114"/>
      <c r="AQ76" s="114"/>
      <c r="AR76" s="114"/>
      <c r="AS76" s="114"/>
      <c r="AT76" s="114"/>
      <c r="AU76" s="114"/>
      <c r="AV76" s="114"/>
      <c r="AW76" s="114"/>
      <c r="AX76" s="115"/>
      <c r="AY76" s="115"/>
    </row>
    <row r="77" spans="1:51">
      <c r="A77" s="271"/>
      <c r="B77" s="114"/>
      <c r="C77" s="126" t="s">
        <v>125</v>
      </c>
      <c r="D77" s="360" t="s">
        <v>126</v>
      </c>
      <c r="E77" s="360"/>
      <c r="F77" s="360"/>
      <c r="G77" s="360"/>
      <c r="H77" s="360"/>
      <c r="I77" s="360"/>
      <c r="J77" s="360"/>
      <c r="K77" s="360"/>
      <c r="L77" s="360"/>
      <c r="M77" s="360"/>
      <c r="N77" s="360"/>
      <c r="O77" s="361"/>
      <c r="P77" s="114"/>
      <c r="Q77" s="114"/>
      <c r="R77" s="114"/>
      <c r="S77" s="114"/>
      <c r="T77" s="114"/>
      <c r="U77" s="114"/>
      <c r="V77" s="114"/>
      <c r="W77" s="114"/>
      <c r="X77" s="114"/>
      <c r="Y77" s="114"/>
      <c r="Z77" s="114"/>
      <c r="AA77" s="114"/>
      <c r="AB77" s="114"/>
      <c r="AC77" s="114"/>
      <c r="AD77" s="114"/>
      <c r="AE77" s="114"/>
      <c r="AF77" s="114"/>
      <c r="AG77" s="114"/>
      <c r="AH77" s="114"/>
      <c r="AI77" s="114"/>
      <c r="AJ77" s="114"/>
      <c r="AK77" s="114"/>
      <c r="AL77" s="114"/>
      <c r="AM77" s="114"/>
      <c r="AN77" s="114"/>
      <c r="AO77" s="114"/>
      <c r="AP77" s="114"/>
      <c r="AQ77" s="114"/>
      <c r="AR77" s="114"/>
      <c r="AS77" s="114"/>
      <c r="AT77" s="114"/>
      <c r="AU77" s="114"/>
      <c r="AV77" s="114"/>
      <c r="AW77" s="114"/>
      <c r="AX77" s="115"/>
      <c r="AY77" s="115"/>
    </row>
    <row r="78" spans="1:51">
      <c r="A78" s="271"/>
      <c r="B78" s="114"/>
      <c r="C78" s="126" t="s">
        <v>127</v>
      </c>
      <c r="D78" s="360" t="s">
        <v>128</v>
      </c>
      <c r="E78" s="360"/>
      <c r="F78" s="360"/>
      <c r="G78" s="360"/>
      <c r="H78" s="360"/>
      <c r="I78" s="360"/>
      <c r="J78" s="360"/>
      <c r="K78" s="360"/>
      <c r="L78" s="360"/>
      <c r="M78" s="360"/>
      <c r="N78" s="360"/>
      <c r="O78" s="361"/>
      <c r="P78" s="114"/>
      <c r="Q78" s="114"/>
      <c r="R78" s="114"/>
      <c r="S78" s="114"/>
      <c r="T78" s="114"/>
      <c r="U78" s="114"/>
      <c r="V78" s="114"/>
      <c r="W78" s="114"/>
      <c r="X78" s="114"/>
      <c r="Y78" s="114"/>
      <c r="Z78" s="114"/>
      <c r="AA78" s="114"/>
      <c r="AB78" s="114"/>
      <c r="AC78" s="114"/>
      <c r="AD78" s="114"/>
      <c r="AE78" s="114"/>
      <c r="AF78" s="114"/>
      <c r="AG78" s="114"/>
      <c r="AH78" s="114"/>
      <c r="AI78" s="114"/>
      <c r="AJ78" s="114"/>
      <c r="AK78" s="114"/>
      <c r="AL78" s="114"/>
      <c r="AM78" s="114"/>
      <c r="AN78" s="114"/>
      <c r="AO78" s="114"/>
      <c r="AP78" s="114"/>
      <c r="AQ78" s="114"/>
      <c r="AR78" s="114"/>
      <c r="AS78" s="114"/>
      <c r="AT78" s="114"/>
      <c r="AU78" s="114"/>
      <c r="AV78" s="114"/>
      <c r="AW78" s="114"/>
      <c r="AX78" s="115"/>
      <c r="AY78" s="115"/>
    </row>
    <row r="79" spans="1:51">
      <c r="A79" s="271"/>
      <c r="B79" s="114"/>
      <c r="C79" s="126" t="s">
        <v>129</v>
      </c>
      <c r="D79" s="360" t="s">
        <v>130</v>
      </c>
      <c r="E79" s="360"/>
      <c r="F79" s="360"/>
      <c r="G79" s="360"/>
      <c r="H79" s="360"/>
      <c r="I79" s="360"/>
      <c r="J79" s="360"/>
      <c r="K79" s="360"/>
      <c r="L79" s="360"/>
      <c r="M79" s="360"/>
      <c r="N79" s="360"/>
      <c r="O79" s="361"/>
      <c r="P79" s="114"/>
      <c r="Q79" s="114"/>
      <c r="R79" s="114"/>
      <c r="S79" s="114"/>
      <c r="T79" s="114"/>
      <c r="U79" s="114"/>
      <c r="V79" s="114"/>
      <c r="W79" s="114"/>
      <c r="X79" s="114"/>
      <c r="Y79" s="114"/>
      <c r="Z79" s="114"/>
      <c r="AA79" s="114"/>
      <c r="AB79" s="114"/>
      <c r="AC79" s="114"/>
      <c r="AD79" s="114"/>
      <c r="AE79" s="114"/>
      <c r="AF79" s="114"/>
      <c r="AG79" s="114"/>
      <c r="AH79" s="114"/>
      <c r="AI79" s="114"/>
      <c r="AJ79" s="114"/>
      <c r="AK79" s="114"/>
      <c r="AL79" s="114"/>
      <c r="AM79" s="114"/>
      <c r="AN79" s="114"/>
      <c r="AO79" s="114"/>
      <c r="AP79" s="114"/>
      <c r="AQ79" s="114"/>
      <c r="AR79" s="114"/>
      <c r="AS79" s="114"/>
      <c r="AT79" s="114"/>
      <c r="AU79" s="114"/>
      <c r="AV79" s="114"/>
      <c r="AW79" s="114"/>
      <c r="AX79" s="115"/>
      <c r="AY79" s="115"/>
    </row>
    <row r="80" spans="1:51" ht="36.75">
      <c r="A80" s="271"/>
      <c r="B80" s="114"/>
      <c r="C80" s="110" t="s">
        <v>131</v>
      </c>
      <c r="D80" s="360" t="s">
        <v>132</v>
      </c>
      <c r="E80" s="360"/>
      <c r="F80" s="360"/>
      <c r="G80" s="360"/>
      <c r="H80" s="360"/>
      <c r="I80" s="360"/>
      <c r="J80" s="360"/>
      <c r="K80" s="360"/>
      <c r="L80" s="360"/>
      <c r="M80" s="360"/>
      <c r="N80" s="360"/>
      <c r="O80" s="361"/>
      <c r="P80" s="114"/>
      <c r="Q80" s="114"/>
      <c r="R80" s="114"/>
      <c r="S80" s="114"/>
      <c r="T80" s="114"/>
      <c r="U80" s="114"/>
      <c r="V80" s="114"/>
      <c r="W80" s="114"/>
      <c r="X80" s="114"/>
      <c r="Y80" s="114"/>
      <c r="Z80" s="114"/>
      <c r="AA80" s="114"/>
      <c r="AB80" s="114"/>
      <c r="AC80" s="114"/>
      <c r="AD80" s="114"/>
      <c r="AE80" s="114"/>
      <c r="AF80" s="114"/>
      <c r="AG80" s="114"/>
      <c r="AH80" s="114"/>
      <c r="AI80" s="114"/>
      <c r="AJ80" s="114"/>
      <c r="AK80" s="114"/>
      <c r="AL80" s="114"/>
      <c r="AM80" s="114"/>
      <c r="AN80" s="114"/>
      <c r="AO80" s="114"/>
      <c r="AP80" s="114"/>
      <c r="AQ80" s="114"/>
      <c r="AR80" s="114"/>
      <c r="AS80" s="114"/>
      <c r="AT80" s="114"/>
      <c r="AU80" s="114"/>
      <c r="AV80" s="114"/>
      <c r="AW80" s="114"/>
      <c r="AX80" s="115"/>
      <c r="AY80" s="115"/>
    </row>
    <row r="81" spans="1:51">
      <c r="A81" s="271"/>
      <c r="B81" s="114"/>
      <c r="C81" s="126" t="s">
        <v>133</v>
      </c>
      <c r="D81" s="360" t="s">
        <v>134</v>
      </c>
      <c r="E81" s="360"/>
      <c r="F81" s="360"/>
      <c r="G81" s="360"/>
      <c r="H81" s="360"/>
      <c r="I81" s="360"/>
      <c r="J81" s="360"/>
      <c r="K81" s="360"/>
      <c r="L81" s="360"/>
      <c r="M81" s="360"/>
      <c r="N81" s="360"/>
      <c r="O81" s="361"/>
      <c r="P81" s="114"/>
      <c r="Q81" s="114"/>
      <c r="R81" s="114"/>
      <c r="S81" s="114"/>
      <c r="T81" s="114"/>
      <c r="U81" s="114"/>
      <c r="V81" s="114"/>
      <c r="W81" s="114"/>
      <c r="X81" s="114"/>
      <c r="Y81" s="114"/>
      <c r="Z81" s="114"/>
      <c r="AA81" s="114"/>
      <c r="AB81" s="114"/>
      <c r="AC81" s="114"/>
      <c r="AD81" s="114"/>
      <c r="AE81" s="114"/>
      <c r="AF81" s="114"/>
      <c r="AG81" s="114"/>
      <c r="AH81" s="114"/>
      <c r="AI81" s="114"/>
      <c r="AJ81" s="114"/>
      <c r="AK81" s="114"/>
      <c r="AL81" s="114"/>
      <c r="AM81" s="114"/>
      <c r="AN81" s="114"/>
      <c r="AO81" s="114"/>
      <c r="AP81" s="114"/>
      <c r="AQ81" s="114"/>
      <c r="AR81" s="114"/>
      <c r="AS81" s="114"/>
      <c r="AT81" s="114"/>
      <c r="AU81" s="114"/>
      <c r="AV81" s="114"/>
      <c r="AW81" s="114"/>
      <c r="AX81" s="115"/>
      <c r="AY81" s="115"/>
    </row>
    <row r="82" spans="1:51">
      <c r="A82" s="271"/>
      <c r="B82" s="114"/>
      <c r="C82" s="126" t="s">
        <v>135</v>
      </c>
      <c r="D82" s="360" t="s">
        <v>136</v>
      </c>
      <c r="E82" s="360"/>
      <c r="F82" s="360"/>
      <c r="G82" s="360"/>
      <c r="H82" s="360"/>
      <c r="I82" s="360"/>
      <c r="J82" s="360"/>
      <c r="K82" s="360"/>
      <c r="L82" s="360"/>
      <c r="M82" s="360"/>
      <c r="N82" s="360"/>
      <c r="O82" s="361"/>
      <c r="P82" s="114"/>
      <c r="Q82" s="114"/>
      <c r="R82" s="114"/>
      <c r="S82" s="114"/>
      <c r="T82" s="114"/>
      <c r="U82" s="114"/>
      <c r="V82" s="114"/>
      <c r="W82" s="114"/>
      <c r="X82" s="114"/>
      <c r="Y82" s="114"/>
      <c r="Z82" s="114"/>
      <c r="AA82" s="114"/>
      <c r="AB82" s="114"/>
      <c r="AC82" s="114"/>
      <c r="AD82" s="114"/>
      <c r="AE82" s="114"/>
      <c r="AF82" s="114"/>
      <c r="AG82" s="114"/>
      <c r="AH82" s="114"/>
      <c r="AI82" s="114"/>
      <c r="AJ82" s="114"/>
      <c r="AK82" s="114"/>
      <c r="AL82" s="114"/>
      <c r="AM82" s="114"/>
      <c r="AN82" s="114"/>
      <c r="AO82" s="114"/>
      <c r="AP82" s="114"/>
      <c r="AQ82" s="114"/>
      <c r="AR82" s="114"/>
      <c r="AS82" s="114"/>
      <c r="AT82" s="114"/>
      <c r="AU82" s="114"/>
      <c r="AV82" s="114"/>
      <c r="AW82" s="114"/>
      <c r="AX82" s="115"/>
      <c r="AY82" s="115"/>
    </row>
    <row r="83" spans="1:51">
      <c r="A83" s="271"/>
      <c r="B83" s="114"/>
      <c r="C83" s="126" t="s">
        <v>137</v>
      </c>
      <c r="D83" s="360" t="s">
        <v>138</v>
      </c>
      <c r="E83" s="360"/>
      <c r="F83" s="360"/>
      <c r="G83" s="360"/>
      <c r="H83" s="360"/>
      <c r="I83" s="360"/>
      <c r="J83" s="360"/>
      <c r="K83" s="360"/>
      <c r="L83" s="360"/>
      <c r="M83" s="360"/>
      <c r="N83" s="360"/>
      <c r="O83" s="361"/>
      <c r="P83" s="114"/>
      <c r="Q83" s="114"/>
      <c r="R83" s="114"/>
      <c r="S83" s="114"/>
      <c r="T83" s="114"/>
      <c r="U83" s="114"/>
      <c r="V83" s="114"/>
      <c r="W83" s="114"/>
      <c r="X83" s="114"/>
      <c r="Y83" s="114"/>
      <c r="Z83" s="114"/>
      <c r="AA83" s="114"/>
      <c r="AB83" s="114"/>
      <c r="AC83" s="114"/>
      <c r="AD83" s="114"/>
      <c r="AE83" s="114"/>
      <c r="AF83" s="114"/>
      <c r="AG83" s="114"/>
      <c r="AH83" s="114"/>
      <c r="AI83" s="114"/>
      <c r="AJ83" s="114"/>
      <c r="AK83" s="114"/>
      <c r="AL83" s="114"/>
      <c r="AM83" s="114"/>
      <c r="AN83" s="114"/>
      <c r="AO83" s="114"/>
      <c r="AP83" s="114"/>
      <c r="AQ83" s="114"/>
      <c r="AR83" s="114"/>
      <c r="AS83" s="114"/>
      <c r="AT83" s="114"/>
      <c r="AU83" s="114"/>
      <c r="AV83" s="114"/>
      <c r="AW83" s="114"/>
      <c r="AX83" s="115"/>
      <c r="AY83" s="115"/>
    </row>
  </sheetData>
  <mergeCells count="45">
    <mergeCell ref="E51:E55"/>
    <mergeCell ref="D80:O80"/>
    <mergeCell ref="D81:O81"/>
    <mergeCell ref="D82:O82"/>
    <mergeCell ref="D83:O83"/>
    <mergeCell ref="D74:O74"/>
    <mergeCell ref="D75:O75"/>
    <mergeCell ref="D76:O76"/>
    <mergeCell ref="D77:O77"/>
    <mergeCell ref="D78:O78"/>
    <mergeCell ref="D79:O79"/>
    <mergeCell ref="D73:O73"/>
    <mergeCell ref="D70:O70"/>
    <mergeCell ref="D71:O71"/>
    <mergeCell ref="D72:O72"/>
    <mergeCell ref="E57:E65"/>
    <mergeCell ref="C58:D58"/>
    <mergeCell ref="C59:D59"/>
    <mergeCell ref="C60:D60"/>
    <mergeCell ref="C61:D61"/>
    <mergeCell ref="C62:D62"/>
    <mergeCell ref="C63:D63"/>
    <mergeCell ref="C64:D64"/>
    <mergeCell ref="C65:D65"/>
    <mergeCell ref="A4:A8"/>
    <mergeCell ref="B4:D4"/>
    <mergeCell ref="C5:D5"/>
    <mergeCell ref="A56:A65"/>
    <mergeCell ref="B56:D56"/>
    <mergeCell ref="C57:D57"/>
    <mergeCell ref="B9:D9"/>
    <mergeCell ref="A50:A55"/>
    <mergeCell ref="B50:D50"/>
    <mergeCell ref="C51:D51"/>
    <mergeCell ref="C53:D53"/>
    <mergeCell ref="C54:D54"/>
    <mergeCell ref="C55:D55"/>
    <mergeCell ref="B1:D1"/>
    <mergeCell ref="B2:D2"/>
    <mergeCell ref="B3:D3"/>
    <mergeCell ref="A9:A45"/>
    <mergeCell ref="E5:E8"/>
    <mergeCell ref="C6:D6"/>
    <mergeCell ref="C7:D7"/>
    <mergeCell ref="C8:D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8CB9D-0928-4075-AFD8-9433E698C2EF}">
  <dimension ref="A5:T16"/>
  <sheetViews>
    <sheetView showGridLines="0" workbookViewId="0"/>
  </sheetViews>
  <sheetFormatPr defaultRowHeight="18.75"/>
  <cols>
    <col min="1" max="1" width="4.125" style="6" customWidth="1"/>
    <col min="2" max="2" width="25.125" style="6" customWidth="1"/>
    <col min="3" max="6" width="9" style="6"/>
    <col min="7" max="7" width="9.125" style="6" bestFit="1" customWidth="1"/>
    <col min="8" max="8" width="9" style="6"/>
    <col min="9" max="9" width="9.375" style="6" bestFit="1" customWidth="1"/>
    <col min="10" max="11" width="9" style="6"/>
    <col min="12" max="12" width="9.25" style="6" bestFit="1" customWidth="1"/>
    <col min="13" max="13" width="9" style="6"/>
    <col min="14" max="14" width="9.5" style="6" bestFit="1" customWidth="1"/>
    <col min="15" max="15" width="9" style="6"/>
    <col min="16" max="16" width="9.375" style="6" bestFit="1" customWidth="1"/>
    <col min="17" max="16384" width="9" style="6"/>
  </cols>
  <sheetData>
    <row r="5" spans="1:20">
      <c r="A5" s="369"/>
      <c r="B5" s="369"/>
      <c r="C5" s="370">
        <v>2025</v>
      </c>
      <c r="D5" s="371"/>
      <c r="E5" s="371"/>
      <c r="F5" s="372">
        <v>2026</v>
      </c>
      <c r="G5" s="372"/>
      <c r="H5" s="372"/>
      <c r="I5" s="33"/>
    </row>
    <row r="6" spans="1:20">
      <c r="A6" s="369"/>
      <c r="B6" s="369"/>
      <c r="C6" s="41" t="s">
        <v>139</v>
      </c>
      <c r="D6" s="41" t="s">
        <v>140</v>
      </c>
      <c r="E6" s="42" t="s">
        <v>141</v>
      </c>
      <c r="F6" s="43" t="s">
        <v>142</v>
      </c>
      <c r="G6" s="43" t="s">
        <v>143</v>
      </c>
      <c r="H6" s="43" t="s">
        <v>144</v>
      </c>
      <c r="I6" s="33"/>
    </row>
    <row r="7" spans="1:20">
      <c r="A7" s="34"/>
      <c r="B7" s="35" t="s">
        <v>23</v>
      </c>
      <c r="C7" s="32">
        <v>4.75</v>
      </c>
      <c r="D7" s="32">
        <v>3.67</v>
      </c>
      <c r="E7" s="31">
        <v>4.67</v>
      </c>
      <c r="F7" s="36">
        <v>1</v>
      </c>
      <c r="G7" s="36">
        <v>3</v>
      </c>
      <c r="H7" s="36">
        <v>4.5</v>
      </c>
      <c r="I7" s="37"/>
    </row>
    <row r="9" spans="1:20">
      <c r="A9" s="369"/>
      <c r="B9" s="369"/>
      <c r="C9" s="366">
        <v>2025</v>
      </c>
      <c r="D9" s="367"/>
      <c r="E9" s="367"/>
      <c r="F9" s="367"/>
      <c r="G9" s="367"/>
      <c r="H9" s="367"/>
      <c r="I9" s="367"/>
      <c r="J9" s="367"/>
      <c r="K9" s="367"/>
      <c r="L9" s="367"/>
      <c r="M9" s="367"/>
      <c r="N9" s="368"/>
      <c r="O9" s="366">
        <v>2026</v>
      </c>
      <c r="P9" s="367"/>
      <c r="Q9" s="368"/>
      <c r="R9" s="10"/>
      <c r="S9" s="10"/>
      <c r="T9" s="10"/>
    </row>
    <row r="10" spans="1:20">
      <c r="A10" s="369"/>
      <c r="B10" s="369"/>
      <c r="C10" s="44" t="s">
        <v>142</v>
      </c>
      <c r="D10" s="41" t="s">
        <v>143</v>
      </c>
      <c r="E10" s="41" t="s">
        <v>144</v>
      </c>
      <c r="F10" s="41" t="s">
        <v>145</v>
      </c>
      <c r="G10" s="41" t="s">
        <v>146</v>
      </c>
      <c r="H10" s="41" t="s">
        <v>147</v>
      </c>
      <c r="I10" s="41" t="s">
        <v>148</v>
      </c>
      <c r="J10" s="41" t="s">
        <v>149</v>
      </c>
      <c r="K10" s="41" t="s">
        <v>150</v>
      </c>
      <c r="L10" s="41" t="s">
        <v>139</v>
      </c>
      <c r="M10" s="41" t="s">
        <v>140</v>
      </c>
      <c r="N10" s="41" t="s">
        <v>141</v>
      </c>
      <c r="O10" s="44" t="s">
        <v>142</v>
      </c>
      <c r="P10" s="41" t="s">
        <v>143</v>
      </c>
      <c r="Q10" s="41" t="s">
        <v>144</v>
      </c>
      <c r="R10" s="10"/>
      <c r="S10" s="10"/>
      <c r="T10" s="10"/>
    </row>
    <row r="11" spans="1:20">
      <c r="A11" s="34"/>
      <c r="B11" s="38" t="s">
        <v>32</v>
      </c>
      <c r="C11" s="39">
        <f>2402+1552+613+596</f>
        <v>5163</v>
      </c>
      <c r="D11" s="39">
        <f>7690+302+5009+230</f>
        <v>13231</v>
      </c>
      <c r="E11" s="39">
        <f>3504+591+1403+613</f>
        <v>6111</v>
      </c>
      <c r="F11" s="39">
        <f>758000+2398+687+1022+3437</f>
        <v>765544</v>
      </c>
      <c r="G11" s="39">
        <f>1800000+2603+571+3455+256</f>
        <v>1806885</v>
      </c>
      <c r="H11" s="39">
        <f>1200000+321+597+248+405</f>
        <v>1201571</v>
      </c>
      <c r="I11" s="39">
        <f>3200000+2637+410+2681+198</f>
        <v>3205926</v>
      </c>
      <c r="J11" s="39">
        <f>3000000+2535+616446+250</f>
        <v>3619231</v>
      </c>
      <c r="K11" s="39">
        <f>6800000+1734+87+2694+197</f>
        <v>6804712</v>
      </c>
      <c r="L11" s="39">
        <f>11000000+2450+935+11305+198</f>
        <v>11014888</v>
      </c>
      <c r="M11" s="39">
        <f>1700000+1502+124+486+329</f>
        <v>1702441</v>
      </c>
      <c r="N11" s="39">
        <f>2600000+1311+306+1737+204</f>
        <v>2603558</v>
      </c>
      <c r="O11" s="40">
        <f>2500000+98372+4230+120194+316</f>
        <v>2723112</v>
      </c>
      <c r="P11" s="40">
        <f>2200000+94633+1432+41062+429</f>
        <v>2337556</v>
      </c>
      <c r="Q11" s="40">
        <f>2200000+39684+3019+17328+1726</f>
        <v>2261757</v>
      </c>
    </row>
    <row r="14" spans="1:20">
      <c r="A14" s="369"/>
      <c r="B14" s="369"/>
      <c r="C14" s="366">
        <v>2025</v>
      </c>
      <c r="D14" s="367"/>
      <c r="E14" s="367"/>
      <c r="F14" s="367"/>
      <c r="G14" s="367"/>
      <c r="H14" s="367"/>
      <c r="I14" s="367"/>
      <c r="J14" s="367"/>
      <c r="K14" s="367"/>
      <c r="L14" s="367"/>
      <c r="M14" s="367"/>
      <c r="N14" s="368"/>
      <c r="O14" s="366">
        <v>2026</v>
      </c>
      <c r="P14" s="367"/>
      <c r="Q14" s="368"/>
      <c r="R14" s="10"/>
      <c r="S14" s="10"/>
      <c r="T14" s="10"/>
    </row>
    <row r="15" spans="1:20">
      <c r="A15" s="369"/>
      <c r="B15" s="369"/>
      <c r="C15" s="44" t="s">
        <v>142</v>
      </c>
      <c r="D15" s="41" t="s">
        <v>143</v>
      </c>
      <c r="E15" s="41" t="s">
        <v>144</v>
      </c>
      <c r="F15" s="41" t="s">
        <v>145</v>
      </c>
      <c r="G15" s="41" t="s">
        <v>146</v>
      </c>
      <c r="H15" s="41" t="s">
        <v>147</v>
      </c>
      <c r="I15" s="41" t="s">
        <v>148</v>
      </c>
      <c r="J15" s="41" t="s">
        <v>149</v>
      </c>
      <c r="K15" s="41" t="s">
        <v>150</v>
      </c>
      <c r="L15" s="41" t="s">
        <v>139</v>
      </c>
      <c r="M15" s="41" t="s">
        <v>140</v>
      </c>
      <c r="N15" s="41" t="s">
        <v>141</v>
      </c>
      <c r="O15" s="44" t="s">
        <v>142</v>
      </c>
      <c r="P15" s="41" t="s">
        <v>143</v>
      </c>
      <c r="Q15" s="41" t="s">
        <v>144</v>
      </c>
      <c r="R15" s="10"/>
      <c r="S15" s="10"/>
      <c r="T15" s="10"/>
    </row>
    <row r="16" spans="1:20">
      <c r="A16" s="34"/>
      <c r="B16" s="38" t="s">
        <v>151</v>
      </c>
      <c r="C16" s="35">
        <f>ITDC!E19</f>
        <v>1</v>
      </c>
      <c r="D16" s="35">
        <f>ITDC!F19</f>
        <v>7</v>
      </c>
      <c r="E16" s="35">
        <f>ITDC!G19</f>
        <v>3</v>
      </c>
      <c r="F16" s="35">
        <f>ITDC!H19</f>
        <v>4</v>
      </c>
      <c r="G16" s="35">
        <f>ITDC!I19</f>
        <v>4</v>
      </c>
      <c r="H16" s="35">
        <f>ITDC!J19</f>
        <v>2</v>
      </c>
      <c r="I16" s="35">
        <f>ITDC!K19</f>
        <v>3</v>
      </c>
      <c r="J16" s="35">
        <f>ITDC!L19</f>
        <v>1</v>
      </c>
      <c r="K16" s="35">
        <f>ITDC!M19</f>
        <v>18</v>
      </c>
      <c r="L16" s="35">
        <f>ITDC!N19</f>
        <v>10</v>
      </c>
      <c r="M16" s="35">
        <f>ITDC!O19</f>
        <v>5</v>
      </c>
      <c r="N16" s="35">
        <f>ITDC!P19</f>
        <v>6</v>
      </c>
      <c r="O16" s="35">
        <f>ITDC!R19</f>
        <v>14</v>
      </c>
      <c r="P16" s="35">
        <f>ITDC!S19</f>
        <v>7</v>
      </c>
      <c r="Q16" s="35">
        <f>ITDC!T19</f>
        <v>3</v>
      </c>
    </row>
  </sheetData>
  <mergeCells count="12">
    <mergeCell ref="A5:A6"/>
    <mergeCell ref="B5:B6"/>
    <mergeCell ref="C5:E5"/>
    <mergeCell ref="F5:H5"/>
    <mergeCell ref="A9:A10"/>
    <mergeCell ref="B9:B10"/>
    <mergeCell ref="C9:N9"/>
    <mergeCell ref="O9:Q9"/>
    <mergeCell ref="A14:A15"/>
    <mergeCell ref="B14:B15"/>
    <mergeCell ref="C14:N14"/>
    <mergeCell ref="O14:Q1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7212B-9D43-4B79-AC76-44D7FB5A00EA}">
  <dimension ref="A5:T16"/>
  <sheetViews>
    <sheetView showGridLines="0" workbookViewId="0">
      <selection activeCell="P11" sqref="P11"/>
    </sheetView>
  </sheetViews>
  <sheetFormatPr defaultRowHeight="18.75"/>
  <cols>
    <col min="1" max="1" width="4.125" style="6" customWidth="1"/>
    <col min="2" max="2" width="25.125" style="6" customWidth="1"/>
    <col min="3" max="6" width="9" style="6"/>
    <col min="7" max="7" width="9.125" style="6" bestFit="1" customWidth="1"/>
    <col min="8" max="8" width="9" style="6"/>
    <col min="9" max="9" width="9.375" style="6" bestFit="1" customWidth="1"/>
    <col min="10" max="11" width="9" style="6"/>
    <col min="12" max="12" width="9.25" style="6" bestFit="1" customWidth="1"/>
    <col min="13" max="13" width="9" style="6"/>
    <col min="14" max="14" width="9.5" style="6" bestFit="1" customWidth="1"/>
    <col min="15" max="15" width="9" style="6"/>
    <col min="16" max="16" width="9.375" style="6" bestFit="1" customWidth="1"/>
    <col min="17" max="16384" width="9" style="6"/>
  </cols>
  <sheetData>
    <row r="5" spans="1:20">
      <c r="A5" s="369"/>
      <c r="B5" s="369"/>
      <c r="C5" s="370">
        <v>2025</v>
      </c>
      <c r="D5" s="371"/>
      <c r="E5" s="371"/>
      <c r="F5" s="372">
        <v>2026</v>
      </c>
      <c r="G5" s="372"/>
      <c r="H5" s="372"/>
      <c r="I5" s="33"/>
    </row>
    <row r="6" spans="1:20">
      <c r="A6" s="369"/>
      <c r="B6" s="369"/>
      <c r="C6" s="41" t="s">
        <v>139</v>
      </c>
      <c r="D6" s="41" t="s">
        <v>140</v>
      </c>
      <c r="E6" s="42" t="s">
        <v>141</v>
      </c>
      <c r="F6" s="43" t="s">
        <v>142</v>
      </c>
      <c r="G6" s="43" t="s">
        <v>143</v>
      </c>
      <c r="H6" s="43" t="s">
        <v>144</v>
      </c>
      <c r="I6" s="33"/>
    </row>
    <row r="7" spans="1:20">
      <c r="A7" s="34"/>
      <c r="B7" s="35" t="s">
        <v>23</v>
      </c>
      <c r="C7" s="32">
        <v>4.75</v>
      </c>
      <c r="D7" s="32">
        <v>3.67</v>
      </c>
      <c r="E7" s="31">
        <v>4.67</v>
      </c>
      <c r="F7" s="36">
        <v>1</v>
      </c>
      <c r="G7" s="36">
        <v>3</v>
      </c>
      <c r="H7" s="36">
        <v>4.5</v>
      </c>
      <c r="I7" s="37"/>
    </row>
    <row r="9" spans="1:20">
      <c r="A9" s="369"/>
      <c r="B9" s="369"/>
      <c r="C9" s="366">
        <v>2025</v>
      </c>
      <c r="D9" s="367"/>
      <c r="E9" s="367"/>
      <c r="F9" s="367"/>
      <c r="G9" s="367"/>
      <c r="H9" s="367"/>
      <c r="I9" s="367"/>
      <c r="J9" s="367"/>
      <c r="K9" s="367"/>
      <c r="L9" s="367"/>
      <c r="M9" s="367"/>
      <c r="N9" s="368"/>
      <c r="O9" s="366">
        <v>2026</v>
      </c>
      <c r="P9" s="367"/>
      <c r="Q9" s="368"/>
      <c r="R9" s="10"/>
      <c r="S9" s="10"/>
      <c r="T9" s="10"/>
    </row>
    <row r="10" spans="1:20">
      <c r="A10" s="369"/>
      <c r="B10" s="369"/>
      <c r="C10" s="44" t="s">
        <v>142</v>
      </c>
      <c r="D10" s="41" t="s">
        <v>143</v>
      </c>
      <c r="E10" s="41" t="s">
        <v>144</v>
      </c>
      <c r="F10" s="41" t="s">
        <v>145</v>
      </c>
      <c r="G10" s="41" t="s">
        <v>146</v>
      </c>
      <c r="H10" s="41" t="s">
        <v>147</v>
      </c>
      <c r="I10" s="41" t="s">
        <v>148</v>
      </c>
      <c r="J10" s="41" t="s">
        <v>149</v>
      </c>
      <c r="K10" s="41" t="s">
        <v>150</v>
      </c>
      <c r="L10" s="41" t="s">
        <v>139</v>
      </c>
      <c r="M10" s="41" t="s">
        <v>140</v>
      </c>
      <c r="N10" s="41" t="s">
        <v>141</v>
      </c>
      <c r="O10" s="44" t="s">
        <v>142</v>
      </c>
      <c r="P10" s="41" t="s">
        <v>143</v>
      </c>
      <c r="Q10" s="41" t="s">
        <v>144</v>
      </c>
      <c r="R10" s="10"/>
      <c r="S10" s="10"/>
      <c r="T10" s="10"/>
    </row>
    <row r="11" spans="1:20">
      <c r="A11" s="34"/>
      <c r="B11" s="38" t="s">
        <v>32</v>
      </c>
      <c r="C11" s="39">
        <f>2402+1552+613+596</f>
        <v>5163</v>
      </c>
      <c r="D11" s="39">
        <f>7690+302+5009+230</f>
        <v>13231</v>
      </c>
      <c r="E11" s="39">
        <f>3504+591+1403+613</f>
        <v>6111</v>
      </c>
      <c r="F11" s="39">
        <f>758000+2398+687+1022+3437</f>
        <v>765544</v>
      </c>
      <c r="G11" s="39">
        <f>1800000+2603+571+3455+256</f>
        <v>1806885</v>
      </c>
      <c r="H11" s="39">
        <f>1200000+321+597+248+405</f>
        <v>1201571</v>
      </c>
      <c r="I11" s="39">
        <f>3200000+2637+410+2681+198</f>
        <v>3205926</v>
      </c>
      <c r="J11" s="39">
        <f>3000000+2535+616446+250</f>
        <v>3619231</v>
      </c>
      <c r="K11" s="39">
        <f>6800000+1734+87+2694+197</f>
        <v>6804712</v>
      </c>
      <c r="L11" s="39">
        <f>11000000+2450+935+11305+198</f>
        <v>11014888</v>
      </c>
      <c r="M11" s="39">
        <f>1700000+1502+124+486+329</f>
        <v>1702441</v>
      </c>
      <c r="N11" s="39">
        <f>2600000+1311+306+1737+204</f>
        <v>2603558</v>
      </c>
      <c r="O11" s="40">
        <f>2500000+98372+4230+120194+316</f>
        <v>2723112</v>
      </c>
      <c r="P11" s="40">
        <f>2200000+94633+1432+41062+429</f>
        <v>2337556</v>
      </c>
      <c r="Q11" s="40">
        <f>2200000+39684+3019+17328+1726</f>
        <v>2261757</v>
      </c>
    </row>
    <row r="14" spans="1:20">
      <c r="A14" s="369"/>
      <c r="B14" s="369"/>
      <c r="C14" s="366">
        <v>2025</v>
      </c>
      <c r="D14" s="367"/>
      <c r="E14" s="367"/>
      <c r="F14" s="367"/>
      <c r="G14" s="367"/>
      <c r="H14" s="367"/>
      <c r="I14" s="367"/>
      <c r="J14" s="367"/>
      <c r="K14" s="367"/>
      <c r="L14" s="367"/>
      <c r="M14" s="367"/>
      <c r="N14" s="368"/>
      <c r="O14" s="366">
        <v>2026</v>
      </c>
      <c r="P14" s="367"/>
      <c r="Q14" s="368"/>
      <c r="R14" s="10"/>
      <c r="S14" s="10"/>
      <c r="T14" s="10"/>
    </row>
    <row r="15" spans="1:20">
      <c r="A15" s="369"/>
      <c r="B15" s="369"/>
      <c r="C15" s="44" t="s">
        <v>142</v>
      </c>
      <c r="D15" s="41" t="s">
        <v>143</v>
      </c>
      <c r="E15" s="41" t="s">
        <v>144</v>
      </c>
      <c r="F15" s="41" t="s">
        <v>145</v>
      </c>
      <c r="G15" s="41" t="s">
        <v>146</v>
      </c>
      <c r="H15" s="41" t="s">
        <v>147</v>
      </c>
      <c r="I15" s="41" t="s">
        <v>148</v>
      </c>
      <c r="J15" s="41" t="s">
        <v>149</v>
      </c>
      <c r="K15" s="41" t="s">
        <v>150</v>
      </c>
      <c r="L15" s="41" t="s">
        <v>139</v>
      </c>
      <c r="M15" s="41" t="s">
        <v>140</v>
      </c>
      <c r="N15" s="41" t="s">
        <v>141</v>
      </c>
      <c r="O15" s="44" t="s">
        <v>142</v>
      </c>
      <c r="P15" s="41" t="s">
        <v>143</v>
      </c>
      <c r="Q15" s="41" t="s">
        <v>144</v>
      </c>
      <c r="R15" s="10"/>
      <c r="S15" s="10"/>
      <c r="T15" s="10"/>
    </row>
    <row r="16" spans="1:20">
      <c r="A16" s="34"/>
      <c r="B16" s="38" t="s">
        <v>151</v>
      </c>
      <c r="C16" s="35">
        <v>80</v>
      </c>
      <c r="D16" s="35">
        <v>95</v>
      </c>
      <c r="E16" s="35">
        <v>110</v>
      </c>
      <c r="F16" s="35">
        <v>120</v>
      </c>
      <c r="G16" s="35">
        <v>185</v>
      </c>
      <c r="H16" s="35">
        <v>160</v>
      </c>
      <c r="I16" s="35">
        <v>245</v>
      </c>
      <c r="J16" s="35">
        <v>275</v>
      </c>
      <c r="K16" s="35">
        <v>230</v>
      </c>
      <c r="L16" s="35">
        <v>210</v>
      </c>
      <c r="M16" s="35">
        <v>195</v>
      </c>
      <c r="N16" s="35">
        <v>180</v>
      </c>
      <c r="O16" s="35">
        <v>190</v>
      </c>
      <c r="P16" s="35">
        <v>205</v>
      </c>
      <c r="Q16" s="35">
        <v>220</v>
      </c>
    </row>
  </sheetData>
  <mergeCells count="12">
    <mergeCell ref="F5:H5"/>
    <mergeCell ref="A14:A15"/>
    <mergeCell ref="B14:B15"/>
    <mergeCell ref="O14:Q14"/>
    <mergeCell ref="C14:N14"/>
    <mergeCell ref="A9:A10"/>
    <mergeCell ref="B9:B10"/>
    <mergeCell ref="C9:N9"/>
    <mergeCell ref="O9:Q9"/>
    <mergeCell ref="A5:A6"/>
    <mergeCell ref="B5:B6"/>
    <mergeCell ref="C5:E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09F19-97AD-467B-A26F-DA16CB9FAD99}">
  <sheetPr>
    <tabColor theme="3" tint="0.499984740745262"/>
  </sheetPr>
  <dimension ref="A1:AY74"/>
  <sheetViews>
    <sheetView workbookViewId="0">
      <pane xSplit="4" ySplit="1" topLeftCell="G2" activePane="bottomRight" state="frozen"/>
      <selection pane="bottomRight" activeCell="W7" activeCellId="1" sqref="V7 W7"/>
      <selection pane="bottomLeft"/>
      <selection pane="topRight"/>
    </sheetView>
  </sheetViews>
  <sheetFormatPr defaultRowHeight="16.5"/>
  <cols>
    <col min="1" max="2" width="9" style="93"/>
    <col min="3" max="3" width="14.75" style="93" customWidth="1"/>
    <col min="4" max="4" width="33.25" style="93" customWidth="1"/>
    <col min="5" max="5" width="33.625" style="93" customWidth="1"/>
    <col min="6" max="23" width="9" style="93"/>
    <col min="24" max="24" width="13.5" style="93" customWidth="1"/>
    <col min="25" max="16384" width="9" style="93"/>
  </cols>
  <sheetData>
    <row r="1" spans="1:51">
      <c r="A1" s="88"/>
      <c r="B1" s="297" t="s">
        <v>60</v>
      </c>
      <c r="C1" s="298"/>
      <c r="D1" s="299"/>
      <c r="E1" s="89" t="s">
        <v>61</v>
      </c>
      <c r="F1" s="90">
        <v>45658</v>
      </c>
      <c r="G1" s="90">
        <v>45689</v>
      </c>
      <c r="H1" s="90">
        <v>45717</v>
      </c>
      <c r="I1" s="90">
        <v>45748</v>
      </c>
      <c r="J1" s="90">
        <v>45778</v>
      </c>
      <c r="K1" s="90">
        <v>45809</v>
      </c>
      <c r="L1" s="90">
        <v>45839</v>
      </c>
      <c r="M1" s="90">
        <v>45870</v>
      </c>
      <c r="N1" s="90">
        <v>45901</v>
      </c>
      <c r="O1" s="90">
        <v>45931</v>
      </c>
      <c r="P1" s="90">
        <v>45962</v>
      </c>
      <c r="Q1" s="90">
        <v>45992</v>
      </c>
      <c r="R1" s="90">
        <v>46023</v>
      </c>
      <c r="S1" s="90">
        <v>46054</v>
      </c>
      <c r="T1" s="90">
        <v>46082</v>
      </c>
      <c r="U1" s="90">
        <v>46113</v>
      </c>
      <c r="V1" s="89" t="s">
        <v>152</v>
      </c>
      <c r="W1" s="89" t="s">
        <v>153</v>
      </c>
      <c r="X1" s="91"/>
      <c r="Y1" s="91"/>
      <c r="Z1" s="91"/>
      <c r="AA1" s="91"/>
      <c r="AB1" s="91"/>
      <c r="AC1" s="92"/>
    </row>
    <row r="2" spans="1:51" s="103" customFormat="1" ht="85.5">
      <c r="A2" s="94">
        <v>1</v>
      </c>
      <c r="B2" s="373" t="s">
        <v>64</v>
      </c>
      <c r="C2" s="374"/>
      <c r="D2" s="375"/>
      <c r="E2" s="97" t="s">
        <v>65</v>
      </c>
      <c r="F2" s="98">
        <v>312247</v>
      </c>
      <c r="G2" s="98">
        <v>229229</v>
      </c>
      <c r="H2" s="98">
        <v>228079</v>
      </c>
      <c r="I2" s="98">
        <v>287663</v>
      </c>
      <c r="J2" s="98">
        <v>291710</v>
      </c>
      <c r="K2" s="98">
        <v>313307</v>
      </c>
      <c r="L2" s="98">
        <v>369481</v>
      </c>
      <c r="M2" s="98">
        <v>361151</v>
      </c>
      <c r="N2" s="98">
        <v>353482</v>
      </c>
      <c r="O2" s="98">
        <v>361554</v>
      </c>
      <c r="P2" s="98">
        <v>320856</v>
      </c>
      <c r="Q2" s="98">
        <v>366898</v>
      </c>
      <c r="R2" s="98">
        <v>330223</v>
      </c>
      <c r="S2" s="98">
        <v>258846</v>
      </c>
      <c r="T2" s="98">
        <v>274467</v>
      </c>
      <c r="U2" s="98">
        <v>293318</v>
      </c>
      <c r="V2" s="98">
        <v>303023</v>
      </c>
      <c r="W2" s="99">
        <v>323035</v>
      </c>
      <c r="X2" s="100" t="s">
        <v>154</v>
      </c>
      <c r="Y2" s="101"/>
      <c r="Z2" s="101"/>
      <c r="AA2" s="101"/>
      <c r="AB2" s="101"/>
      <c r="AC2" s="102"/>
    </row>
    <row r="3" spans="1:51" ht="24.75">
      <c r="A3" s="104">
        <v>2</v>
      </c>
      <c r="B3" s="303" t="s">
        <v>66</v>
      </c>
      <c r="C3" s="304"/>
      <c r="D3" s="305"/>
      <c r="E3" s="105" t="s">
        <v>155</v>
      </c>
      <c r="F3" s="106">
        <f>SUM(F5:F8)</f>
        <v>3</v>
      </c>
      <c r="G3" s="106">
        <f>SUM(G5:G8)</f>
        <v>4</v>
      </c>
      <c r="H3" s="106">
        <f>SUM(H5:H8)</f>
        <v>1</v>
      </c>
      <c r="I3" s="106">
        <f>SUM(I5:I8)</f>
        <v>4</v>
      </c>
      <c r="J3" s="106">
        <f>SUM(J5:J8)</f>
        <v>4</v>
      </c>
      <c r="K3" s="106">
        <f>SUM(K5:K8)</f>
        <v>2</v>
      </c>
      <c r="L3" s="106">
        <f>SUM(L5:L8)</f>
        <v>1</v>
      </c>
      <c r="M3" s="106">
        <f>SUM(M5:M8)</f>
        <v>7</v>
      </c>
      <c r="N3" s="106">
        <f>SUM(N5:N8)</f>
        <v>7</v>
      </c>
      <c r="O3" s="106">
        <f>SUM(O5:O8)</f>
        <v>5</v>
      </c>
      <c r="P3" s="106">
        <f>SUM(P5:P8)</f>
        <v>4</v>
      </c>
      <c r="Q3" s="106">
        <f>SUM(Q5:Q8)</f>
        <v>4</v>
      </c>
      <c r="R3" s="106">
        <f>SUM(R5:R8)</f>
        <v>6</v>
      </c>
      <c r="S3" s="106">
        <f>SUM(S5:S8)</f>
        <v>6</v>
      </c>
      <c r="T3" s="106">
        <f>SUM(T5:T8)</f>
        <v>8</v>
      </c>
      <c r="U3" s="106">
        <f>SUM(U5:U8)</f>
        <v>12</v>
      </c>
      <c r="V3" s="106">
        <f>SUM(V5:V8)</f>
        <v>9</v>
      </c>
      <c r="W3" s="106">
        <f>SUM(W5:W8)</f>
        <v>15</v>
      </c>
      <c r="X3" s="107"/>
      <c r="Y3" s="107"/>
      <c r="Z3" s="107"/>
      <c r="AA3" s="107"/>
      <c r="AB3" s="107"/>
      <c r="AC3" s="108"/>
    </row>
    <row r="4" spans="1:51" ht="20.25" customHeight="1">
      <c r="A4" s="310">
        <v>3</v>
      </c>
      <c r="B4" s="378" t="s">
        <v>68</v>
      </c>
      <c r="C4" s="378"/>
      <c r="D4" s="378"/>
      <c r="E4" s="309" t="s">
        <v>156</v>
      </c>
      <c r="F4" s="109"/>
      <c r="G4" s="106"/>
      <c r="H4" s="106"/>
      <c r="I4" s="106"/>
      <c r="J4" s="106"/>
      <c r="K4" s="106"/>
      <c r="L4" s="106"/>
      <c r="M4" s="106"/>
      <c r="N4" s="106"/>
      <c r="O4" s="106"/>
      <c r="P4" s="106"/>
      <c r="Q4" s="106"/>
      <c r="R4" s="106"/>
      <c r="S4" s="106"/>
      <c r="T4" s="106"/>
      <c r="U4" s="106"/>
      <c r="V4" s="106"/>
      <c r="W4" s="106"/>
      <c r="X4" s="107"/>
      <c r="Y4" s="107"/>
      <c r="Z4" s="107"/>
      <c r="AA4" s="107"/>
      <c r="AB4" s="107"/>
      <c r="AC4" s="108"/>
    </row>
    <row r="5" spans="1:51">
      <c r="A5" s="311"/>
      <c r="B5" s="88"/>
      <c r="C5" s="379" t="s">
        <v>71</v>
      </c>
      <c r="D5" s="379"/>
      <c r="E5" s="309"/>
      <c r="F5" s="109">
        <f>F10+F14+F18+F22+F26+F30+F34+F38+F42</f>
        <v>0</v>
      </c>
      <c r="G5" s="109">
        <f>G10+G14+G18+G22+G26+G30+G34+G38+G42</f>
        <v>0</v>
      </c>
      <c r="H5" s="109">
        <f>H10+H14+H18+H22+H26+H30+H34+H38+H42</f>
        <v>0</v>
      </c>
      <c r="I5" s="109">
        <f>I10+I14+I18+I22+I26+I30+I34+I38+I42</f>
        <v>0</v>
      </c>
      <c r="J5" s="109">
        <f>J10+J14+J18+J22+J26+J30+J34+J38+J42</f>
        <v>0</v>
      </c>
      <c r="K5" s="109">
        <f>K10+K14+K18+K22+K26+K30+K34+K38+K42</f>
        <v>0</v>
      </c>
      <c r="L5" s="109">
        <f>L10+L14+L18+L22+L26+L30+L34+L38+L42</f>
        <v>0</v>
      </c>
      <c r="M5" s="109">
        <f>M10+M14+M18+M22+M26+M30+M34+M38+M42</f>
        <v>0</v>
      </c>
      <c r="N5" s="109">
        <f>N10+N14+N18+N22+N26+N30+N34+N38+N42</f>
        <v>0</v>
      </c>
      <c r="O5" s="109">
        <f>O10+O14+O18+O22+O26+O30+O34+O38+O42</f>
        <v>0</v>
      </c>
      <c r="P5" s="109">
        <f>P10+P14+P18+P22+P26+P30+P34+P38+P42</f>
        <v>0</v>
      </c>
      <c r="Q5" s="109">
        <f>Q10+Q14+Q18+Q22+Q26+Q30+Q34+Q38+Q42</f>
        <v>0</v>
      </c>
      <c r="R5" s="109">
        <f>R10+R14+R18+R22+R26+R30+R34+R38+R42</f>
        <v>0</v>
      </c>
      <c r="S5" s="109">
        <f>S10+S14+S18+S22+S26+S30+S34+S38+S42</f>
        <v>3</v>
      </c>
      <c r="T5" s="109">
        <f>T10+T14+T18+T22+T26+T30+T34+T38+T42</f>
        <v>2</v>
      </c>
      <c r="U5" s="109">
        <f>U10+U14+U18+U22+U26+U30+U34+U38+U42</f>
        <v>5</v>
      </c>
      <c r="V5" s="109">
        <f>V10+V14+V18+V22+V26+V30+V34+V38+V42</f>
        <v>5</v>
      </c>
      <c r="W5" s="109">
        <f>W10+W14+W18+W22+W26+W30+W34+W38+W42</f>
        <v>6</v>
      </c>
      <c r="X5" s="107"/>
      <c r="Y5" s="107"/>
      <c r="Z5" s="107"/>
      <c r="AA5" s="107"/>
      <c r="AB5" s="107"/>
      <c r="AC5" s="108"/>
    </row>
    <row r="6" spans="1:51">
      <c r="A6" s="311"/>
      <c r="B6" s="88"/>
      <c r="C6" s="379" t="s">
        <v>157</v>
      </c>
      <c r="D6" s="379"/>
      <c r="E6" s="309"/>
      <c r="F6" s="109">
        <f>F11+F15+F19+F23+F27+F31+F35+F39+F43</f>
        <v>0</v>
      </c>
      <c r="G6" s="109">
        <f>G11+G15+G19+G23+G27+G31+G35+G39+G43</f>
        <v>0</v>
      </c>
      <c r="H6" s="109">
        <f>H11+H15+H19+H23+H27+H31+H35+H39+H43</f>
        <v>0</v>
      </c>
      <c r="I6" s="109">
        <f>I11+I15+I19+I23+I27+I31+I35+I39+I43</f>
        <v>0</v>
      </c>
      <c r="J6" s="109">
        <f>J11+J15+J19+J23+J27+J31+J35+J39+J43</f>
        <v>0</v>
      </c>
      <c r="K6" s="109">
        <f>K11+K15+K19+K23+K27+K31+K35+K39+K43</f>
        <v>0</v>
      </c>
      <c r="L6" s="109">
        <f>L11+L15+L19+L23+L27+L31+L35+L39+L43</f>
        <v>0</v>
      </c>
      <c r="M6" s="109">
        <f>M11+M15+M19+M23+M27+M31+M35+M39+M43</f>
        <v>0</v>
      </c>
      <c r="N6" s="109">
        <f>N11+N15+N19+N23+N27+N31+N35+N39+N43</f>
        <v>0</v>
      </c>
      <c r="O6" s="109">
        <f>O11+O15+O19+O23+O27+O31+O35+O39+O43</f>
        <v>0</v>
      </c>
      <c r="P6" s="109">
        <f>P11+P15+P19+P23+P27+P31+P35+P39+P43</f>
        <v>0</v>
      </c>
      <c r="Q6" s="109">
        <f>Q11+Q15+Q19+Q23+Q27+Q31+Q35+Q39+Q43</f>
        <v>0</v>
      </c>
      <c r="R6" s="109">
        <f>R11+R15+R19+R23+R27+R31+R35+R39+R43</f>
        <v>0</v>
      </c>
      <c r="S6" s="109">
        <f>S11+S15+S19+S23+S27+S31+S35+S39+S43</f>
        <v>0</v>
      </c>
      <c r="T6" s="109">
        <f>T11+T15+T19+T23+T27+T31+T35+T39+T43</f>
        <v>4</v>
      </c>
      <c r="U6" s="109">
        <f>U11+U15+U19+U23+U27+U31+U35+U39+U43</f>
        <v>3</v>
      </c>
      <c r="V6" s="109">
        <f>V11+V15+V19+V23+V27+V31+V35+V39+V43</f>
        <v>1</v>
      </c>
      <c r="W6" s="109">
        <f>W11+W15+W19+W23+W27+W31+W35+W39+W43</f>
        <v>5</v>
      </c>
      <c r="X6" s="107"/>
      <c r="Y6" s="107"/>
      <c r="Z6" s="107"/>
      <c r="AA6" s="107"/>
      <c r="AB6" s="107"/>
      <c r="AC6" s="108"/>
    </row>
    <row r="7" spans="1:51">
      <c r="A7" s="311"/>
      <c r="B7" s="88"/>
      <c r="C7" s="380" t="s">
        <v>158</v>
      </c>
      <c r="D7" s="380"/>
      <c r="E7" s="309"/>
      <c r="F7" s="109">
        <f>F12+F16+F20+F24+F28+F32+F36+F40+F44</f>
        <v>3</v>
      </c>
      <c r="G7" s="109">
        <f>G12+G16+G20+G24+G28+G32+G36+G40+G44</f>
        <v>4</v>
      </c>
      <c r="H7" s="109">
        <f>H12+H16+H20+H24+H28+H32+H36+H40+H44</f>
        <v>1</v>
      </c>
      <c r="I7" s="109">
        <f>I12+I16+I20+I24+I28+I32+I36+I40+I44</f>
        <v>4</v>
      </c>
      <c r="J7" s="109">
        <f>J12+J16+J20+J24+J28+J32+J36+J40+J44</f>
        <v>4</v>
      </c>
      <c r="K7" s="109">
        <f>K12+K16+K20+K24+K28+K32+K36+K40+K44</f>
        <v>2</v>
      </c>
      <c r="L7" s="109">
        <f>L12+L16+L20+L24+L28+L32+L36+L40+L44</f>
        <v>1</v>
      </c>
      <c r="M7" s="109">
        <f>M12+M16+M20+M24+M28+M32+M36+M40+M44</f>
        <v>7</v>
      </c>
      <c r="N7" s="109">
        <f>N12+N16+N20+N24+N28+N32+N36+N40+N44</f>
        <v>7</v>
      </c>
      <c r="O7" s="109">
        <f>O12+O16+O20+O24+O28+O32+O36+O40+O44</f>
        <v>5</v>
      </c>
      <c r="P7" s="109">
        <f>P12+P16+P20+P24+P28+P32+P36+P40+P44</f>
        <v>4</v>
      </c>
      <c r="Q7" s="109">
        <f>Q12+Q16+Q20+Q24+Q28+Q32+Q36+Q40+Q44</f>
        <v>4</v>
      </c>
      <c r="R7" s="289">
        <f>R12+R16+R20+R24+R28+R32+R36+R40+R44</f>
        <v>6</v>
      </c>
      <c r="S7" s="289">
        <f>S12+S16+S20+S24+S28+S32+S36+S40+S44</f>
        <v>3</v>
      </c>
      <c r="T7" s="289">
        <f>T12+T16+T20+T24+T28+T32+T36+T40+T44</f>
        <v>2</v>
      </c>
      <c r="U7" s="289">
        <f>U12+U16+U20+U24+U28+U32+U36+U40+U44</f>
        <v>4</v>
      </c>
      <c r="V7" s="289">
        <f>V12+V16+V20+V24+V28+V32+V36+V40+V44</f>
        <v>2</v>
      </c>
      <c r="W7" s="289">
        <f>W12+W16+W20+W24+W28+W32+W36+W40+W44</f>
        <v>4</v>
      </c>
      <c r="X7" s="107"/>
      <c r="Y7" s="107"/>
      <c r="Z7" s="107"/>
      <c r="AA7" s="107"/>
      <c r="AB7" s="107"/>
      <c r="AC7" s="108"/>
    </row>
    <row r="8" spans="1:51">
      <c r="A8" s="377"/>
      <c r="B8" s="88"/>
      <c r="C8" s="376" t="s">
        <v>88</v>
      </c>
      <c r="D8" s="376"/>
      <c r="E8" s="309"/>
      <c r="F8" s="109">
        <f>F13+F17+F21+F25+F29+F33+F37+F41+F45</f>
        <v>0</v>
      </c>
      <c r="G8" s="109">
        <f>G13+G17+G21+G25+G29+G33+G37+G41+G45</f>
        <v>0</v>
      </c>
      <c r="H8" s="109">
        <f>H13+H17+H21+H25+H29+H33+H37+H41+H45</f>
        <v>0</v>
      </c>
      <c r="I8" s="109">
        <f>I13+I17+I21+I25+I29+I33+I37+I41+I45</f>
        <v>0</v>
      </c>
      <c r="J8" s="109">
        <f>J13+J17+J21+J25+J29+J33+J37+J41+J45</f>
        <v>0</v>
      </c>
      <c r="K8" s="109">
        <f>K13+K17+K21+K25+K29+K33+K37+K41+K45</f>
        <v>0</v>
      </c>
      <c r="L8" s="109">
        <f>L13+L17+L21+L25+L29+L33+L37+L41+L45</f>
        <v>0</v>
      </c>
      <c r="M8" s="109">
        <f>M13+M17+M21+M25+M29+M33+M37+M41+M45</f>
        <v>0</v>
      </c>
      <c r="N8" s="109">
        <f>N13+N17+N21+N25+N29+N33+N37+N41+N45</f>
        <v>0</v>
      </c>
      <c r="O8" s="109">
        <f>O13+O17+O21+O25+O29+O33+O37+O41+O45</f>
        <v>0</v>
      </c>
      <c r="P8" s="109">
        <f>P13+P17+P21+P25+P29+P33+P37+P41+P45</f>
        <v>0</v>
      </c>
      <c r="Q8" s="109">
        <f>Q13+Q17+Q21+Q25+Q29+Q33+Q37+Q41+Q45</f>
        <v>0</v>
      </c>
      <c r="R8" s="109">
        <f>R13+R17+R21+R25+R29+R33+R37+R41+R45</f>
        <v>0</v>
      </c>
      <c r="S8" s="109">
        <f>S13+S17+S21+S25+S29+S33+S37+S41+S45</f>
        <v>0</v>
      </c>
      <c r="T8" s="109">
        <f>T13+T17+T21+T25+T29+T33+T37+T41+T45</f>
        <v>0</v>
      </c>
      <c r="U8" s="109">
        <f>U13+U17+U21+U25+U29+U33+U37+U41+U45</f>
        <v>0</v>
      </c>
      <c r="V8" s="109">
        <f>V13+V17+V21+V25+V29+V33+V37+V41+V45</f>
        <v>1</v>
      </c>
      <c r="W8" s="109">
        <f>W13+W17+W21+W25+W29+W33+W37+W41+W45</f>
        <v>0</v>
      </c>
      <c r="X8" s="107"/>
      <c r="Y8" s="107"/>
      <c r="Z8" s="107"/>
      <c r="AA8" s="107"/>
      <c r="AB8" s="107"/>
      <c r="AC8" s="108"/>
    </row>
    <row r="9" spans="1:51">
      <c r="A9" s="313">
        <v>4</v>
      </c>
      <c r="B9" s="315" t="s">
        <v>78</v>
      </c>
      <c r="C9" s="315"/>
      <c r="D9" s="315"/>
      <c r="E9" s="110" t="s">
        <v>69</v>
      </c>
      <c r="F9" s="111"/>
      <c r="G9" s="111" t="s">
        <v>69</v>
      </c>
      <c r="H9" s="111" t="s">
        <v>69</v>
      </c>
      <c r="I9" s="111" t="s">
        <v>69</v>
      </c>
      <c r="J9" s="111" t="s">
        <v>69</v>
      </c>
      <c r="K9" s="111" t="s">
        <v>69</v>
      </c>
      <c r="L9" s="111" t="s">
        <v>69</v>
      </c>
      <c r="M9" s="111" t="s">
        <v>69</v>
      </c>
      <c r="N9" s="111" t="s">
        <v>69</v>
      </c>
      <c r="O9" s="111" t="s">
        <v>69</v>
      </c>
      <c r="P9" s="111" t="s">
        <v>69</v>
      </c>
      <c r="Q9" s="111" t="s">
        <v>69</v>
      </c>
      <c r="R9" s="111" t="s">
        <v>69</v>
      </c>
      <c r="S9" s="111" t="s">
        <v>69</v>
      </c>
      <c r="T9" s="111" t="s">
        <v>69</v>
      </c>
      <c r="U9" s="112" t="s">
        <v>69</v>
      </c>
      <c r="V9" s="113"/>
      <c r="W9" s="113"/>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5"/>
      <c r="AY9" s="115"/>
    </row>
    <row r="10" spans="1:51">
      <c r="A10" s="314"/>
      <c r="B10" s="111" t="s">
        <v>70</v>
      </c>
      <c r="C10" s="117" t="s">
        <v>79</v>
      </c>
      <c r="D10" s="112" t="str">
        <f>C5</f>
        <v>Permintaan Informasi</v>
      </c>
      <c r="E10" s="110" t="s">
        <v>69</v>
      </c>
      <c r="F10" s="118">
        <v>0</v>
      </c>
      <c r="G10" s="118">
        <v>0</v>
      </c>
      <c r="H10" s="118">
        <v>0</v>
      </c>
      <c r="I10" s="118">
        <v>0</v>
      </c>
      <c r="J10" s="118">
        <v>0</v>
      </c>
      <c r="K10" s="118">
        <v>0</v>
      </c>
      <c r="L10" s="118">
        <v>0</v>
      </c>
      <c r="M10" s="118">
        <v>0</v>
      </c>
      <c r="N10" s="118">
        <v>0</v>
      </c>
      <c r="O10" s="118">
        <v>0</v>
      </c>
      <c r="P10" s="118">
        <v>0</v>
      </c>
      <c r="Q10" s="118">
        <v>0</v>
      </c>
      <c r="R10" s="111">
        <v>0</v>
      </c>
      <c r="S10" s="111">
        <v>3</v>
      </c>
      <c r="T10" s="111">
        <v>2</v>
      </c>
      <c r="U10" s="112">
        <v>4</v>
      </c>
      <c r="V10" s="119">
        <v>3</v>
      </c>
      <c r="W10" s="119">
        <v>3</v>
      </c>
      <c r="X10" s="114" t="s">
        <v>159</v>
      </c>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5"/>
      <c r="AY10" s="115"/>
    </row>
    <row r="11" spans="1:51">
      <c r="A11" s="314"/>
      <c r="B11" s="111" t="s">
        <v>69</v>
      </c>
      <c r="C11" s="117" t="s">
        <v>69</v>
      </c>
      <c r="D11" s="112" t="str">
        <f>C6</f>
        <v xml:space="preserve">Request </v>
      </c>
      <c r="E11" s="110" t="s">
        <v>69</v>
      </c>
      <c r="F11" s="118">
        <v>0</v>
      </c>
      <c r="G11" s="118">
        <v>0</v>
      </c>
      <c r="H11" s="118">
        <v>0</v>
      </c>
      <c r="I11" s="118">
        <v>0</v>
      </c>
      <c r="J11" s="118">
        <v>0</v>
      </c>
      <c r="K11" s="118">
        <v>0</v>
      </c>
      <c r="L11" s="118">
        <v>0</v>
      </c>
      <c r="M11" s="118">
        <v>0</v>
      </c>
      <c r="N11" s="118">
        <v>0</v>
      </c>
      <c r="O11" s="118">
        <v>0</v>
      </c>
      <c r="P11" s="118">
        <v>0</v>
      </c>
      <c r="Q11" s="118">
        <v>0</v>
      </c>
      <c r="R11" s="111">
        <v>0</v>
      </c>
      <c r="S11" s="111">
        <v>0</v>
      </c>
      <c r="T11" s="111">
        <v>0</v>
      </c>
      <c r="U11" s="112">
        <v>0</v>
      </c>
      <c r="V11" s="119">
        <v>0</v>
      </c>
      <c r="W11" s="119">
        <v>0</v>
      </c>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5"/>
      <c r="AY11" s="115"/>
    </row>
    <row r="12" spans="1:51">
      <c r="A12" s="314"/>
      <c r="B12" s="111" t="s">
        <v>69</v>
      </c>
      <c r="C12" s="117" t="s">
        <v>69</v>
      </c>
      <c r="D12" s="112" t="str">
        <f>C7</f>
        <v xml:space="preserve">Keluhan </v>
      </c>
      <c r="E12" s="110" t="s">
        <v>69</v>
      </c>
      <c r="F12" s="111">
        <v>1</v>
      </c>
      <c r="G12" s="111">
        <v>2</v>
      </c>
      <c r="H12" s="111">
        <v>1</v>
      </c>
      <c r="I12" s="111">
        <v>0</v>
      </c>
      <c r="J12" s="111">
        <v>1</v>
      </c>
      <c r="K12" s="111">
        <v>0</v>
      </c>
      <c r="L12" s="111">
        <v>0</v>
      </c>
      <c r="M12" s="111">
        <v>0</v>
      </c>
      <c r="N12" s="111">
        <v>1</v>
      </c>
      <c r="O12" s="111">
        <v>0</v>
      </c>
      <c r="P12" s="111">
        <v>0</v>
      </c>
      <c r="Q12" s="111">
        <v>0</v>
      </c>
      <c r="R12" s="111">
        <v>0</v>
      </c>
      <c r="S12" s="111">
        <v>0</v>
      </c>
      <c r="T12" s="111">
        <v>0</v>
      </c>
      <c r="U12" s="112">
        <v>0</v>
      </c>
      <c r="V12" s="119">
        <v>0</v>
      </c>
      <c r="W12" s="119">
        <v>0</v>
      </c>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5"/>
      <c r="AY12" s="115"/>
    </row>
    <row r="13" spans="1:51">
      <c r="A13" s="314"/>
      <c r="B13" s="111" t="s">
        <v>69</v>
      </c>
      <c r="C13" s="117" t="s">
        <v>69</v>
      </c>
      <c r="D13" s="112" t="str">
        <f>C8</f>
        <v>Apresiasi</v>
      </c>
      <c r="E13" s="110" t="s">
        <v>69</v>
      </c>
      <c r="F13" s="118">
        <v>0</v>
      </c>
      <c r="G13" s="118">
        <v>0</v>
      </c>
      <c r="H13" s="118">
        <v>0</v>
      </c>
      <c r="I13" s="118">
        <v>0</v>
      </c>
      <c r="J13" s="118">
        <v>0</v>
      </c>
      <c r="K13" s="118">
        <v>0</v>
      </c>
      <c r="L13" s="118">
        <v>0</v>
      </c>
      <c r="M13" s="118">
        <v>0</v>
      </c>
      <c r="N13" s="118">
        <v>0</v>
      </c>
      <c r="O13" s="118">
        <v>0</v>
      </c>
      <c r="P13" s="118">
        <v>0</v>
      </c>
      <c r="Q13" s="118">
        <v>0</v>
      </c>
      <c r="R13" s="111">
        <v>0</v>
      </c>
      <c r="S13" s="111">
        <v>0</v>
      </c>
      <c r="T13" s="111">
        <v>0</v>
      </c>
      <c r="U13" s="112">
        <v>0</v>
      </c>
      <c r="V13" s="119">
        <v>0</v>
      </c>
      <c r="W13" s="119">
        <v>0</v>
      </c>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5"/>
      <c r="AY13" s="115"/>
    </row>
    <row r="14" spans="1:51" ht="24.75">
      <c r="A14" s="314"/>
      <c r="B14" s="111" t="s">
        <v>73</v>
      </c>
      <c r="C14" s="120" t="s">
        <v>80</v>
      </c>
      <c r="D14" s="112" t="str">
        <f>C5</f>
        <v>Permintaan Informasi</v>
      </c>
      <c r="E14" s="110" t="s">
        <v>69</v>
      </c>
      <c r="F14" s="118">
        <v>0</v>
      </c>
      <c r="G14" s="118">
        <v>0</v>
      </c>
      <c r="H14" s="118">
        <v>0</v>
      </c>
      <c r="I14" s="118">
        <v>0</v>
      </c>
      <c r="J14" s="118">
        <v>0</v>
      </c>
      <c r="K14" s="118">
        <v>0</v>
      </c>
      <c r="L14" s="118">
        <v>0</v>
      </c>
      <c r="M14" s="118">
        <v>0</v>
      </c>
      <c r="N14" s="118">
        <v>0</v>
      </c>
      <c r="O14" s="118">
        <v>0</v>
      </c>
      <c r="P14" s="118">
        <v>0</v>
      </c>
      <c r="Q14" s="118">
        <v>0</v>
      </c>
      <c r="R14" s="111">
        <v>0</v>
      </c>
      <c r="S14" s="111">
        <v>0</v>
      </c>
      <c r="T14" s="111">
        <v>0</v>
      </c>
      <c r="U14" s="112">
        <v>0</v>
      </c>
      <c r="V14" s="119">
        <v>0</v>
      </c>
      <c r="W14" s="119">
        <v>0</v>
      </c>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5"/>
      <c r="AY14" s="115"/>
    </row>
    <row r="15" spans="1:51">
      <c r="A15" s="314"/>
      <c r="B15" s="111" t="s">
        <v>69</v>
      </c>
      <c r="C15" s="117" t="s">
        <v>69</v>
      </c>
      <c r="D15" s="112" t="s">
        <v>160</v>
      </c>
      <c r="E15" s="110" t="s">
        <v>69</v>
      </c>
      <c r="F15" s="118">
        <v>0</v>
      </c>
      <c r="G15" s="118">
        <v>0</v>
      </c>
      <c r="H15" s="118">
        <v>0</v>
      </c>
      <c r="I15" s="118">
        <v>0</v>
      </c>
      <c r="J15" s="118">
        <v>0</v>
      </c>
      <c r="K15" s="118">
        <v>0</v>
      </c>
      <c r="L15" s="118">
        <v>0</v>
      </c>
      <c r="M15" s="118">
        <v>0</v>
      </c>
      <c r="N15" s="118">
        <v>0</v>
      </c>
      <c r="O15" s="118">
        <v>0</v>
      </c>
      <c r="P15" s="118">
        <v>0</v>
      </c>
      <c r="Q15" s="118">
        <v>0</v>
      </c>
      <c r="R15" s="111">
        <v>0</v>
      </c>
      <c r="S15" s="111">
        <v>0</v>
      </c>
      <c r="T15" s="111">
        <v>0</v>
      </c>
      <c r="U15" s="112">
        <v>0</v>
      </c>
      <c r="V15" s="119">
        <v>0</v>
      </c>
      <c r="W15" s="119">
        <v>0</v>
      </c>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5"/>
      <c r="AY15" s="115"/>
    </row>
    <row r="16" spans="1:51">
      <c r="A16" s="314"/>
      <c r="B16" s="111" t="s">
        <v>69</v>
      </c>
      <c r="C16" s="117" t="s">
        <v>69</v>
      </c>
      <c r="D16" s="112" t="str">
        <f>C7</f>
        <v xml:space="preserve">Keluhan </v>
      </c>
      <c r="E16" s="110" t="s">
        <v>69</v>
      </c>
      <c r="F16" s="111">
        <v>0</v>
      </c>
      <c r="G16" s="111">
        <v>0</v>
      </c>
      <c r="H16" s="111">
        <v>0</v>
      </c>
      <c r="I16" s="111">
        <v>0</v>
      </c>
      <c r="J16" s="111">
        <v>0</v>
      </c>
      <c r="K16" s="111">
        <v>0</v>
      </c>
      <c r="L16" s="111">
        <v>1</v>
      </c>
      <c r="M16" s="111">
        <v>0</v>
      </c>
      <c r="N16" s="111">
        <v>0</v>
      </c>
      <c r="O16" s="111">
        <v>0</v>
      </c>
      <c r="P16" s="111">
        <v>0</v>
      </c>
      <c r="Q16" s="111">
        <v>0</v>
      </c>
      <c r="R16" s="111">
        <v>0</v>
      </c>
      <c r="S16" s="111">
        <v>0</v>
      </c>
      <c r="T16" s="111">
        <v>0</v>
      </c>
      <c r="U16" s="112">
        <v>0</v>
      </c>
      <c r="V16" s="119">
        <v>0</v>
      </c>
      <c r="W16" s="119">
        <v>0</v>
      </c>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5"/>
      <c r="AY16" s="115"/>
    </row>
    <row r="17" spans="1:51">
      <c r="A17" s="314"/>
      <c r="B17" s="111" t="s">
        <v>69</v>
      </c>
      <c r="C17" s="117" t="s">
        <v>69</v>
      </c>
      <c r="D17" s="112" t="str">
        <f>C8</f>
        <v>Apresiasi</v>
      </c>
      <c r="E17" s="110" t="s">
        <v>69</v>
      </c>
      <c r="F17" s="118">
        <v>0</v>
      </c>
      <c r="G17" s="118">
        <v>0</v>
      </c>
      <c r="H17" s="118">
        <v>0</v>
      </c>
      <c r="I17" s="118">
        <v>0</v>
      </c>
      <c r="J17" s="118">
        <v>0</v>
      </c>
      <c r="K17" s="118">
        <v>0</v>
      </c>
      <c r="L17" s="118">
        <v>0</v>
      </c>
      <c r="M17" s="118">
        <v>0</v>
      </c>
      <c r="N17" s="118">
        <v>0</v>
      </c>
      <c r="O17" s="118">
        <v>0</v>
      </c>
      <c r="P17" s="118">
        <v>0</v>
      </c>
      <c r="Q17" s="118">
        <v>0</v>
      </c>
      <c r="R17" s="111">
        <v>0</v>
      </c>
      <c r="S17" s="111">
        <v>0</v>
      </c>
      <c r="T17" s="111">
        <v>0</v>
      </c>
      <c r="U17" s="112">
        <v>0</v>
      </c>
      <c r="V17" s="119">
        <v>0</v>
      </c>
      <c r="W17" s="119">
        <v>0</v>
      </c>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5"/>
      <c r="AY17" s="115"/>
    </row>
    <row r="18" spans="1:51">
      <c r="A18" s="314"/>
      <c r="B18" s="112" t="s">
        <v>75</v>
      </c>
      <c r="C18" s="119" t="s">
        <v>82</v>
      </c>
      <c r="D18" s="112" t="str">
        <f>C5</f>
        <v>Permintaan Informasi</v>
      </c>
      <c r="E18" s="110" t="s">
        <v>69</v>
      </c>
      <c r="F18" s="118">
        <v>0</v>
      </c>
      <c r="G18" s="118">
        <v>0</v>
      </c>
      <c r="H18" s="118">
        <v>0</v>
      </c>
      <c r="I18" s="118">
        <v>0</v>
      </c>
      <c r="J18" s="118">
        <v>0</v>
      </c>
      <c r="K18" s="118">
        <v>0</v>
      </c>
      <c r="L18" s="118">
        <v>0</v>
      </c>
      <c r="M18" s="118">
        <v>0</v>
      </c>
      <c r="N18" s="118">
        <v>0</v>
      </c>
      <c r="O18" s="118">
        <v>0</v>
      </c>
      <c r="P18" s="118">
        <v>0</v>
      </c>
      <c r="Q18" s="118">
        <v>0</v>
      </c>
      <c r="R18" s="111">
        <v>0</v>
      </c>
      <c r="S18" s="111">
        <v>0</v>
      </c>
      <c r="T18" s="111">
        <v>0</v>
      </c>
      <c r="U18" s="112">
        <v>0</v>
      </c>
      <c r="V18" s="119">
        <v>0</v>
      </c>
      <c r="W18" s="119">
        <v>0</v>
      </c>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5"/>
      <c r="AY18" s="115"/>
    </row>
    <row r="19" spans="1:51">
      <c r="A19" s="314"/>
      <c r="B19" s="111" t="s">
        <v>69</v>
      </c>
      <c r="C19" s="117" t="s">
        <v>69</v>
      </c>
      <c r="D19" s="112" t="str">
        <f>C6</f>
        <v xml:space="preserve">Request </v>
      </c>
      <c r="E19" s="110" t="s">
        <v>69</v>
      </c>
      <c r="F19" s="118">
        <v>0</v>
      </c>
      <c r="G19" s="118">
        <v>0</v>
      </c>
      <c r="H19" s="118">
        <v>0</v>
      </c>
      <c r="I19" s="118">
        <v>0</v>
      </c>
      <c r="J19" s="118">
        <v>0</v>
      </c>
      <c r="K19" s="118">
        <v>0</v>
      </c>
      <c r="L19" s="118">
        <v>0</v>
      </c>
      <c r="M19" s="118">
        <v>0</v>
      </c>
      <c r="N19" s="118">
        <v>0</v>
      </c>
      <c r="O19" s="118">
        <v>0</v>
      </c>
      <c r="P19" s="118">
        <v>0</v>
      </c>
      <c r="Q19" s="118">
        <v>0</v>
      </c>
      <c r="R19" s="111">
        <v>0</v>
      </c>
      <c r="S19" s="111">
        <v>0</v>
      </c>
      <c r="T19" s="111">
        <v>4</v>
      </c>
      <c r="U19" s="112">
        <v>1</v>
      </c>
      <c r="V19" s="119">
        <v>0</v>
      </c>
      <c r="W19" s="119">
        <v>1</v>
      </c>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5"/>
      <c r="AY19" s="115"/>
    </row>
    <row r="20" spans="1:51">
      <c r="A20" s="314"/>
      <c r="B20" s="111" t="s">
        <v>69</v>
      </c>
      <c r="C20" s="117" t="s">
        <v>69</v>
      </c>
      <c r="D20" s="112" t="str">
        <f>C7</f>
        <v xml:space="preserve">Keluhan </v>
      </c>
      <c r="E20" s="110" t="s">
        <v>69</v>
      </c>
      <c r="F20" s="111">
        <v>1</v>
      </c>
      <c r="G20" s="111">
        <v>1</v>
      </c>
      <c r="H20" s="111">
        <v>0</v>
      </c>
      <c r="I20" s="111">
        <v>2</v>
      </c>
      <c r="J20" s="111">
        <v>2</v>
      </c>
      <c r="K20" s="111">
        <v>0</v>
      </c>
      <c r="L20" s="111">
        <v>0</v>
      </c>
      <c r="M20" s="111">
        <v>3</v>
      </c>
      <c r="N20" s="111">
        <v>1</v>
      </c>
      <c r="O20" s="111">
        <v>0</v>
      </c>
      <c r="P20" s="111">
        <v>1</v>
      </c>
      <c r="Q20" s="111">
        <v>1</v>
      </c>
      <c r="R20" s="111">
        <v>2</v>
      </c>
      <c r="S20" s="111">
        <v>0</v>
      </c>
      <c r="T20" s="111">
        <v>0</v>
      </c>
      <c r="U20" s="112">
        <v>3</v>
      </c>
      <c r="V20" s="119">
        <v>2</v>
      </c>
      <c r="W20" s="119">
        <v>0</v>
      </c>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5"/>
      <c r="AY20" s="115"/>
    </row>
    <row r="21" spans="1:51">
      <c r="A21" s="314"/>
      <c r="B21" s="111" t="s">
        <v>69</v>
      </c>
      <c r="C21" s="117" t="s">
        <v>69</v>
      </c>
      <c r="D21" s="112" t="str">
        <f>C8</f>
        <v>Apresiasi</v>
      </c>
      <c r="E21" s="110" t="s">
        <v>69</v>
      </c>
      <c r="F21" s="118">
        <v>0</v>
      </c>
      <c r="G21" s="118">
        <v>0</v>
      </c>
      <c r="H21" s="118">
        <v>0</v>
      </c>
      <c r="I21" s="118">
        <v>0</v>
      </c>
      <c r="J21" s="118">
        <v>0</v>
      </c>
      <c r="K21" s="118">
        <v>0</v>
      </c>
      <c r="L21" s="118">
        <v>0</v>
      </c>
      <c r="M21" s="118">
        <v>0</v>
      </c>
      <c r="N21" s="118">
        <v>0</v>
      </c>
      <c r="O21" s="118">
        <v>0</v>
      </c>
      <c r="P21" s="118">
        <v>0</v>
      </c>
      <c r="Q21" s="118">
        <v>0</v>
      </c>
      <c r="R21" s="111">
        <v>0</v>
      </c>
      <c r="S21" s="111">
        <v>0</v>
      </c>
      <c r="T21" s="111">
        <v>0</v>
      </c>
      <c r="U21" s="112">
        <v>0</v>
      </c>
      <c r="V21" s="119">
        <v>0</v>
      </c>
      <c r="W21" s="119">
        <v>0</v>
      </c>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5"/>
      <c r="AY21" s="115"/>
    </row>
    <row r="22" spans="1:51">
      <c r="A22" s="314"/>
      <c r="B22" s="111" t="s">
        <v>77</v>
      </c>
      <c r="C22" s="117" t="s">
        <v>83</v>
      </c>
      <c r="D22" s="112" t="str">
        <f>D10</f>
        <v>Permintaan Informasi</v>
      </c>
      <c r="E22" s="110" t="s">
        <v>69</v>
      </c>
      <c r="F22" s="118">
        <v>0</v>
      </c>
      <c r="G22" s="118">
        <v>0</v>
      </c>
      <c r="H22" s="118">
        <v>0</v>
      </c>
      <c r="I22" s="118">
        <v>0</v>
      </c>
      <c r="J22" s="118">
        <v>0</v>
      </c>
      <c r="K22" s="118">
        <v>0</v>
      </c>
      <c r="L22" s="118">
        <v>0</v>
      </c>
      <c r="M22" s="118">
        <v>0</v>
      </c>
      <c r="N22" s="118">
        <v>0</v>
      </c>
      <c r="O22" s="118">
        <v>0</v>
      </c>
      <c r="P22" s="118">
        <v>0</v>
      </c>
      <c r="Q22" s="118">
        <v>0</v>
      </c>
      <c r="R22" s="111">
        <v>0</v>
      </c>
      <c r="S22" s="111">
        <v>0</v>
      </c>
      <c r="T22" s="111">
        <v>0</v>
      </c>
      <c r="U22" s="112">
        <v>0</v>
      </c>
      <c r="V22" s="119">
        <v>0</v>
      </c>
      <c r="W22" s="119">
        <v>0</v>
      </c>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5"/>
      <c r="AY22" s="115"/>
    </row>
    <row r="23" spans="1:51">
      <c r="A23" s="314"/>
      <c r="B23" s="111" t="s">
        <v>69</v>
      </c>
      <c r="C23" s="111" t="s">
        <v>69</v>
      </c>
      <c r="D23" s="112" t="str">
        <f>D11</f>
        <v xml:space="preserve">Request </v>
      </c>
      <c r="E23" s="110" t="s">
        <v>69</v>
      </c>
      <c r="F23" s="118">
        <v>0</v>
      </c>
      <c r="G23" s="118">
        <v>0</v>
      </c>
      <c r="H23" s="118">
        <v>0</v>
      </c>
      <c r="I23" s="118">
        <v>0</v>
      </c>
      <c r="J23" s="118">
        <v>0</v>
      </c>
      <c r="K23" s="118">
        <v>0</v>
      </c>
      <c r="L23" s="118">
        <v>0</v>
      </c>
      <c r="M23" s="118">
        <v>0</v>
      </c>
      <c r="N23" s="118">
        <v>0</v>
      </c>
      <c r="O23" s="118">
        <v>0</v>
      </c>
      <c r="P23" s="118">
        <v>0</v>
      </c>
      <c r="Q23" s="118">
        <v>0</v>
      </c>
      <c r="R23" s="111">
        <v>0</v>
      </c>
      <c r="S23" s="111">
        <v>0</v>
      </c>
      <c r="T23" s="111">
        <v>0</v>
      </c>
      <c r="U23" s="112">
        <v>0</v>
      </c>
      <c r="V23" s="119">
        <v>0</v>
      </c>
      <c r="W23" s="119">
        <v>0</v>
      </c>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5"/>
      <c r="AY23" s="115"/>
    </row>
    <row r="24" spans="1:51">
      <c r="A24" s="314"/>
      <c r="B24" s="111" t="s">
        <v>69</v>
      </c>
      <c r="C24" s="111" t="s">
        <v>69</v>
      </c>
      <c r="D24" s="112" t="str">
        <f>D12</f>
        <v xml:space="preserve">Keluhan </v>
      </c>
      <c r="E24" s="110" t="s">
        <v>69</v>
      </c>
      <c r="F24" s="118">
        <v>0</v>
      </c>
      <c r="G24" s="118">
        <v>0</v>
      </c>
      <c r="H24" s="118">
        <v>0</v>
      </c>
      <c r="I24" s="118">
        <v>0</v>
      </c>
      <c r="J24" s="118">
        <v>0</v>
      </c>
      <c r="K24" s="118">
        <v>0</v>
      </c>
      <c r="L24" s="118">
        <v>0</v>
      </c>
      <c r="M24" s="118">
        <v>0</v>
      </c>
      <c r="N24" s="118">
        <v>0</v>
      </c>
      <c r="O24" s="118">
        <v>0</v>
      </c>
      <c r="P24" s="118">
        <v>0</v>
      </c>
      <c r="Q24" s="118">
        <v>0</v>
      </c>
      <c r="R24" s="111">
        <v>0</v>
      </c>
      <c r="S24" s="111">
        <v>0</v>
      </c>
      <c r="T24" s="111">
        <v>0</v>
      </c>
      <c r="U24" s="112">
        <v>0</v>
      </c>
      <c r="V24" s="119">
        <v>0</v>
      </c>
      <c r="W24" s="119">
        <v>0</v>
      </c>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5"/>
      <c r="AY24" s="115"/>
    </row>
    <row r="25" spans="1:51">
      <c r="A25" s="314"/>
      <c r="B25" s="111" t="s">
        <v>69</v>
      </c>
      <c r="C25" s="111" t="s">
        <v>69</v>
      </c>
      <c r="D25" s="112" t="str">
        <f>D13</f>
        <v>Apresiasi</v>
      </c>
      <c r="E25" s="110" t="s">
        <v>69</v>
      </c>
      <c r="F25" s="118">
        <v>0</v>
      </c>
      <c r="G25" s="118">
        <v>0</v>
      </c>
      <c r="H25" s="118">
        <v>0</v>
      </c>
      <c r="I25" s="118">
        <v>0</v>
      </c>
      <c r="J25" s="118">
        <v>0</v>
      </c>
      <c r="K25" s="118">
        <v>0</v>
      </c>
      <c r="L25" s="118">
        <v>0</v>
      </c>
      <c r="M25" s="118">
        <v>0</v>
      </c>
      <c r="N25" s="118">
        <v>0</v>
      </c>
      <c r="O25" s="118">
        <v>0</v>
      </c>
      <c r="P25" s="118">
        <v>0</v>
      </c>
      <c r="Q25" s="118">
        <v>0</v>
      </c>
      <c r="R25" s="111">
        <v>0</v>
      </c>
      <c r="S25" s="111">
        <v>0</v>
      </c>
      <c r="T25" s="111">
        <v>0</v>
      </c>
      <c r="U25" s="112">
        <v>0</v>
      </c>
      <c r="V25" s="119">
        <v>0</v>
      </c>
      <c r="W25" s="119">
        <v>0</v>
      </c>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5"/>
      <c r="AY25" s="115"/>
    </row>
    <row r="26" spans="1:51">
      <c r="A26" s="314"/>
      <c r="B26" s="111" t="s">
        <v>84</v>
      </c>
      <c r="C26" s="117" t="s">
        <v>85</v>
      </c>
      <c r="D26" s="112" t="str">
        <f>D10</f>
        <v>Permintaan Informasi</v>
      </c>
      <c r="E26" s="110" t="s">
        <v>69</v>
      </c>
      <c r="F26" s="118">
        <v>0</v>
      </c>
      <c r="G26" s="118">
        <v>0</v>
      </c>
      <c r="H26" s="118">
        <v>0</v>
      </c>
      <c r="I26" s="118">
        <v>0</v>
      </c>
      <c r="J26" s="118">
        <v>0</v>
      </c>
      <c r="K26" s="118">
        <v>0</v>
      </c>
      <c r="L26" s="118">
        <v>0</v>
      </c>
      <c r="M26" s="118">
        <v>0</v>
      </c>
      <c r="N26" s="118">
        <v>0</v>
      </c>
      <c r="O26" s="118">
        <v>0</v>
      </c>
      <c r="P26" s="118">
        <v>0</v>
      </c>
      <c r="Q26" s="118">
        <v>0</v>
      </c>
      <c r="R26" s="111">
        <v>0</v>
      </c>
      <c r="S26" s="111">
        <v>0</v>
      </c>
      <c r="T26" s="111">
        <v>0</v>
      </c>
      <c r="U26" s="112">
        <v>0</v>
      </c>
      <c r="V26" s="119">
        <v>0</v>
      </c>
      <c r="W26" s="119">
        <v>0</v>
      </c>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5"/>
      <c r="AY26" s="115"/>
    </row>
    <row r="27" spans="1:51">
      <c r="A27" s="314"/>
      <c r="B27" s="121" t="s">
        <v>69</v>
      </c>
      <c r="C27" s="122" t="s">
        <v>69</v>
      </c>
      <c r="D27" s="112" t="str">
        <f>D11</f>
        <v xml:space="preserve">Request </v>
      </c>
      <c r="E27" s="110" t="s">
        <v>69</v>
      </c>
      <c r="F27" s="118">
        <v>0</v>
      </c>
      <c r="G27" s="118">
        <v>0</v>
      </c>
      <c r="H27" s="118">
        <v>0</v>
      </c>
      <c r="I27" s="118">
        <v>0</v>
      </c>
      <c r="J27" s="118">
        <v>0</v>
      </c>
      <c r="K27" s="118">
        <v>0</v>
      </c>
      <c r="L27" s="118">
        <v>0</v>
      </c>
      <c r="M27" s="118">
        <v>0</v>
      </c>
      <c r="N27" s="118">
        <v>0</v>
      </c>
      <c r="O27" s="118">
        <v>0</v>
      </c>
      <c r="P27" s="118">
        <v>0</v>
      </c>
      <c r="Q27" s="118">
        <v>0</v>
      </c>
      <c r="R27" s="111">
        <v>0</v>
      </c>
      <c r="S27" s="111">
        <v>0</v>
      </c>
      <c r="T27" s="111">
        <v>0</v>
      </c>
      <c r="U27" s="112">
        <v>0</v>
      </c>
      <c r="V27" s="119">
        <v>0</v>
      </c>
      <c r="W27" s="119">
        <v>0</v>
      </c>
      <c r="X27" s="114" t="s">
        <v>69</v>
      </c>
      <c r="Y27" s="114" t="s">
        <v>69</v>
      </c>
      <c r="Z27" s="114" t="s">
        <v>69</v>
      </c>
      <c r="AA27" s="114" t="s">
        <v>69</v>
      </c>
      <c r="AB27" s="114" t="s">
        <v>69</v>
      </c>
      <c r="AC27" s="114" t="s">
        <v>69</v>
      </c>
      <c r="AD27" s="114" t="s">
        <v>69</v>
      </c>
      <c r="AE27" s="114" t="s">
        <v>69</v>
      </c>
      <c r="AF27" s="114" t="s">
        <v>69</v>
      </c>
      <c r="AG27" s="114" t="s">
        <v>69</v>
      </c>
      <c r="AH27" s="114" t="s">
        <v>69</v>
      </c>
      <c r="AI27" s="114" t="s">
        <v>69</v>
      </c>
      <c r="AJ27" s="114" t="s">
        <v>69</v>
      </c>
      <c r="AK27" s="114" t="s">
        <v>69</v>
      </c>
      <c r="AL27" s="114" t="s">
        <v>69</v>
      </c>
      <c r="AM27" s="114" t="s">
        <v>69</v>
      </c>
      <c r="AN27" s="114" t="s">
        <v>69</v>
      </c>
      <c r="AO27" s="114" t="s">
        <v>69</v>
      </c>
      <c r="AP27" s="114" t="s">
        <v>69</v>
      </c>
      <c r="AQ27" s="114" t="s">
        <v>69</v>
      </c>
      <c r="AR27" s="114" t="s">
        <v>69</v>
      </c>
      <c r="AS27" s="114" t="s">
        <v>69</v>
      </c>
      <c r="AT27" s="114" t="s">
        <v>69</v>
      </c>
      <c r="AU27" s="114" t="s">
        <v>69</v>
      </c>
      <c r="AV27" s="114" t="s">
        <v>69</v>
      </c>
      <c r="AW27" s="114" t="s">
        <v>69</v>
      </c>
      <c r="AX27" s="115"/>
      <c r="AY27" s="115"/>
    </row>
    <row r="28" spans="1:51">
      <c r="A28" s="314"/>
      <c r="B28" s="121" t="s">
        <v>69</v>
      </c>
      <c r="C28" s="122" t="s">
        <v>69</v>
      </c>
      <c r="D28" s="112" t="str">
        <f>D12</f>
        <v xml:space="preserve">Keluhan </v>
      </c>
      <c r="E28" s="110" t="s">
        <v>69</v>
      </c>
      <c r="F28" s="118">
        <v>0</v>
      </c>
      <c r="G28" s="118">
        <v>0</v>
      </c>
      <c r="H28" s="118">
        <v>0</v>
      </c>
      <c r="I28" s="118">
        <v>0</v>
      </c>
      <c r="J28" s="118">
        <v>0</v>
      </c>
      <c r="K28" s="118">
        <v>0</v>
      </c>
      <c r="L28" s="118">
        <v>0</v>
      </c>
      <c r="M28" s="118">
        <v>0</v>
      </c>
      <c r="N28" s="118">
        <v>0</v>
      </c>
      <c r="O28" s="118">
        <v>0</v>
      </c>
      <c r="P28" s="118">
        <v>0</v>
      </c>
      <c r="Q28" s="118">
        <v>0</v>
      </c>
      <c r="R28" s="111">
        <v>0</v>
      </c>
      <c r="S28" s="111">
        <v>0</v>
      </c>
      <c r="T28" s="111">
        <v>0</v>
      </c>
      <c r="U28" s="112">
        <v>0</v>
      </c>
      <c r="V28" s="119">
        <v>0</v>
      </c>
      <c r="W28" s="119">
        <v>0</v>
      </c>
      <c r="X28" s="114" t="s">
        <v>69</v>
      </c>
      <c r="Y28" s="114" t="s">
        <v>69</v>
      </c>
      <c r="Z28" s="114" t="s">
        <v>69</v>
      </c>
      <c r="AA28" s="114" t="s">
        <v>69</v>
      </c>
      <c r="AB28" s="114" t="s">
        <v>69</v>
      </c>
      <c r="AC28" s="114" t="s">
        <v>69</v>
      </c>
      <c r="AD28" s="114" t="s">
        <v>69</v>
      </c>
      <c r="AE28" s="114" t="s">
        <v>69</v>
      </c>
      <c r="AF28" s="114" t="s">
        <v>69</v>
      </c>
      <c r="AG28" s="114" t="s">
        <v>69</v>
      </c>
      <c r="AH28" s="114" t="s">
        <v>69</v>
      </c>
      <c r="AI28" s="114" t="s">
        <v>69</v>
      </c>
      <c r="AJ28" s="114" t="s">
        <v>69</v>
      </c>
      <c r="AK28" s="114" t="s">
        <v>69</v>
      </c>
      <c r="AL28" s="114" t="s">
        <v>69</v>
      </c>
      <c r="AM28" s="114" t="s">
        <v>69</v>
      </c>
      <c r="AN28" s="114" t="s">
        <v>69</v>
      </c>
      <c r="AO28" s="114" t="s">
        <v>69</v>
      </c>
      <c r="AP28" s="114" t="s">
        <v>69</v>
      </c>
      <c r="AQ28" s="114" t="s">
        <v>69</v>
      </c>
      <c r="AR28" s="114" t="s">
        <v>69</v>
      </c>
      <c r="AS28" s="114" t="s">
        <v>69</v>
      </c>
      <c r="AT28" s="114" t="s">
        <v>69</v>
      </c>
      <c r="AU28" s="114" t="s">
        <v>69</v>
      </c>
      <c r="AV28" s="114" t="s">
        <v>69</v>
      </c>
      <c r="AW28" s="114" t="s">
        <v>69</v>
      </c>
      <c r="AX28" s="115"/>
      <c r="AY28" s="115"/>
    </row>
    <row r="29" spans="1:51">
      <c r="A29" s="314"/>
      <c r="B29" s="121" t="s">
        <v>69</v>
      </c>
      <c r="C29" s="122" t="s">
        <v>69</v>
      </c>
      <c r="D29" s="112" t="str">
        <f>D13</f>
        <v>Apresiasi</v>
      </c>
      <c r="E29" s="110" t="s">
        <v>69</v>
      </c>
      <c r="F29" s="118">
        <v>0</v>
      </c>
      <c r="G29" s="118">
        <v>0</v>
      </c>
      <c r="H29" s="118">
        <v>0</v>
      </c>
      <c r="I29" s="118">
        <v>0</v>
      </c>
      <c r="J29" s="118">
        <v>0</v>
      </c>
      <c r="K29" s="118">
        <v>0</v>
      </c>
      <c r="L29" s="118">
        <v>0</v>
      </c>
      <c r="M29" s="118">
        <v>0</v>
      </c>
      <c r="N29" s="118">
        <v>0</v>
      </c>
      <c r="O29" s="118">
        <v>0</v>
      </c>
      <c r="P29" s="118">
        <v>0</v>
      </c>
      <c r="Q29" s="118">
        <v>0</v>
      </c>
      <c r="R29" s="111">
        <v>0</v>
      </c>
      <c r="S29" s="111">
        <v>0</v>
      </c>
      <c r="T29" s="111">
        <v>0</v>
      </c>
      <c r="U29" s="112">
        <v>0</v>
      </c>
      <c r="V29" s="119">
        <v>0</v>
      </c>
      <c r="W29" s="119">
        <v>0</v>
      </c>
      <c r="X29" s="114" t="s">
        <v>69</v>
      </c>
      <c r="Y29" s="114" t="s">
        <v>69</v>
      </c>
      <c r="Z29" s="114" t="s">
        <v>69</v>
      </c>
      <c r="AA29" s="114" t="s">
        <v>69</v>
      </c>
      <c r="AB29" s="114" t="s">
        <v>69</v>
      </c>
      <c r="AC29" s="114" t="s">
        <v>69</v>
      </c>
      <c r="AD29" s="114" t="s">
        <v>69</v>
      </c>
      <c r="AE29" s="114" t="s">
        <v>69</v>
      </c>
      <c r="AF29" s="114" t="s">
        <v>69</v>
      </c>
      <c r="AG29" s="114" t="s">
        <v>69</v>
      </c>
      <c r="AH29" s="114" t="s">
        <v>69</v>
      </c>
      <c r="AI29" s="114" t="s">
        <v>69</v>
      </c>
      <c r="AJ29" s="114" t="s">
        <v>69</v>
      </c>
      <c r="AK29" s="114" t="s">
        <v>69</v>
      </c>
      <c r="AL29" s="114" t="s">
        <v>69</v>
      </c>
      <c r="AM29" s="114" t="s">
        <v>69</v>
      </c>
      <c r="AN29" s="114" t="s">
        <v>69</v>
      </c>
      <c r="AO29" s="114" t="s">
        <v>69</v>
      </c>
      <c r="AP29" s="114" t="s">
        <v>69</v>
      </c>
      <c r="AQ29" s="114" t="s">
        <v>69</v>
      </c>
      <c r="AR29" s="114" t="s">
        <v>69</v>
      </c>
      <c r="AS29" s="114" t="s">
        <v>69</v>
      </c>
      <c r="AT29" s="114" t="s">
        <v>69</v>
      </c>
      <c r="AU29" s="114" t="s">
        <v>69</v>
      </c>
      <c r="AV29" s="114" t="s">
        <v>69</v>
      </c>
      <c r="AW29" s="114" t="s">
        <v>69</v>
      </c>
      <c r="AX29" s="115"/>
      <c r="AY29" s="115"/>
    </row>
    <row r="30" spans="1:51">
      <c r="A30" s="314"/>
      <c r="B30" s="121" t="s">
        <v>86</v>
      </c>
      <c r="C30" s="122" t="s">
        <v>87</v>
      </c>
      <c r="D30" s="123" t="str">
        <f>D26</f>
        <v>Permintaan Informasi</v>
      </c>
      <c r="E30" s="110" t="s">
        <v>69</v>
      </c>
      <c r="F30" s="118">
        <v>0</v>
      </c>
      <c r="G30" s="118">
        <v>0</v>
      </c>
      <c r="H30" s="118">
        <v>0</v>
      </c>
      <c r="I30" s="118">
        <v>0</v>
      </c>
      <c r="J30" s="118">
        <v>0</v>
      </c>
      <c r="K30" s="118">
        <v>0</v>
      </c>
      <c r="L30" s="118">
        <v>0</v>
      </c>
      <c r="M30" s="118">
        <v>0</v>
      </c>
      <c r="N30" s="118">
        <v>0</v>
      </c>
      <c r="O30" s="118">
        <v>0</v>
      </c>
      <c r="P30" s="118">
        <v>0</v>
      </c>
      <c r="Q30" s="118">
        <v>0</v>
      </c>
      <c r="R30" s="111">
        <v>0</v>
      </c>
      <c r="S30" s="111">
        <v>0</v>
      </c>
      <c r="T30" s="111">
        <v>0</v>
      </c>
      <c r="U30" s="112">
        <v>0</v>
      </c>
      <c r="V30" s="119">
        <v>0</v>
      </c>
      <c r="W30" s="119">
        <v>0</v>
      </c>
      <c r="X30" s="114" t="s">
        <v>69</v>
      </c>
      <c r="Y30" s="114" t="s">
        <v>69</v>
      </c>
      <c r="Z30" s="114" t="s">
        <v>69</v>
      </c>
      <c r="AA30" s="114" t="s">
        <v>69</v>
      </c>
      <c r="AB30" s="114" t="s">
        <v>69</v>
      </c>
      <c r="AC30" s="114" t="s">
        <v>69</v>
      </c>
      <c r="AD30" s="114" t="s">
        <v>69</v>
      </c>
      <c r="AE30" s="114" t="s">
        <v>69</v>
      </c>
      <c r="AF30" s="114" t="s">
        <v>69</v>
      </c>
      <c r="AG30" s="114" t="s">
        <v>69</v>
      </c>
      <c r="AH30" s="114" t="s">
        <v>69</v>
      </c>
      <c r="AI30" s="114" t="s">
        <v>69</v>
      </c>
      <c r="AJ30" s="114" t="s">
        <v>69</v>
      </c>
      <c r="AK30" s="114" t="s">
        <v>69</v>
      </c>
      <c r="AL30" s="114" t="s">
        <v>69</v>
      </c>
      <c r="AM30" s="114" t="s">
        <v>69</v>
      </c>
      <c r="AN30" s="114" t="s">
        <v>69</v>
      </c>
      <c r="AO30" s="114" t="s">
        <v>69</v>
      </c>
      <c r="AP30" s="114" t="s">
        <v>69</v>
      </c>
      <c r="AQ30" s="114" t="s">
        <v>69</v>
      </c>
      <c r="AR30" s="114" t="s">
        <v>69</v>
      </c>
      <c r="AS30" s="114" t="s">
        <v>69</v>
      </c>
      <c r="AT30" s="114" t="s">
        <v>69</v>
      </c>
      <c r="AU30" s="114" t="s">
        <v>69</v>
      </c>
      <c r="AV30" s="114" t="s">
        <v>69</v>
      </c>
      <c r="AW30" s="114" t="s">
        <v>69</v>
      </c>
      <c r="AX30" s="115"/>
      <c r="AY30" s="115"/>
    </row>
    <row r="31" spans="1:51">
      <c r="A31" s="314"/>
      <c r="B31" s="121" t="s">
        <v>69</v>
      </c>
      <c r="C31" s="122" t="s">
        <v>69</v>
      </c>
      <c r="D31" s="123" t="str">
        <f>D27</f>
        <v xml:space="preserve">Request </v>
      </c>
      <c r="E31" s="110" t="s">
        <v>69</v>
      </c>
      <c r="F31" s="118">
        <v>0</v>
      </c>
      <c r="G31" s="118">
        <v>0</v>
      </c>
      <c r="H31" s="118">
        <v>0</v>
      </c>
      <c r="I31" s="118">
        <v>0</v>
      </c>
      <c r="J31" s="118">
        <v>0</v>
      </c>
      <c r="K31" s="118">
        <v>0</v>
      </c>
      <c r="L31" s="118">
        <v>0</v>
      </c>
      <c r="M31" s="118">
        <v>0</v>
      </c>
      <c r="N31" s="118">
        <v>0</v>
      </c>
      <c r="O31" s="118">
        <v>0</v>
      </c>
      <c r="P31" s="118">
        <v>0</v>
      </c>
      <c r="Q31" s="118">
        <v>0</v>
      </c>
      <c r="R31" s="111">
        <v>0</v>
      </c>
      <c r="S31" s="111">
        <v>0</v>
      </c>
      <c r="T31" s="111">
        <v>0</v>
      </c>
      <c r="U31" s="112">
        <v>0</v>
      </c>
      <c r="V31" s="119">
        <v>0</v>
      </c>
      <c r="W31" s="119">
        <v>0</v>
      </c>
      <c r="X31" s="114" t="s">
        <v>69</v>
      </c>
      <c r="Y31" s="114" t="s">
        <v>69</v>
      </c>
      <c r="Z31" s="114" t="s">
        <v>69</v>
      </c>
      <c r="AA31" s="114" t="s">
        <v>69</v>
      </c>
      <c r="AB31" s="114" t="s">
        <v>69</v>
      </c>
      <c r="AC31" s="114" t="s">
        <v>69</v>
      </c>
      <c r="AD31" s="114" t="s">
        <v>69</v>
      </c>
      <c r="AE31" s="114" t="s">
        <v>69</v>
      </c>
      <c r="AF31" s="114" t="s">
        <v>69</v>
      </c>
      <c r="AG31" s="114" t="s">
        <v>69</v>
      </c>
      <c r="AH31" s="114" t="s">
        <v>69</v>
      </c>
      <c r="AI31" s="114" t="s">
        <v>69</v>
      </c>
      <c r="AJ31" s="114" t="s">
        <v>69</v>
      </c>
      <c r="AK31" s="114" t="s">
        <v>69</v>
      </c>
      <c r="AL31" s="114" t="s">
        <v>69</v>
      </c>
      <c r="AM31" s="114" t="s">
        <v>69</v>
      </c>
      <c r="AN31" s="114" t="s">
        <v>69</v>
      </c>
      <c r="AO31" s="114" t="s">
        <v>69</v>
      </c>
      <c r="AP31" s="114" t="s">
        <v>69</v>
      </c>
      <c r="AQ31" s="114" t="s">
        <v>69</v>
      </c>
      <c r="AR31" s="114" t="s">
        <v>69</v>
      </c>
      <c r="AS31" s="114" t="s">
        <v>69</v>
      </c>
      <c r="AT31" s="114" t="s">
        <v>69</v>
      </c>
      <c r="AU31" s="114" t="s">
        <v>69</v>
      </c>
      <c r="AV31" s="114" t="s">
        <v>69</v>
      </c>
      <c r="AW31" s="114" t="s">
        <v>69</v>
      </c>
      <c r="AX31" s="115"/>
      <c r="AY31" s="115"/>
    </row>
    <row r="32" spans="1:51">
      <c r="A32" s="314"/>
      <c r="B32" s="121" t="s">
        <v>69</v>
      </c>
      <c r="C32" s="122" t="s">
        <v>69</v>
      </c>
      <c r="D32" s="123" t="str">
        <f>D28</f>
        <v xml:space="preserve">Keluhan </v>
      </c>
      <c r="E32" s="110" t="s">
        <v>69</v>
      </c>
      <c r="F32" s="118">
        <v>0</v>
      </c>
      <c r="G32" s="118">
        <v>0</v>
      </c>
      <c r="H32" s="118">
        <v>0</v>
      </c>
      <c r="I32" s="118">
        <v>0</v>
      </c>
      <c r="J32" s="118">
        <v>0</v>
      </c>
      <c r="K32" s="118">
        <v>0</v>
      </c>
      <c r="L32" s="118">
        <v>0</v>
      </c>
      <c r="M32" s="118">
        <v>0</v>
      </c>
      <c r="N32" s="118">
        <v>0</v>
      </c>
      <c r="O32" s="118">
        <v>0</v>
      </c>
      <c r="P32" s="118">
        <v>0</v>
      </c>
      <c r="Q32" s="118">
        <v>0</v>
      </c>
      <c r="R32" s="111">
        <v>0</v>
      </c>
      <c r="S32" s="111">
        <v>0</v>
      </c>
      <c r="T32" s="111">
        <v>0</v>
      </c>
      <c r="U32" s="112">
        <v>0</v>
      </c>
      <c r="V32" s="119">
        <v>0</v>
      </c>
      <c r="W32" s="119">
        <v>0</v>
      </c>
      <c r="X32" s="114" t="s">
        <v>69</v>
      </c>
      <c r="Y32" s="114" t="s">
        <v>69</v>
      </c>
      <c r="Z32" s="114" t="s">
        <v>69</v>
      </c>
      <c r="AA32" s="114" t="s">
        <v>69</v>
      </c>
      <c r="AB32" s="114" t="s">
        <v>69</v>
      </c>
      <c r="AC32" s="114" t="s">
        <v>69</v>
      </c>
      <c r="AD32" s="114" t="s">
        <v>69</v>
      </c>
      <c r="AE32" s="114" t="s">
        <v>69</v>
      </c>
      <c r="AF32" s="114" t="s">
        <v>69</v>
      </c>
      <c r="AG32" s="114" t="s">
        <v>69</v>
      </c>
      <c r="AH32" s="114" t="s">
        <v>69</v>
      </c>
      <c r="AI32" s="114" t="s">
        <v>69</v>
      </c>
      <c r="AJ32" s="114" t="s">
        <v>69</v>
      </c>
      <c r="AK32" s="114" t="s">
        <v>69</v>
      </c>
      <c r="AL32" s="114" t="s">
        <v>69</v>
      </c>
      <c r="AM32" s="114" t="s">
        <v>69</v>
      </c>
      <c r="AN32" s="114" t="s">
        <v>69</v>
      </c>
      <c r="AO32" s="114" t="s">
        <v>69</v>
      </c>
      <c r="AP32" s="114" t="s">
        <v>69</v>
      </c>
      <c r="AQ32" s="114" t="s">
        <v>69</v>
      </c>
      <c r="AR32" s="114" t="s">
        <v>69</v>
      </c>
      <c r="AS32" s="114" t="s">
        <v>69</v>
      </c>
      <c r="AT32" s="114" t="s">
        <v>69</v>
      </c>
      <c r="AU32" s="114" t="s">
        <v>69</v>
      </c>
      <c r="AV32" s="114" t="s">
        <v>69</v>
      </c>
      <c r="AW32" s="114" t="s">
        <v>69</v>
      </c>
      <c r="AX32" s="115"/>
      <c r="AY32" s="115"/>
    </row>
    <row r="33" spans="1:51">
      <c r="A33" s="314"/>
      <c r="B33" s="121" t="s">
        <v>69</v>
      </c>
      <c r="C33" s="122" t="s">
        <v>69</v>
      </c>
      <c r="D33" s="123" t="s">
        <v>88</v>
      </c>
      <c r="E33" s="110" t="s">
        <v>69</v>
      </c>
      <c r="F33" s="118">
        <v>0</v>
      </c>
      <c r="G33" s="118">
        <v>0</v>
      </c>
      <c r="H33" s="118">
        <v>0</v>
      </c>
      <c r="I33" s="118">
        <v>0</v>
      </c>
      <c r="J33" s="118">
        <v>0</v>
      </c>
      <c r="K33" s="118">
        <v>0</v>
      </c>
      <c r="L33" s="118">
        <v>0</v>
      </c>
      <c r="M33" s="118">
        <v>0</v>
      </c>
      <c r="N33" s="118">
        <v>0</v>
      </c>
      <c r="O33" s="118">
        <v>0</v>
      </c>
      <c r="P33" s="118">
        <v>0</v>
      </c>
      <c r="Q33" s="118">
        <v>0</v>
      </c>
      <c r="R33" s="111">
        <v>0</v>
      </c>
      <c r="S33" s="111">
        <v>0</v>
      </c>
      <c r="T33" s="111">
        <v>0</v>
      </c>
      <c r="U33" s="112">
        <v>0</v>
      </c>
      <c r="V33" s="119">
        <v>0</v>
      </c>
      <c r="W33" s="119">
        <v>0</v>
      </c>
      <c r="X33" s="114" t="s">
        <v>69</v>
      </c>
      <c r="Y33" s="114" t="s">
        <v>69</v>
      </c>
      <c r="Z33" s="114" t="s">
        <v>69</v>
      </c>
      <c r="AA33" s="114" t="s">
        <v>69</v>
      </c>
      <c r="AB33" s="114" t="s">
        <v>69</v>
      </c>
      <c r="AC33" s="114" t="s">
        <v>69</v>
      </c>
      <c r="AD33" s="114" t="s">
        <v>69</v>
      </c>
      <c r="AE33" s="114" t="s">
        <v>69</v>
      </c>
      <c r="AF33" s="114" t="s">
        <v>69</v>
      </c>
      <c r="AG33" s="114" t="s">
        <v>69</v>
      </c>
      <c r="AH33" s="114" t="s">
        <v>69</v>
      </c>
      <c r="AI33" s="114" t="s">
        <v>69</v>
      </c>
      <c r="AJ33" s="114" t="s">
        <v>69</v>
      </c>
      <c r="AK33" s="114" t="s">
        <v>69</v>
      </c>
      <c r="AL33" s="114" t="s">
        <v>69</v>
      </c>
      <c r="AM33" s="114" t="s">
        <v>69</v>
      </c>
      <c r="AN33" s="114" t="s">
        <v>69</v>
      </c>
      <c r="AO33" s="114" t="s">
        <v>69</v>
      </c>
      <c r="AP33" s="114" t="s">
        <v>69</v>
      </c>
      <c r="AQ33" s="114" t="s">
        <v>69</v>
      </c>
      <c r="AR33" s="114" t="s">
        <v>69</v>
      </c>
      <c r="AS33" s="114" t="s">
        <v>69</v>
      </c>
      <c r="AT33" s="114" t="s">
        <v>69</v>
      </c>
      <c r="AU33" s="114" t="s">
        <v>69</v>
      </c>
      <c r="AV33" s="114" t="s">
        <v>69</v>
      </c>
      <c r="AW33" s="114" t="s">
        <v>69</v>
      </c>
      <c r="AX33" s="115"/>
      <c r="AY33" s="115"/>
    </row>
    <row r="34" spans="1:51">
      <c r="A34" s="314"/>
      <c r="B34" s="121" t="s">
        <v>89</v>
      </c>
      <c r="C34" s="122" t="s">
        <v>90</v>
      </c>
      <c r="D34" s="123" t="str">
        <f>D30</f>
        <v>Permintaan Informasi</v>
      </c>
      <c r="E34" s="110" t="s">
        <v>69</v>
      </c>
      <c r="F34" s="118">
        <v>0</v>
      </c>
      <c r="G34" s="118">
        <v>0</v>
      </c>
      <c r="H34" s="118">
        <v>0</v>
      </c>
      <c r="I34" s="118">
        <v>0</v>
      </c>
      <c r="J34" s="118">
        <v>0</v>
      </c>
      <c r="K34" s="118">
        <v>0</v>
      </c>
      <c r="L34" s="118">
        <v>0</v>
      </c>
      <c r="M34" s="118">
        <v>0</v>
      </c>
      <c r="N34" s="118">
        <v>0</v>
      </c>
      <c r="O34" s="118">
        <v>0</v>
      </c>
      <c r="P34" s="118">
        <v>0</v>
      </c>
      <c r="Q34" s="118">
        <v>0</v>
      </c>
      <c r="R34" s="111">
        <v>0</v>
      </c>
      <c r="S34" s="111">
        <v>0</v>
      </c>
      <c r="T34" s="111">
        <v>0</v>
      </c>
      <c r="U34" s="112">
        <v>1</v>
      </c>
      <c r="V34" s="119">
        <v>2</v>
      </c>
      <c r="W34" s="119">
        <v>3</v>
      </c>
      <c r="X34" s="114" t="s">
        <v>69</v>
      </c>
      <c r="Y34" s="114" t="s">
        <v>69</v>
      </c>
      <c r="Z34" s="114" t="s">
        <v>69</v>
      </c>
      <c r="AA34" s="114" t="s">
        <v>69</v>
      </c>
      <c r="AB34" s="114" t="s">
        <v>69</v>
      </c>
      <c r="AC34" s="114" t="s">
        <v>69</v>
      </c>
      <c r="AD34" s="114" t="s">
        <v>69</v>
      </c>
      <c r="AE34" s="114" t="s">
        <v>69</v>
      </c>
      <c r="AF34" s="114" t="s">
        <v>69</v>
      </c>
      <c r="AG34" s="114" t="s">
        <v>69</v>
      </c>
      <c r="AH34" s="114" t="s">
        <v>69</v>
      </c>
      <c r="AI34" s="114" t="s">
        <v>69</v>
      </c>
      <c r="AJ34" s="114" t="s">
        <v>69</v>
      </c>
      <c r="AK34" s="114" t="s">
        <v>69</v>
      </c>
      <c r="AL34" s="114" t="s">
        <v>69</v>
      </c>
      <c r="AM34" s="114" t="s">
        <v>69</v>
      </c>
      <c r="AN34" s="114" t="s">
        <v>69</v>
      </c>
      <c r="AO34" s="114" t="s">
        <v>69</v>
      </c>
      <c r="AP34" s="114" t="s">
        <v>69</v>
      </c>
      <c r="AQ34" s="114" t="s">
        <v>69</v>
      </c>
      <c r="AR34" s="114" t="s">
        <v>69</v>
      </c>
      <c r="AS34" s="114" t="s">
        <v>69</v>
      </c>
      <c r="AT34" s="114" t="s">
        <v>69</v>
      </c>
      <c r="AU34" s="114" t="s">
        <v>69</v>
      </c>
      <c r="AV34" s="114" t="s">
        <v>69</v>
      </c>
      <c r="AW34" s="114" t="s">
        <v>69</v>
      </c>
      <c r="AX34" s="115"/>
      <c r="AY34" s="115"/>
    </row>
    <row r="35" spans="1:51">
      <c r="A35" s="314"/>
      <c r="B35" s="121" t="s">
        <v>69</v>
      </c>
      <c r="C35" s="122" t="s">
        <v>69</v>
      </c>
      <c r="D35" s="123" t="str">
        <f>D31</f>
        <v xml:space="preserve">Request </v>
      </c>
      <c r="E35" s="110" t="s">
        <v>69</v>
      </c>
      <c r="F35" s="118">
        <v>0</v>
      </c>
      <c r="G35" s="118">
        <v>0</v>
      </c>
      <c r="H35" s="118">
        <v>0</v>
      </c>
      <c r="I35" s="118">
        <v>0</v>
      </c>
      <c r="J35" s="118">
        <v>0</v>
      </c>
      <c r="K35" s="118">
        <v>0</v>
      </c>
      <c r="L35" s="118">
        <v>0</v>
      </c>
      <c r="M35" s="118">
        <v>0</v>
      </c>
      <c r="N35" s="118">
        <v>0</v>
      </c>
      <c r="O35" s="118">
        <v>0</v>
      </c>
      <c r="P35" s="118">
        <v>0</v>
      </c>
      <c r="Q35" s="118">
        <v>0</v>
      </c>
      <c r="R35" s="111">
        <v>0</v>
      </c>
      <c r="S35" s="111">
        <v>0</v>
      </c>
      <c r="T35" s="111">
        <v>0</v>
      </c>
      <c r="U35" s="112">
        <v>2</v>
      </c>
      <c r="V35" s="119">
        <v>1</v>
      </c>
      <c r="W35" s="119">
        <v>4</v>
      </c>
      <c r="X35" s="114" t="s">
        <v>69</v>
      </c>
      <c r="Y35" s="114" t="s">
        <v>69</v>
      </c>
      <c r="Z35" s="114" t="s">
        <v>69</v>
      </c>
      <c r="AA35" s="114" t="s">
        <v>69</v>
      </c>
      <c r="AB35" s="114" t="s">
        <v>69</v>
      </c>
      <c r="AC35" s="114" t="s">
        <v>69</v>
      </c>
      <c r="AD35" s="114" t="s">
        <v>69</v>
      </c>
      <c r="AE35" s="114" t="s">
        <v>69</v>
      </c>
      <c r="AF35" s="114" t="s">
        <v>69</v>
      </c>
      <c r="AG35" s="114" t="s">
        <v>69</v>
      </c>
      <c r="AH35" s="114" t="s">
        <v>69</v>
      </c>
      <c r="AI35" s="114" t="s">
        <v>69</v>
      </c>
      <c r="AJ35" s="114" t="s">
        <v>69</v>
      </c>
      <c r="AK35" s="114" t="s">
        <v>69</v>
      </c>
      <c r="AL35" s="114" t="s">
        <v>69</v>
      </c>
      <c r="AM35" s="114" t="s">
        <v>69</v>
      </c>
      <c r="AN35" s="114" t="s">
        <v>69</v>
      </c>
      <c r="AO35" s="114" t="s">
        <v>69</v>
      </c>
      <c r="AP35" s="114" t="s">
        <v>69</v>
      </c>
      <c r="AQ35" s="114" t="s">
        <v>69</v>
      </c>
      <c r="AR35" s="114" t="s">
        <v>69</v>
      </c>
      <c r="AS35" s="114" t="s">
        <v>69</v>
      </c>
      <c r="AT35" s="114" t="s">
        <v>69</v>
      </c>
      <c r="AU35" s="114" t="s">
        <v>69</v>
      </c>
      <c r="AV35" s="114" t="s">
        <v>69</v>
      </c>
      <c r="AW35" s="114" t="s">
        <v>69</v>
      </c>
      <c r="AX35" s="115"/>
      <c r="AY35" s="115"/>
    </row>
    <row r="36" spans="1:51">
      <c r="A36" s="314"/>
      <c r="B36" s="121" t="s">
        <v>69</v>
      </c>
      <c r="C36" s="122" t="s">
        <v>69</v>
      </c>
      <c r="D36" s="123" t="str">
        <f>D32</f>
        <v xml:space="preserve">Keluhan </v>
      </c>
      <c r="E36" s="110" t="s">
        <v>69</v>
      </c>
      <c r="F36" s="111">
        <v>1</v>
      </c>
      <c r="G36" s="111">
        <v>0</v>
      </c>
      <c r="H36" s="111">
        <v>0</v>
      </c>
      <c r="I36" s="111">
        <v>2</v>
      </c>
      <c r="J36" s="111">
        <v>1</v>
      </c>
      <c r="K36" s="111">
        <v>2</v>
      </c>
      <c r="L36" s="111">
        <v>0</v>
      </c>
      <c r="M36" s="111">
        <v>4</v>
      </c>
      <c r="N36" s="111">
        <v>3</v>
      </c>
      <c r="O36" s="111">
        <v>5</v>
      </c>
      <c r="P36" s="111">
        <v>3</v>
      </c>
      <c r="Q36" s="111">
        <v>3</v>
      </c>
      <c r="R36" s="111">
        <v>3</v>
      </c>
      <c r="S36" s="111">
        <v>0</v>
      </c>
      <c r="T36" s="111">
        <v>1</v>
      </c>
      <c r="U36" s="112">
        <v>1</v>
      </c>
      <c r="V36" s="119">
        <v>0</v>
      </c>
      <c r="W36" s="119">
        <v>3</v>
      </c>
      <c r="X36" s="114" t="s">
        <v>69</v>
      </c>
      <c r="Y36" s="114" t="s">
        <v>69</v>
      </c>
      <c r="Z36" s="114" t="s">
        <v>69</v>
      </c>
      <c r="AA36" s="114" t="s">
        <v>69</v>
      </c>
      <c r="AB36" s="114" t="s">
        <v>69</v>
      </c>
      <c r="AC36" s="114" t="s">
        <v>69</v>
      </c>
      <c r="AD36" s="114" t="s">
        <v>69</v>
      </c>
      <c r="AE36" s="114" t="s">
        <v>69</v>
      </c>
      <c r="AF36" s="114" t="s">
        <v>69</v>
      </c>
      <c r="AG36" s="114" t="s">
        <v>69</v>
      </c>
      <c r="AH36" s="114" t="s">
        <v>69</v>
      </c>
      <c r="AI36" s="114" t="s">
        <v>69</v>
      </c>
      <c r="AJ36" s="114" t="s">
        <v>69</v>
      </c>
      <c r="AK36" s="114" t="s">
        <v>69</v>
      </c>
      <c r="AL36" s="114" t="s">
        <v>69</v>
      </c>
      <c r="AM36" s="114" t="s">
        <v>69</v>
      </c>
      <c r="AN36" s="114" t="s">
        <v>69</v>
      </c>
      <c r="AO36" s="114" t="s">
        <v>69</v>
      </c>
      <c r="AP36" s="114" t="s">
        <v>69</v>
      </c>
      <c r="AQ36" s="114" t="s">
        <v>69</v>
      </c>
      <c r="AR36" s="114" t="s">
        <v>69</v>
      </c>
      <c r="AS36" s="114" t="s">
        <v>69</v>
      </c>
      <c r="AT36" s="114" t="s">
        <v>69</v>
      </c>
      <c r="AU36" s="114" t="s">
        <v>69</v>
      </c>
      <c r="AV36" s="114" t="s">
        <v>69</v>
      </c>
      <c r="AW36" s="114" t="s">
        <v>69</v>
      </c>
      <c r="AX36" s="115"/>
      <c r="AY36" s="115"/>
    </row>
    <row r="37" spans="1:51">
      <c r="A37" s="314"/>
      <c r="B37" s="121" t="s">
        <v>69</v>
      </c>
      <c r="C37" s="122" t="s">
        <v>69</v>
      </c>
      <c r="D37" s="123" t="str">
        <f>D33</f>
        <v>Apresiasi</v>
      </c>
      <c r="E37" s="110" t="s">
        <v>69</v>
      </c>
      <c r="F37" s="118">
        <v>0</v>
      </c>
      <c r="G37" s="118">
        <v>0</v>
      </c>
      <c r="H37" s="118">
        <v>0</v>
      </c>
      <c r="I37" s="118">
        <v>0</v>
      </c>
      <c r="J37" s="118">
        <v>0</v>
      </c>
      <c r="K37" s="118">
        <v>0</v>
      </c>
      <c r="L37" s="118">
        <v>0</v>
      </c>
      <c r="M37" s="118">
        <v>0</v>
      </c>
      <c r="N37" s="118">
        <v>0</v>
      </c>
      <c r="O37" s="118">
        <v>0</v>
      </c>
      <c r="P37" s="118">
        <v>0</v>
      </c>
      <c r="Q37" s="118">
        <v>0</v>
      </c>
      <c r="R37" s="111">
        <v>0</v>
      </c>
      <c r="S37" s="111">
        <v>0</v>
      </c>
      <c r="T37" s="111">
        <v>0</v>
      </c>
      <c r="U37" s="112">
        <v>0</v>
      </c>
      <c r="V37" s="119">
        <v>1</v>
      </c>
      <c r="W37" s="119">
        <v>0</v>
      </c>
      <c r="X37" s="114" t="s">
        <v>69</v>
      </c>
      <c r="Y37" s="114" t="s">
        <v>69</v>
      </c>
      <c r="Z37" s="114" t="s">
        <v>69</v>
      </c>
      <c r="AA37" s="114" t="s">
        <v>69</v>
      </c>
      <c r="AB37" s="114" t="s">
        <v>69</v>
      </c>
      <c r="AC37" s="114" t="s">
        <v>69</v>
      </c>
      <c r="AD37" s="114" t="s">
        <v>69</v>
      </c>
      <c r="AE37" s="114" t="s">
        <v>69</v>
      </c>
      <c r="AF37" s="114" t="s">
        <v>69</v>
      </c>
      <c r="AG37" s="114" t="s">
        <v>69</v>
      </c>
      <c r="AH37" s="114" t="s">
        <v>69</v>
      </c>
      <c r="AI37" s="114" t="s">
        <v>69</v>
      </c>
      <c r="AJ37" s="114" t="s">
        <v>69</v>
      </c>
      <c r="AK37" s="114" t="s">
        <v>69</v>
      </c>
      <c r="AL37" s="114" t="s">
        <v>69</v>
      </c>
      <c r="AM37" s="114" t="s">
        <v>69</v>
      </c>
      <c r="AN37" s="114" t="s">
        <v>69</v>
      </c>
      <c r="AO37" s="114" t="s">
        <v>69</v>
      </c>
      <c r="AP37" s="114" t="s">
        <v>69</v>
      </c>
      <c r="AQ37" s="114" t="s">
        <v>69</v>
      </c>
      <c r="AR37" s="114" t="s">
        <v>69</v>
      </c>
      <c r="AS37" s="114" t="s">
        <v>69</v>
      </c>
      <c r="AT37" s="114" t="s">
        <v>69</v>
      </c>
      <c r="AU37" s="114" t="s">
        <v>69</v>
      </c>
      <c r="AV37" s="114" t="s">
        <v>69</v>
      </c>
      <c r="AW37" s="114" t="s">
        <v>69</v>
      </c>
      <c r="AX37" s="115"/>
      <c r="AY37" s="115"/>
    </row>
    <row r="38" spans="1:51">
      <c r="A38" s="314"/>
      <c r="B38" s="111" t="s">
        <v>91</v>
      </c>
      <c r="C38" s="117" t="s">
        <v>92</v>
      </c>
      <c r="D38" s="112" t="str">
        <f>D34</f>
        <v>Permintaan Informasi</v>
      </c>
      <c r="E38" s="110" t="s">
        <v>69</v>
      </c>
      <c r="F38" s="118">
        <v>0</v>
      </c>
      <c r="G38" s="118">
        <v>0</v>
      </c>
      <c r="H38" s="118">
        <v>0</v>
      </c>
      <c r="I38" s="118">
        <v>0</v>
      </c>
      <c r="J38" s="118">
        <v>0</v>
      </c>
      <c r="K38" s="118">
        <v>0</v>
      </c>
      <c r="L38" s="118">
        <v>0</v>
      </c>
      <c r="M38" s="118">
        <v>0</v>
      </c>
      <c r="N38" s="118">
        <v>0</v>
      </c>
      <c r="O38" s="118">
        <v>0</v>
      </c>
      <c r="P38" s="118">
        <v>0</v>
      </c>
      <c r="Q38" s="118">
        <v>0</v>
      </c>
      <c r="R38" s="111">
        <v>0</v>
      </c>
      <c r="S38" s="111">
        <v>0</v>
      </c>
      <c r="T38" s="111">
        <v>0</v>
      </c>
      <c r="U38" s="112">
        <v>0</v>
      </c>
      <c r="V38" s="119">
        <v>0</v>
      </c>
      <c r="W38" s="119">
        <v>0</v>
      </c>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5"/>
      <c r="AY38" s="115"/>
    </row>
    <row r="39" spans="1:51">
      <c r="A39" s="314"/>
      <c r="B39" s="121" t="s">
        <v>69</v>
      </c>
      <c r="C39" s="121" t="s">
        <v>69</v>
      </c>
      <c r="D39" s="112" t="str">
        <f>D35</f>
        <v xml:space="preserve">Request </v>
      </c>
      <c r="E39" s="110" t="s">
        <v>69</v>
      </c>
      <c r="F39" s="118">
        <v>0</v>
      </c>
      <c r="G39" s="118">
        <v>0</v>
      </c>
      <c r="H39" s="118">
        <v>0</v>
      </c>
      <c r="I39" s="118">
        <v>0</v>
      </c>
      <c r="J39" s="118">
        <v>0</v>
      </c>
      <c r="K39" s="118">
        <v>0</v>
      </c>
      <c r="L39" s="118">
        <v>0</v>
      </c>
      <c r="M39" s="118">
        <v>0</v>
      </c>
      <c r="N39" s="118">
        <v>0</v>
      </c>
      <c r="O39" s="118">
        <v>0</v>
      </c>
      <c r="P39" s="118">
        <v>0</v>
      </c>
      <c r="Q39" s="118">
        <v>0</v>
      </c>
      <c r="R39" s="111">
        <v>0</v>
      </c>
      <c r="S39" s="111">
        <v>0</v>
      </c>
      <c r="T39" s="111">
        <v>0</v>
      </c>
      <c r="U39" s="112">
        <v>0</v>
      </c>
      <c r="V39" s="119">
        <v>0</v>
      </c>
      <c r="W39" s="119">
        <v>0</v>
      </c>
      <c r="X39" s="114" t="s">
        <v>69</v>
      </c>
      <c r="Y39" s="114" t="s">
        <v>69</v>
      </c>
      <c r="Z39" s="114" t="s">
        <v>69</v>
      </c>
      <c r="AA39" s="114" t="s">
        <v>69</v>
      </c>
      <c r="AB39" s="114" t="s">
        <v>69</v>
      </c>
      <c r="AC39" s="114" t="s">
        <v>69</v>
      </c>
      <c r="AD39" s="114" t="s">
        <v>69</v>
      </c>
      <c r="AE39" s="114" t="s">
        <v>69</v>
      </c>
      <c r="AF39" s="114" t="s">
        <v>69</v>
      </c>
      <c r="AG39" s="114" t="s">
        <v>69</v>
      </c>
      <c r="AH39" s="114" t="s">
        <v>69</v>
      </c>
      <c r="AI39" s="114" t="s">
        <v>69</v>
      </c>
      <c r="AJ39" s="114" t="s">
        <v>69</v>
      </c>
      <c r="AK39" s="114" t="s">
        <v>69</v>
      </c>
      <c r="AL39" s="114" t="s">
        <v>69</v>
      </c>
      <c r="AM39" s="114" t="s">
        <v>69</v>
      </c>
      <c r="AN39" s="114" t="s">
        <v>69</v>
      </c>
      <c r="AO39" s="114" t="s">
        <v>69</v>
      </c>
      <c r="AP39" s="114" t="s">
        <v>69</v>
      </c>
      <c r="AQ39" s="114" t="s">
        <v>69</v>
      </c>
      <c r="AR39" s="114" t="s">
        <v>69</v>
      </c>
      <c r="AS39" s="114" t="s">
        <v>69</v>
      </c>
      <c r="AT39" s="114" t="s">
        <v>69</v>
      </c>
      <c r="AU39" s="114" t="s">
        <v>69</v>
      </c>
      <c r="AV39" s="114" t="s">
        <v>69</v>
      </c>
      <c r="AW39" s="114" t="s">
        <v>69</v>
      </c>
      <c r="AX39" s="115"/>
      <c r="AY39" s="115"/>
    </row>
    <row r="40" spans="1:51">
      <c r="A40" s="314"/>
      <c r="B40" s="111" t="s">
        <v>69</v>
      </c>
      <c r="C40" s="111" t="s">
        <v>69</v>
      </c>
      <c r="D40" s="112" t="str">
        <f>D36</f>
        <v xml:space="preserve">Keluhan </v>
      </c>
      <c r="E40" s="110" t="s">
        <v>69</v>
      </c>
      <c r="F40" s="111">
        <v>0</v>
      </c>
      <c r="G40" s="111">
        <v>1</v>
      </c>
      <c r="H40" s="111">
        <v>0</v>
      </c>
      <c r="I40" s="111">
        <v>0</v>
      </c>
      <c r="J40" s="111">
        <v>0</v>
      </c>
      <c r="K40" s="111">
        <v>0</v>
      </c>
      <c r="L40" s="111">
        <v>0</v>
      </c>
      <c r="M40" s="111">
        <v>0</v>
      </c>
      <c r="N40" s="111">
        <v>2</v>
      </c>
      <c r="O40" s="111">
        <v>0</v>
      </c>
      <c r="P40" s="111">
        <v>0</v>
      </c>
      <c r="Q40" s="111">
        <v>0</v>
      </c>
      <c r="R40" s="111">
        <v>1</v>
      </c>
      <c r="S40" s="111">
        <v>3</v>
      </c>
      <c r="T40" s="111">
        <v>1</v>
      </c>
      <c r="U40" s="112">
        <v>0</v>
      </c>
      <c r="V40" s="119">
        <v>0</v>
      </c>
      <c r="W40" s="119">
        <v>1</v>
      </c>
      <c r="X40" s="114"/>
      <c r="Y40" s="114"/>
      <c r="Z40" s="114"/>
      <c r="AA40" s="114"/>
      <c r="AB40" s="114"/>
      <c r="AC40" s="114"/>
      <c r="AD40" s="114"/>
      <c r="AE40" s="114"/>
      <c r="AF40" s="114"/>
      <c r="AG40" s="114"/>
      <c r="AH40" s="114"/>
      <c r="AI40" s="114"/>
      <c r="AJ40" s="114"/>
      <c r="AK40" s="114"/>
      <c r="AL40" s="114"/>
      <c r="AM40" s="114"/>
      <c r="AN40" s="114"/>
      <c r="AO40" s="114"/>
      <c r="AP40" s="114"/>
      <c r="AQ40" s="114"/>
      <c r="AR40" s="114"/>
      <c r="AS40" s="114"/>
      <c r="AT40" s="114"/>
      <c r="AU40" s="114"/>
      <c r="AV40" s="114"/>
      <c r="AW40" s="114"/>
      <c r="AX40" s="115"/>
      <c r="AY40" s="115"/>
    </row>
    <row r="41" spans="1:51">
      <c r="A41" s="314"/>
      <c r="B41" s="111" t="s">
        <v>69</v>
      </c>
      <c r="C41" s="111" t="s">
        <v>69</v>
      </c>
      <c r="D41" s="112" t="str">
        <f>D37</f>
        <v>Apresiasi</v>
      </c>
      <c r="E41" s="110" t="s">
        <v>69</v>
      </c>
      <c r="F41" s="118">
        <v>0</v>
      </c>
      <c r="G41" s="118">
        <v>0</v>
      </c>
      <c r="H41" s="118">
        <v>0</v>
      </c>
      <c r="I41" s="118">
        <v>0</v>
      </c>
      <c r="J41" s="118">
        <v>0</v>
      </c>
      <c r="K41" s="118">
        <v>0</v>
      </c>
      <c r="L41" s="118">
        <v>0</v>
      </c>
      <c r="M41" s="118">
        <v>0</v>
      </c>
      <c r="N41" s="118">
        <v>0</v>
      </c>
      <c r="O41" s="118">
        <v>0</v>
      </c>
      <c r="P41" s="118">
        <v>0</v>
      </c>
      <c r="Q41" s="118">
        <v>0</v>
      </c>
      <c r="R41" s="111">
        <v>0</v>
      </c>
      <c r="S41" s="111">
        <v>0</v>
      </c>
      <c r="T41" s="111">
        <v>0</v>
      </c>
      <c r="U41" s="112">
        <v>0</v>
      </c>
      <c r="V41" s="119">
        <v>0</v>
      </c>
      <c r="W41" s="119">
        <v>0</v>
      </c>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4"/>
      <c r="AX41" s="115"/>
      <c r="AY41" s="115"/>
    </row>
    <row r="42" spans="1:51">
      <c r="A42" s="314"/>
      <c r="B42" s="112" t="s">
        <v>93</v>
      </c>
      <c r="C42" s="124" t="s">
        <v>94</v>
      </c>
      <c r="D42" s="112" t="str">
        <f>D38</f>
        <v>Permintaan Informasi</v>
      </c>
      <c r="E42" s="110" t="s">
        <v>69</v>
      </c>
      <c r="F42" s="118">
        <v>0</v>
      </c>
      <c r="G42" s="118">
        <v>0</v>
      </c>
      <c r="H42" s="118">
        <v>0</v>
      </c>
      <c r="I42" s="118">
        <v>0</v>
      </c>
      <c r="J42" s="118">
        <v>0</v>
      </c>
      <c r="K42" s="118">
        <v>0</v>
      </c>
      <c r="L42" s="118">
        <v>0</v>
      </c>
      <c r="M42" s="118">
        <v>0</v>
      </c>
      <c r="N42" s="118">
        <v>0</v>
      </c>
      <c r="O42" s="118">
        <v>0</v>
      </c>
      <c r="P42" s="118">
        <v>0</v>
      </c>
      <c r="Q42" s="118">
        <v>0</v>
      </c>
      <c r="R42" s="111">
        <v>0</v>
      </c>
      <c r="S42" s="111">
        <v>0</v>
      </c>
      <c r="T42" s="111">
        <v>0</v>
      </c>
      <c r="U42" s="112">
        <v>0</v>
      </c>
      <c r="V42" s="119">
        <v>0</v>
      </c>
      <c r="W42" s="119">
        <v>0</v>
      </c>
      <c r="X42" s="114"/>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114"/>
      <c r="AX42" s="115"/>
      <c r="AY42" s="115"/>
    </row>
    <row r="43" spans="1:51">
      <c r="A43" s="314"/>
      <c r="B43" s="123" t="s">
        <v>69</v>
      </c>
      <c r="C43" s="125" t="s">
        <v>69</v>
      </c>
      <c r="D43" s="112" t="str">
        <f>D39</f>
        <v xml:space="preserve">Request </v>
      </c>
      <c r="E43" s="110" t="s">
        <v>69</v>
      </c>
      <c r="F43" s="118">
        <v>0</v>
      </c>
      <c r="G43" s="118">
        <v>0</v>
      </c>
      <c r="H43" s="118">
        <v>0</v>
      </c>
      <c r="I43" s="118">
        <v>0</v>
      </c>
      <c r="J43" s="118">
        <v>0</v>
      </c>
      <c r="K43" s="118">
        <v>0</v>
      </c>
      <c r="L43" s="118">
        <v>0</v>
      </c>
      <c r="M43" s="118">
        <v>0</v>
      </c>
      <c r="N43" s="118">
        <v>0</v>
      </c>
      <c r="O43" s="118">
        <v>0</v>
      </c>
      <c r="P43" s="118">
        <v>0</v>
      </c>
      <c r="Q43" s="118">
        <v>0</v>
      </c>
      <c r="R43" s="111">
        <v>0</v>
      </c>
      <c r="S43" s="111">
        <v>0</v>
      </c>
      <c r="T43" s="111">
        <v>0</v>
      </c>
      <c r="U43" s="112">
        <v>0</v>
      </c>
      <c r="V43" s="119">
        <v>0</v>
      </c>
      <c r="W43" s="119">
        <v>0</v>
      </c>
      <c r="X43" s="114" t="s">
        <v>69</v>
      </c>
      <c r="Y43" s="114" t="s">
        <v>69</v>
      </c>
      <c r="Z43" s="114" t="s">
        <v>69</v>
      </c>
      <c r="AA43" s="114" t="s">
        <v>69</v>
      </c>
      <c r="AB43" s="114" t="s">
        <v>69</v>
      </c>
      <c r="AC43" s="114" t="s">
        <v>69</v>
      </c>
      <c r="AD43" s="114" t="s">
        <v>69</v>
      </c>
      <c r="AE43" s="114" t="s">
        <v>69</v>
      </c>
      <c r="AF43" s="114" t="s">
        <v>69</v>
      </c>
      <c r="AG43" s="114" t="s">
        <v>69</v>
      </c>
      <c r="AH43" s="114" t="s">
        <v>69</v>
      </c>
      <c r="AI43" s="114" t="s">
        <v>69</v>
      </c>
      <c r="AJ43" s="114" t="s">
        <v>69</v>
      </c>
      <c r="AK43" s="114" t="s">
        <v>69</v>
      </c>
      <c r="AL43" s="114" t="s">
        <v>69</v>
      </c>
      <c r="AM43" s="114" t="s">
        <v>69</v>
      </c>
      <c r="AN43" s="114" t="s">
        <v>69</v>
      </c>
      <c r="AO43" s="114" t="s">
        <v>69</v>
      </c>
      <c r="AP43" s="114" t="s">
        <v>69</v>
      </c>
      <c r="AQ43" s="114" t="s">
        <v>69</v>
      </c>
      <c r="AR43" s="114" t="s">
        <v>69</v>
      </c>
      <c r="AS43" s="114" t="s">
        <v>69</v>
      </c>
      <c r="AT43" s="114" t="s">
        <v>69</v>
      </c>
      <c r="AU43" s="114" t="s">
        <v>69</v>
      </c>
      <c r="AV43" s="114" t="s">
        <v>69</v>
      </c>
      <c r="AW43" s="114" t="s">
        <v>69</v>
      </c>
      <c r="AX43" s="115"/>
      <c r="AY43" s="115"/>
    </row>
    <row r="44" spans="1:51">
      <c r="A44" s="314"/>
      <c r="B44" s="112" t="s">
        <v>69</v>
      </c>
      <c r="C44" s="126" t="s">
        <v>69</v>
      </c>
      <c r="D44" s="112" t="str">
        <f>D40</f>
        <v xml:space="preserve">Keluhan </v>
      </c>
      <c r="E44" s="110" t="s">
        <v>69</v>
      </c>
      <c r="F44" s="118">
        <v>0</v>
      </c>
      <c r="G44" s="118">
        <v>0</v>
      </c>
      <c r="H44" s="118">
        <v>0</v>
      </c>
      <c r="I44" s="118">
        <v>0</v>
      </c>
      <c r="J44" s="118">
        <v>0</v>
      </c>
      <c r="K44" s="118">
        <v>0</v>
      </c>
      <c r="L44" s="118">
        <v>0</v>
      </c>
      <c r="M44" s="118">
        <v>0</v>
      </c>
      <c r="N44" s="118">
        <v>0</v>
      </c>
      <c r="O44" s="118">
        <v>0</v>
      </c>
      <c r="P44" s="118">
        <v>0</v>
      </c>
      <c r="Q44" s="118">
        <v>0</v>
      </c>
      <c r="R44" s="111">
        <v>0</v>
      </c>
      <c r="S44" s="111">
        <v>0</v>
      </c>
      <c r="T44" s="111">
        <v>0</v>
      </c>
      <c r="U44" s="112">
        <v>0</v>
      </c>
      <c r="V44" s="119">
        <v>0</v>
      </c>
      <c r="W44" s="119">
        <v>0</v>
      </c>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s="115"/>
      <c r="AY44" s="115"/>
    </row>
    <row r="45" spans="1:51">
      <c r="A45" s="314"/>
      <c r="B45" s="112" t="s">
        <v>69</v>
      </c>
      <c r="C45" s="126" t="s">
        <v>69</v>
      </c>
      <c r="D45" s="112" t="s">
        <v>118</v>
      </c>
      <c r="E45" s="110" t="s">
        <v>69</v>
      </c>
      <c r="F45" s="118">
        <v>0</v>
      </c>
      <c r="G45" s="118">
        <v>0</v>
      </c>
      <c r="H45" s="118">
        <v>0</v>
      </c>
      <c r="I45" s="118">
        <v>0</v>
      </c>
      <c r="J45" s="118">
        <v>0</v>
      </c>
      <c r="K45" s="118">
        <v>0</v>
      </c>
      <c r="L45" s="118">
        <v>0</v>
      </c>
      <c r="M45" s="118">
        <v>0</v>
      </c>
      <c r="N45" s="118">
        <v>0</v>
      </c>
      <c r="O45" s="118">
        <v>0</v>
      </c>
      <c r="P45" s="118">
        <v>0</v>
      </c>
      <c r="Q45" s="118">
        <v>0</v>
      </c>
      <c r="R45" s="111">
        <v>0</v>
      </c>
      <c r="S45" s="111">
        <v>0</v>
      </c>
      <c r="T45" s="111">
        <v>0</v>
      </c>
      <c r="U45" s="112">
        <v>0</v>
      </c>
      <c r="V45" s="119">
        <v>0</v>
      </c>
      <c r="W45" s="119">
        <v>0</v>
      </c>
      <c r="X45" s="114"/>
      <c r="Y45" s="114"/>
      <c r="Z45" s="114"/>
      <c r="AA45" s="114"/>
      <c r="AB45" s="114"/>
      <c r="AC45" s="114"/>
      <c r="AD45" s="114"/>
      <c r="AE45" s="114"/>
      <c r="AF45" s="114"/>
      <c r="AG45" s="114"/>
      <c r="AH45" s="114"/>
      <c r="AI45" s="114"/>
      <c r="AJ45" s="114"/>
      <c r="AK45" s="114"/>
      <c r="AL45" s="114"/>
      <c r="AM45" s="114"/>
      <c r="AN45" s="114"/>
      <c r="AO45" s="114"/>
      <c r="AP45" s="114"/>
      <c r="AQ45" s="114"/>
      <c r="AR45" s="114"/>
      <c r="AS45" s="114"/>
      <c r="AT45" s="114"/>
      <c r="AU45" s="114"/>
      <c r="AV45" s="114"/>
      <c r="AW45" s="114"/>
      <c r="AX45" s="115"/>
      <c r="AY45" s="115"/>
    </row>
    <row r="46" spans="1:51">
      <c r="A46" s="314"/>
      <c r="B46" s="123" t="s">
        <v>69</v>
      </c>
      <c r="C46" s="125" t="s">
        <v>69</v>
      </c>
      <c r="D46" s="112" t="s">
        <v>88</v>
      </c>
      <c r="E46" s="110" t="s">
        <v>69</v>
      </c>
      <c r="F46" s="118">
        <v>0</v>
      </c>
      <c r="G46" s="118">
        <v>0</v>
      </c>
      <c r="H46" s="118">
        <v>0</v>
      </c>
      <c r="I46" s="118">
        <v>0</v>
      </c>
      <c r="J46" s="118">
        <v>0</v>
      </c>
      <c r="K46" s="118">
        <v>0</v>
      </c>
      <c r="L46" s="118">
        <v>0</v>
      </c>
      <c r="M46" s="118">
        <v>0</v>
      </c>
      <c r="N46" s="118">
        <v>0</v>
      </c>
      <c r="O46" s="118">
        <v>0</v>
      </c>
      <c r="P46" s="118">
        <v>0</v>
      </c>
      <c r="Q46" s="118">
        <v>0</v>
      </c>
      <c r="R46" s="111">
        <v>0</v>
      </c>
      <c r="S46" s="111">
        <v>0</v>
      </c>
      <c r="T46" s="111">
        <v>0</v>
      </c>
      <c r="U46" s="112">
        <v>0</v>
      </c>
      <c r="V46" s="119">
        <v>0</v>
      </c>
      <c r="W46" s="119">
        <v>0</v>
      </c>
      <c r="X46" s="114" t="s">
        <v>69</v>
      </c>
      <c r="Y46" s="114" t="s">
        <v>69</v>
      </c>
      <c r="Z46" s="114" t="s">
        <v>69</v>
      </c>
      <c r="AA46" s="114" t="s">
        <v>69</v>
      </c>
      <c r="AB46" s="114" t="s">
        <v>69</v>
      </c>
      <c r="AC46" s="114" t="s">
        <v>69</v>
      </c>
      <c r="AD46" s="114" t="s">
        <v>69</v>
      </c>
      <c r="AE46" s="114" t="s">
        <v>69</v>
      </c>
      <c r="AF46" s="114" t="s">
        <v>69</v>
      </c>
      <c r="AG46" s="114" t="s">
        <v>69</v>
      </c>
      <c r="AH46" s="114" t="s">
        <v>69</v>
      </c>
      <c r="AI46" s="114" t="s">
        <v>69</v>
      </c>
      <c r="AJ46" s="114" t="s">
        <v>69</v>
      </c>
      <c r="AK46" s="114" t="s">
        <v>69</v>
      </c>
      <c r="AL46" s="114" t="s">
        <v>69</v>
      </c>
      <c r="AM46" s="114" t="s">
        <v>69</v>
      </c>
      <c r="AN46" s="114" t="s">
        <v>69</v>
      </c>
      <c r="AO46" s="114" t="s">
        <v>69</v>
      </c>
      <c r="AP46" s="114" t="s">
        <v>69</v>
      </c>
      <c r="AQ46" s="114" t="s">
        <v>69</v>
      </c>
      <c r="AR46" s="114" t="s">
        <v>69</v>
      </c>
      <c r="AS46" s="114" t="s">
        <v>69</v>
      </c>
      <c r="AT46" s="114" t="s">
        <v>69</v>
      </c>
      <c r="AU46" s="114" t="s">
        <v>69</v>
      </c>
      <c r="AV46" s="114" t="s">
        <v>69</v>
      </c>
      <c r="AW46" s="114" t="s">
        <v>69</v>
      </c>
      <c r="AX46" s="115"/>
      <c r="AY46" s="115"/>
    </row>
    <row r="47" spans="1:51" ht="68.25" customHeight="1">
      <c r="A47" s="313">
        <v>5</v>
      </c>
      <c r="B47" s="317" t="s">
        <v>97</v>
      </c>
      <c r="C47" s="317"/>
      <c r="D47" s="317"/>
      <c r="E47" s="110" t="s">
        <v>98</v>
      </c>
      <c r="F47" s="111" t="s">
        <v>69</v>
      </c>
      <c r="G47" s="127" t="s">
        <v>69</v>
      </c>
      <c r="H47" s="128" t="s">
        <v>69</v>
      </c>
      <c r="I47" s="113" t="s">
        <v>69</v>
      </c>
      <c r="J47" s="111" t="s">
        <v>69</v>
      </c>
      <c r="K47" s="127" t="s">
        <v>69</v>
      </c>
      <c r="L47" s="111" t="s">
        <v>69</v>
      </c>
      <c r="M47" s="111" t="s">
        <v>69</v>
      </c>
      <c r="N47" s="127" t="s">
        <v>69</v>
      </c>
      <c r="O47" s="127" t="s">
        <v>69</v>
      </c>
      <c r="P47" s="127" t="s">
        <v>69</v>
      </c>
      <c r="Q47" s="127" t="s">
        <v>69</v>
      </c>
      <c r="R47" s="127" t="s">
        <v>69</v>
      </c>
      <c r="S47" s="127" t="s">
        <v>69</v>
      </c>
      <c r="T47" s="127" t="s">
        <v>69</v>
      </c>
      <c r="U47" s="128" t="s">
        <v>69</v>
      </c>
      <c r="V47" s="129" t="s">
        <v>69</v>
      </c>
      <c r="W47" s="129"/>
      <c r="X47" s="130"/>
      <c r="Y47" s="130"/>
      <c r="Z47" s="130"/>
      <c r="AA47" s="130"/>
      <c r="AB47" s="130"/>
      <c r="AC47" s="130"/>
      <c r="AD47" s="130"/>
      <c r="AE47" s="130"/>
      <c r="AF47" s="130"/>
      <c r="AG47" s="130"/>
      <c r="AH47" s="130"/>
      <c r="AI47" s="130"/>
      <c r="AJ47" s="130"/>
      <c r="AK47" s="130" t="s">
        <v>69</v>
      </c>
      <c r="AL47" s="130" t="s">
        <v>69</v>
      </c>
      <c r="AM47" s="130" t="s">
        <v>69</v>
      </c>
      <c r="AN47" s="130" t="s">
        <v>69</v>
      </c>
      <c r="AO47" s="130" t="s">
        <v>69</v>
      </c>
      <c r="AP47" s="130" t="s">
        <v>69</v>
      </c>
      <c r="AQ47" s="130" t="s">
        <v>69</v>
      </c>
      <c r="AR47" s="130" t="s">
        <v>69</v>
      </c>
      <c r="AS47" s="130" t="s">
        <v>69</v>
      </c>
      <c r="AT47" s="130" t="s">
        <v>69</v>
      </c>
      <c r="AU47" s="130" t="s">
        <v>69</v>
      </c>
      <c r="AV47" s="130" t="s">
        <v>69</v>
      </c>
      <c r="AW47" s="130" t="s">
        <v>69</v>
      </c>
      <c r="AX47" s="115"/>
      <c r="AY47" s="115"/>
    </row>
    <row r="48" spans="1:51" ht="24" customHeight="1">
      <c r="A48" s="314"/>
      <c r="B48" s="111" t="s">
        <v>70</v>
      </c>
      <c r="C48" s="316" t="s">
        <v>99</v>
      </c>
      <c r="D48" s="316"/>
      <c r="E48" s="357" t="s">
        <v>100</v>
      </c>
      <c r="F48" s="131"/>
      <c r="G48" s="131"/>
      <c r="H48" s="131"/>
      <c r="I48" s="131"/>
      <c r="J48" s="131"/>
      <c r="K48" s="131"/>
      <c r="L48" s="131"/>
      <c r="M48" s="131"/>
      <c r="N48" s="131"/>
      <c r="O48" s="131"/>
      <c r="P48" s="131"/>
      <c r="Q48" s="131"/>
      <c r="R48" s="131"/>
      <c r="S48" s="131"/>
      <c r="T48" s="131"/>
      <c r="U48" s="131"/>
      <c r="V48" s="131"/>
      <c r="W48" s="131"/>
      <c r="X48" s="130"/>
      <c r="Y48" s="130"/>
      <c r="Z48" s="130"/>
      <c r="AA48" s="130"/>
      <c r="AB48" s="130"/>
      <c r="AC48" s="130"/>
      <c r="AD48" s="130"/>
      <c r="AE48" s="130"/>
      <c r="AF48" s="130"/>
      <c r="AG48" s="130"/>
      <c r="AH48" s="130"/>
      <c r="AI48" s="130"/>
      <c r="AJ48" s="130"/>
      <c r="AK48" s="130" t="s">
        <v>69</v>
      </c>
      <c r="AL48" s="130" t="s">
        <v>69</v>
      </c>
      <c r="AM48" s="130" t="s">
        <v>69</v>
      </c>
      <c r="AN48" s="130" t="s">
        <v>69</v>
      </c>
      <c r="AO48" s="130" t="s">
        <v>69</v>
      </c>
      <c r="AP48" s="130" t="s">
        <v>69</v>
      </c>
      <c r="AQ48" s="130" t="s">
        <v>69</v>
      </c>
      <c r="AR48" s="130" t="s">
        <v>69</v>
      </c>
      <c r="AS48" s="130" t="s">
        <v>69</v>
      </c>
      <c r="AT48" s="130" t="s">
        <v>69</v>
      </c>
      <c r="AU48" s="130" t="s">
        <v>69</v>
      </c>
      <c r="AV48" s="130" t="s">
        <v>69</v>
      </c>
      <c r="AW48" s="130" t="s">
        <v>69</v>
      </c>
      <c r="AX48" s="115"/>
      <c r="AY48" s="115"/>
    </row>
    <row r="49" spans="1:51" ht="17.25">
      <c r="A49" s="314"/>
      <c r="B49" s="111" t="s">
        <v>73</v>
      </c>
      <c r="C49" s="132" t="s">
        <v>101</v>
      </c>
      <c r="D49" s="133" t="s">
        <v>69</v>
      </c>
      <c r="E49" s="358"/>
      <c r="F49" s="131">
        <v>1</v>
      </c>
      <c r="G49" s="131">
        <v>1</v>
      </c>
      <c r="H49" s="131">
        <v>1</v>
      </c>
      <c r="I49" s="131">
        <v>1</v>
      </c>
      <c r="J49" s="131">
        <v>1</v>
      </c>
      <c r="K49" s="131">
        <v>1</v>
      </c>
      <c r="L49" s="131">
        <v>1</v>
      </c>
      <c r="M49" s="131">
        <v>1</v>
      </c>
      <c r="N49" s="131">
        <v>1</v>
      </c>
      <c r="O49" s="131">
        <v>1</v>
      </c>
      <c r="P49" s="131">
        <v>1</v>
      </c>
      <c r="Q49" s="131">
        <v>1</v>
      </c>
      <c r="R49" s="131">
        <v>1</v>
      </c>
      <c r="S49" s="131">
        <v>1</v>
      </c>
      <c r="T49" s="131">
        <v>1</v>
      </c>
      <c r="U49" s="131">
        <v>1</v>
      </c>
      <c r="V49" s="131">
        <v>1</v>
      </c>
      <c r="W49" s="131">
        <v>1</v>
      </c>
      <c r="X49" s="130"/>
      <c r="Y49" s="130"/>
      <c r="Z49" s="130"/>
      <c r="AA49" s="130"/>
      <c r="AB49" s="130"/>
      <c r="AC49" s="130"/>
      <c r="AD49" s="130"/>
      <c r="AE49" s="130"/>
      <c r="AF49" s="130"/>
      <c r="AG49" s="130"/>
      <c r="AH49" s="130"/>
      <c r="AI49" s="130"/>
      <c r="AJ49" s="130"/>
      <c r="AK49" s="130" t="s">
        <v>69</v>
      </c>
      <c r="AL49" s="130" t="s">
        <v>69</v>
      </c>
      <c r="AM49" s="130" t="s">
        <v>69</v>
      </c>
      <c r="AN49" s="130" t="s">
        <v>69</v>
      </c>
      <c r="AO49" s="130" t="s">
        <v>69</v>
      </c>
      <c r="AP49" s="130" t="s">
        <v>69</v>
      </c>
      <c r="AQ49" s="130" t="s">
        <v>69</v>
      </c>
      <c r="AR49" s="130" t="s">
        <v>69</v>
      </c>
      <c r="AS49" s="130" t="s">
        <v>69</v>
      </c>
      <c r="AT49" s="130" t="s">
        <v>69</v>
      </c>
      <c r="AU49" s="130" t="s">
        <v>69</v>
      </c>
      <c r="AV49" s="130" t="s">
        <v>69</v>
      </c>
      <c r="AW49" s="130" t="s">
        <v>69</v>
      </c>
      <c r="AX49" s="115"/>
      <c r="AY49" s="115"/>
    </row>
    <row r="50" spans="1:51" ht="17.25">
      <c r="A50" s="314"/>
      <c r="B50" s="111" t="s">
        <v>75</v>
      </c>
      <c r="C50" s="316" t="s">
        <v>102</v>
      </c>
      <c r="D50" s="316"/>
      <c r="E50" s="358"/>
      <c r="F50" s="127">
        <v>0</v>
      </c>
      <c r="G50" s="127">
        <v>0</v>
      </c>
      <c r="H50" s="127">
        <v>0</v>
      </c>
      <c r="I50" s="127">
        <v>0</v>
      </c>
      <c r="J50" s="127">
        <v>0</v>
      </c>
      <c r="K50" s="127">
        <v>0</v>
      </c>
      <c r="L50" s="127">
        <v>0</v>
      </c>
      <c r="M50" s="127">
        <v>0</v>
      </c>
      <c r="N50" s="127">
        <v>0</v>
      </c>
      <c r="O50" s="127">
        <v>0</v>
      </c>
      <c r="P50" s="127">
        <v>0</v>
      </c>
      <c r="Q50" s="127">
        <v>0</v>
      </c>
      <c r="R50" s="127">
        <v>0</v>
      </c>
      <c r="S50" s="127">
        <v>0</v>
      </c>
      <c r="T50" s="127">
        <v>0</v>
      </c>
      <c r="U50" s="127">
        <v>0</v>
      </c>
      <c r="V50" s="127">
        <v>0</v>
      </c>
      <c r="W50" s="127">
        <v>0</v>
      </c>
      <c r="X50" s="130"/>
      <c r="Y50" s="130"/>
      <c r="Z50" s="130"/>
      <c r="AA50" s="130"/>
      <c r="AB50" s="130"/>
      <c r="AC50" s="130"/>
      <c r="AD50" s="130"/>
      <c r="AE50" s="130"/>
      <c r="AF50" s="130"/>
      <c r="AG50" s="130"/>
      <c r="AH50" s="130"/>
      <c r="AI50" s="130"/>
      <c r="AJ50" s="130"/>
      <c r="AK50" s="130" t="s">
        <v>69</v>
      </c>
      <c r="AL50" s="130" t="s">
        <v>69</v>
      </c>
      <c r="AM50" s="130" t="s">
        <v>69</v>
      </c>
      <c r="AN50" s="130" t="s">
        <v>69</v>
      </c>
      <c r="AO50" s="130" t="s">
        <v>69</v>
      </c>
      <c r="AP50" s="130" t="s">
        <v>69</v>
      </c>
      <c r="AQ50" s="130" t="s">
        <v>69</v>
      </c>
      <c r="AR50" s="130" t="s">
        <v>69</v>
      </c>
      <c r="AS50" s="130" t="s">
        <v>69</v>
      </c>
      <c r="AT50" s="130" t="s">
        <v>69</v>
      </c>
      <c r="AU50" s="130" t="s">
        <v>69</v>
      </c>
      <c r="AV50" s="130" t="s">
        <v>69</v>
      </c>
      <c r="AW50" s="130" t="s">
        <v>69</v>
      </c>
      <c r="AX50" s="115"/>
      <c r="AY50" s="115"/>
    </row>
    <row r="51" spans="1:51" ht="17.25">
      <c r="A51" s="314"/>
      <c r="B51" s="111" t="s">
        <v>77</v>
      </c>
      <c r="C51" s="316" t="s">
        <v>103</v>
      </c>
      <c r="D51" s="316"/>
      <c r="E51" s="358"/>
      <c r="F51" s="127">
        <v>0</v>
      </c>
      <c r="G51" s="127">
        <v>0</v>
      </c>
      <c r="H51" s="127">
        <v>0</v>
      </c>
      <c r="I51" s="127">
        <v>0</v>
      </c>
      <c r="J51" s="127">
        <v>0</v>
      </c>
      <c r="K51" s="127">
        <v>0</v>
      </c>
      <c r="L51" s="127">
        <v>0</v>
      </c>
      <c r="M51" s="127">
        <v>0</v>
      </c>
      <c r="N51" s="127">
        <v>0</v>
      </c>
      <c r="O51" s="127">
        <v>0</v>
      </c>
      <c r="P51" s="127">
        <v>0</v>
      </c>
      <c r="Q51" s="127">
        <v>0</v>
      </c>
      <c r="R51" s="127">
        <v>0</v>
      </c>
      <c r="S51" s="127">
        <v>0</v>
      </c>
      <c r="T51" s="127">
        <v>0</v>
      </c>
      <c r="U51" s="127">
        <v>0</v>
      </c>
      <c r="V51" s="127">
        <v>0</v>
      </c>
      <c r="W51" s="127">
        <v>0</v>
      </c>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5"/>
      <c r="AY51" s="115"/>
    </row>
    <row r="52" spans="1:51">
      <c r="A52" s="314"/>
      <c r="B52" s="134" t="s">
        <v>84</v>
      </c>
      <c r="C52" s="324" t="s">
        <v>104</v>
      </c>
      <c r="D52" s="324"/>
      <c r="E52" s="359"/>
      <c r="F52" s="111">
        <v>0</v>
      </c>
      <c r="G52" s="111">
        <v>0</v>
      </c>
      <c r="H52" s="111">
        <v>0</v>
      </c>
      <c r="I52" s="111">
        <v>0</v>
      </c>
      <c r="J52" s="111">
        <v>0</v>
      </c>
      <c r="K52" s="111">
        <v>0</v>
      </c>
      <c r="L52" s="111">
        <v>0</v>
      </c>
      <c r="M52" s="111">
        <v>0</v>
      </c>
      <c r="N52" s="111">
        <v>0</v>
      </c>
      <c r="O52" s="111">
        <v>0</v>
      </c>
      <c r="P52" s="111">
        <v>0</v>
      </c>
      <c r="Q52" s="111">
        <v>0</v>
      </c>
      <c r="R52" s="111">
        <v>0</v>
      </c>
      <c r="S52" s="111">
        <v>0</v>
      </c>
      <c r="T52" s="111">
        <v>0</v>
      </c>
      <c r="U52" s="111">
        <v>0</v>
      </c>
      <c r="V52" s="111">
        <v>0</v>
      </c>
      <c r="W52" s="111">
        <v>0</v>
      </c>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5"/>
      <c r="AY52" s="115"/>
    </row>
    <row r="53" spans="1:51" ht="43.5" customHeight="1">
      <c r="A53" s="325">
        <v>6</v>
      </c>
      <c r="B53" s="326" t="s">
        <v>105</v>
      </c>
      <c r="C53" s="326"/>
      <c r="D53" s="327"/>
      <c r="E53" s="136" t="s">
        <v>106</v>
      </c>
      <c r="F53" s="134" t="s">
        <v>69</v>
      </c>
      <c r="G53" s="134" t="s">
        <v>69</v>
      </c>
      <c r="H53" s="134" t="s">
        <v>69</v>
      </c>
      <c r="I53" s="134" t="s">
        <v>69</v>
      </c>
      <c r="J53" s="134" t="s">
        <v>69</v>
      </c>
      <c r="K53" s="134" t="s">
        <v>69</v>
      </c>
      <c r="L53" s="134" t="s">
        <v>69</v>
      </c>
      <c r="M53" s="134" t="s">
        <v>69</v>
      </c>
      <c r="N53" s="134" t="s">
        <v>69</v>
      </c>
      <c r="O53" s="134" t="s">
        <v>69</v>
      </c>
      <c r="P53" s="134" t="s">
        <v>69</v>
      </c>
      <c r="Q53" s="134" t="s">
        <v>69</v>
      </c>
      <c r="R53" s="134" t="s">
        <v>69</v>
      </c>
      <c r="S53" s="134" t="s">
        <v>69</v>
      </c>
      <c r="T53" s="134" t="s">
        <v>69</v>
      </c>
      <c r="U53" s="114" t="s">
        <v>69</v>
      </c>
      <c r="V53" s="119"/>
      <c r="W53" s="119"/>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5"/>
      <c r="AY53" s="115"/>
    </row>
    <row r="54" spans="1:51">
      <c r="A54" s="325"/>
      <c r="B54" s="137" t="s">
        <v>70</v>
      </c>
      <c r="C54" s="328" t="s">
        <v>79</v>
      </c>
      <c r="D54" s="329"/>
      <c r="E54" s="330" t="s">
        <v>107</v>
      </c>
      <c r="F54" s="138" t="s">
        <v>38</v>
      </c>
      <c r="G54" s="138" t="s">
        <v>38</v>
      </c>
      <c r="H54" s="138" t="s">
        <v>38</v>
      </c>
      <c r="I54" s="138" t="s">
        <v>38</v>
      </c>
      <c r="J54" s="138" t="s">
        <v>38</v>
      </c>
      <c r="K54" s="138" t="s">
        <v>38</v>
      </c>
      <c r="L54" s="138" t="s">
        <v>38</v>
      </c>
      <c r="M54" s="138" t="s">
        <v>38</v>
      </c>
      <c r="N54" s="138" t="s">
        <v>38</v>
      </c>
      <c r="O54" s="138" t="s">
        <v>38</v>
      </c>
      <c r="P54" s="138" t="s">
        <v>38</v>
      </c>
      <c r="Q54" s="138" t="s">
        <v>38</v>
      </c>
      <c r="R54" s="138" t="s">
        <v>38</v>
      </c>
      <c r="S54" s="138" t="s">
        <v>38</v>
      </c>
      <c r="T54" s="138" t="s">
        <v>38</v>
      </c>
      <c r="U54" s="138" t="s">
        <v>38</v>
      </c>
      <c r="V54" s="138" t="s">
        <v>38</v>
      </c>
      <c r="W54" s="138" t="s">
        <v>38</v>
      </c>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5"/>
      <c r="AY54" s="115"/>
    </row>
    <row r="55" spans="1:51">
      <c r="A55" s="325"/>
      <c r="B55" s="137" t="s">
        <v>73</v>
      </c>
      <c r="C55" s="328" t="s">
        <v>80</v>
      </c>
      <c r="D55" s="329"/>
      <c r="E55" s="330"/>
      <c r="F55" s="138" t="s">
        <v>38</v>
      </c>
      <c r="G55" s="138" t="s">
        <v>38</v>
      </c>
      <c r="H55" s="138" t="s">
        <v>38</v>
      </c>
      <c r="I55" s="138" t="s">
        <v>38</v>
      </c>
      <c r="J55" s="138" t="s">
        <v>38</v>
      </c>
      <c r="K55" s="138" t="s">
        <v>38</v>
      </c>
      <c r="L55" s="138" t="s">
        <v>38</v>
      </c>
      <c r="M55" s="138" t="s">
        <v>38</v>
      </c>
      <c r="N55" s="138" t="s">
        <v>38</v>
      </c>
      <c r="O55" s="138" t="s">
        <v>38</v>
      </c>
      <c r="P55" s="138" t="s">
        <v>38</v>
      </c>
      <c r="Q55" s="138" t="s">
        <v>38</v>
      </c>
      <c r="R55" s="138" t="s">
        <v>38</v>
      </c>
      <c r="S55" s="138" t="s">
        <v>38</v>
      </c>
      <c r="T55" s="138" t="s">
        <v>38</v>
      </c>
      <c r="U55" s="138" t="s">
        <v>38</v>
      </c>
      <c r="V55" s="138" t="s">
        <v>38</v>
      </c>
      <c r="W55" s="138" t="s">
        <v>38</v>
      </c>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5"/>
      <c r="AY55" s="115"/>
    </row>
    <row r="56" spans="1:51">
      <c r="A56" s="325"/>
      <c r="B56" s="137" t="s">
        <v>75</v>
      </c>
      <c r="C56" s="328" t="s">
        <v>82</v>
      </c>
      <c r="D56" s="329"/>
      <c r="E56" s="330"/>
      <c r="F56" s="138" t="s">
        <v>38</v>
      </c>
      <c r="G56" s="138" t="s">
        <v>38</v>
      </c>
      <c r="H56" s="138" t="s">
        <v>38</v>
      </c>
      <c r="I56" s="138" t="s">
        <v>38</v>
      </c>
      <c r="J56" s="138" t="s">
        <v>38</v>
      </c>
      <c r="K56" s="138" t="s">
        <v>38</v>
      </c>
      <c r="L56" s="138" t="s">
        <v>38</v>
      </c>
      <c r="M56" s="138" t="s">
        <v>38</v>
      </c>
      <c r="N56" s="138" t="s">
        <v>38</v>
      </c>
      <c r="O56" s="138" t="s">
        <v>38</v>
      </c>
      <c r="P56" s="138" t="s">
        <v>38</v>
      </c>
      <c r="Q56" s="138" t="s">
        <v>38</v>
      </c>
      <c r="R56" s="138" t="s">
        <v>38</v>
      </c>
      <c r="S56" s="138" t="s">
        <v>38</v>
      </c>
      <c r="T56" s="138" t="s">
        <v>38</v>
      </c>
      <c r="U56" s="138" t="s">
        <v>38</v>
      </c>
      <c r="V56" s="138" t="s">
        <v>38</v>
      </c>
      <c r="W56" s="138" t="s">
        <v>38</v>
      </c>
      <c r="X56" s="114"/>
      <c r="Y56" s="114"/>
      <c r="Z56" s="114"/>
      <c r="AA56" s="114"/>
      <c r="AB56" s="114"/>
      <c r="AC56" s="114"/>
      <c r="AD56" s="114"/>
      <c r="AE56" s="114"/>
      <c r="AF56" s="114"/>
      <c r="AG56" s="114"/>
      <c r="AH56" s="114"/>
      <c r="AI56" s="114"/>
      <c r="AJ56" s="114"/>
      <c r="AK56" s="114"/>
      <c r="AL56" s="114"/>
      <c r="AM56" s="114"/>
      <c r="AN56" s="114"/>
      <c r="AO56" s="114"/>
      <c r="AP56" s="114"/>
      <c r="AQ56" s="114"/>
      <c r="AR56" s="114"/>
      <c r="AS56" s="114"/>
      <c r="AT56" s="114"/>
      <c r="AU56" s="114"/>
      <c r="AV56" s="114"/>
      <c r="AW56" s="114"/>
      <c r="AX56" s="115"/>
      <c r="AY56" s="115"/>
    </row>
    <row r="57" spans="1:51">
      <c r="A57" s="325"/>
      <c r="B57" s="137" t="s">
        <v>77</v>
      </c>
      <c r="C57" s="328" t="s">
        <v>83</v>
      </c>
      <c r="D57" s="329"/>
      <c r="E57" s="330"/>
      <c r="F57" s="138" t="s">
        <v>38</v>
      </c>
      <c r="G57" s="138" t="s">
        <v>38</v>
      </c>
      <c r="H57" s="138" t="s">
        <v>38</v>
      </c>
      <c r="I57" s="138" t="s">
        <v>38</v>
      </c>
      <c r="J57" s="138" t="s">
        <v>38</v>
      </c>
      <c r="K57" s="138" t="s">
        <v>38</v>
      </c>
      <c r="L57" s="138" t="s">
        <v>38</v>
      </c>
      <c r="M57" s="138" t="s">
        <v>38</v>
      </c>
      <c r="N57" s="138" t="s">
        <v>38</v>
      </c>
      <c r="O57" s="138" t="s">
        <v>38</v>
      </c>
      <c r="P57" s="138" t="s">
        <v>38</v>
      </c>
      <c r="Q57" s="138" t="s">
        <v>38</v>
      </c>
      <c r="R57" s="138" t="s">
        <v>38</v>
      </c>
      <c r="S57" s="138" t="s">
        <v>38</v>
      </c>
      <c r="T57" s="138" t="s">
        <v>38</v>
      </c>
      <c r="U57" s="138" t="s">
        <v>38</v>
      </c>
      <c r="V57" s="138" t="s">
        <v>38</v>
      </c>
      <c r="W57" s="138" t="s">
        <v>38</v>
      </c>
      <c r="X57" s="114"/>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c r="AV57" s="114"/>
      <c r="AW57" s="114"/>
      <c r="AX57" s="115"/>
      <c r="AY57" s="115"/>
    </row>
    <row r="58" spans="1:51">
      <c r="A58" s="325"/>
      <c r="B58" s="137" t="s">
        <v>84</v>
      </c>
      <c r="C58" s="328" t="s">
        <v>85</v>
      </c>
      <c r="D58" s="329"/>
      <c r="E58" s="330"/>
      <c r="F58" s="138" t="s">
        <v>38</v>
      </c>
      <c r="G58" s="138" t="s">
        <v>38</v>
      </c>
      <c r="H58" s="138" t="s">
        <v>38</v>
      </c>
      <c r="I58" s="138" t="s">
        <v>38</v>
      </c>
      <c r="J58" s="138" t="s">
        <v>38</v>
      </c>
      <c r="K58" s="138" t="s">
        <v>38</v>
      </c>
      <c r="L58" s="138" t="s">
        <v>38</v>
      </c>
      <c r="M58" s="138" t="s">
        <v>38</v>
      </c>
      <c r="N58" s="138" t="s">
        <v>38</v>
      </c>
      <c r="O58" s="138" t="s">
        <v>38</v>
      </c>
      <c r="P58" s="138" t="s">
        <v>38</v>
      </c>
      <c r="Q58" s="138" t="s">
        <v>38</v>
      </c>
      <c r="R58" s="138" t="s">
        <v>38</v>
      </c>
      <c r="S58" s="138" t="s">
        <v>38</v>
      </c>
      <c r="T58" s="138" t="s">
        <v>38</v>
      </c>
      <c r="U58" s="138" t="s">
        <v>38</v>
      </c>
      <c r="V58" s="138" t="s">
        <v>38</v>
      </c>
      <c r="W58" s="138" t="s">
        <v>38</v>
      </c>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5"/>
      <c r="AY58" s="115"/>
    </row>
    <row r="59" spans="1:51">
      <c r="A59" s="325"/>
      <c r="B59" s="137" t="s">
        <v>86</v>
      </c>
      <c r="C59" s="328" t="s">
        <v>87</v>
      </c>
      <c r="D59" s="329"/>
      <c r="E59" s="330"/>
      <c r="F59" s="138" t="s">
        <v>38</v>
      </c>
      <c r="G59" s="138" t="s">
        <v>38</v>
      </c>
      <c r="H59" s="138" t="s">
        <v>38</v>
      </c>
      <c r="I59" s="138" t="s">
        <v>38</v>
      </c>
      <c r="J59" s="138" t="s">
        <v>38</v>
      </c>
      <c r="K59" s="138" t="s">
        <v>38</v>
      </c>
      <c r="L59" s="138" t="s">
        <v>38</v>
      </c>
      <c r="M59" s="138" t="s">
        <v>38</v>
      </c>
      <c r="N59" s="138" t="s">
        <v>38</v>
      </c>
      <c r="O59" s="138" t="s">
        <v>38</v>
      </c>
      <c r="P59" s="138" t="s">
        <v>38</v>
      </c>
      <c r="Q59" s="138" t="s">
        <v>38</v>
      </c>
      <c r="R59" s="138" t="s">
        <v>38</v>
      </c>
      <c r="S59" s="138" t="s">
        <v>38</v>
      </c>
      <c r="T59" s="138" t="s">
        <v>38</v>
      </c>
      <c r="U59" s="138" t="s">
        <v>38</v>
      </c>
      <c r="V59" s="138" t="s">
        <v>38</v>
      </c>
      <c r="W59" s="138" t="s">
        <v>38</v>
      </c>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5"/>
      <c r="AY59" s="115"/>
    </row>
    <row r="60" spans="1:51">
      <c r="A60" s="325"/>
      <c r="B60" s="137" t="s">
        <v>89</v>
      </c>
      <c r="C60" s="328" t="s">
        <v>90</v>
      </c>
      <c r="D60" s="329"/>
      <c r="E60" s="330"/>
      <c r="F60" s="138" t="s">
        <v>38</v>
      </c>
      <c r="G60" s="138" t="s">
        <v>38</v>
      </c>
      <c r="H60" s="138" t="s">
        <v>38</v>
      </c>
      <c r="I60" s="138" t="s">
        <v>38</v>
      </c>
      <c r="J60" s="138" t="s">
        <v>38</v>
      </c>
      <c r="K60" s="138" t="s">
        <v>38</v>
      </c>
      <c r="L60" s="138" t="s">
        <v>38</v>
      </c>
      <c r="M60" s="138" t="s">
        <v>38</v>
      </c>
      <c r="N60" s="138" t="s">
        <v>38</v>
      </c>
      <c r="O60" s="138" t="s">
        <v>38</v>
      </c>
      <c r="P60" s="138" t="s">
        <v>38</v>
      </c>
      <c r="Q60" s="138" t="s">
        <v>38</v>
      </c>
      <c r="R60" s="138" t="s">
        <v>38</v>
      </c>
      <c r="S60" s="138" t="s">
        <v>38</v>
      </c>
      <c r="T60" s="138" t="s">
        <v>38</v>
      </c>
      <c r="U60" s="138" t="s">
        <v>38</v>
      </c>
      <c r="V60" s="138" t="s">
        <v>38</v>
      </c>
      <c r="W60" s="138" t="s">
        <v>38</v>
      </c>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5"/>
      <c r="AY60" s="115"/>
    </row>
    <row r="61" spans="1:51">
      <c r="A61" s="325"/>
      <c r="B61" s="137" t="s">
        <v>91</v>
      </c>
      <c r="C61" s="328" t="s">
        <v>92</v>
      </c>
      <c r="D61" s="332"/>
      <c r="E61" s="330"/>
      <c r="F61" s="138" t="s">
        <v>38</v>
      </c>
      <c r="G61" s="138" t="s">
        <v>38</v>
      </c>
      <c r="H61" s="138" t="s">
        <v>38</v>
      </c>
      <c r="I61" s="138" t="s">
        <v>38</v>
      </c>
      <c r="J61" s="138" t="s">
        <v>38</v>
      </c>
      <c r="K61" s="138" t="s">
        <v>38</v>
      </c>
      <c r="L61" s="138" t="s">
        <v>38</v>
      </c>
      <c r="M61" s="138" t="s">
        <v>38</v>
      </c>
      <c r="N61" s="138" t="s">
        <v>38</v>
      </c>
      <c r="O61" s="138" t="s">
        <v>38</v>
      </c>
      <c r="P61" s="138" t="s">
        <v>38</v>
      </c>
      <c r="Q61" s="138" t="s">
        <v>38</v>
      </c>
      <c r="R61" s="138" t="s">
        <v>38</v>
      </c>
      <c r="S61" s="138" t="s">
        <v>38</v>
      </c>
      <c r="T61" s="138" t="s">
        <v>38</v>
      </c>
      <c r="U61" s="138" t="s">
        <v>38</v>
      </c>
      <c r="V61" s="138" t="s">
        <v>38</v>
      </c>
      <c r="W61" s="138" t="s">
        <v>38</v>
      </c>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4"/>
      <c r="AX61" s="115"/>
      <c r="AY61" s="115"/>
    </row>
    <row r="62" spans="1:51">
      <c r="A62" s="325"/>
      <c r="B62" s="137" t="s">
        <v>93</v>
      </c>
      <c r="C62" s="328" t="s">
        <v>94</v>
      </c>
      <c r="D62" s="332"/>
      <c r="E62" s="331"/>
      <c r="F62" s="138" t="s">
        <v>38</v>
      </c>
      <c r="G62" s="138" t="s">
        <v>38</v>
      </c>
      <c r="H62" s="138" t="s">
        <v>38</v>
      </c>
      <c r="I62" s="138" t="s">
        <v>38</v>
      </c>
      <c r="J62" s="138" t="s">
        <v>38</v>
      </c>
      <c r="K62" s="138" t="s">
        <v>38</v>
      </c>
      <c r="L62" s="138" t="s">
        <v>38</v>
      </c>
      <c r="M62" s="138" t="s">
        <v>38</v>
      </c>
      <c r="N62" s="138" t="s">
        <v>38</v>
      </c>
      <c r="O62" s="138" t="s">
        <v>38</v>
      </c>
      <c r="P62" s="138" t="s">
        <v>38</v>
      </c>
      <c r="Q62" s="138" t="s">
        <v>38</v>
      </c>
      <c r="R62" s="138" t="s">
        <v>38</v>
      </c>
      <c r="S62" s="138" t="s">
        <v>38</v>
      </c>
      <c r="T62" s="138" t="s">
        <v>38</v>
      </c>
      <c r="U62" s="138" t="s">
        <v>38</v>
      </c>
      <c r="V62" s="138" t="s">
        <v>38</v>
      </c>
      <c r="W62" s="138" t="s">
        <v>38</v>
      </c>
      <c r="X62" s="114"/>
      <c r="Y62" s="114"/>
      <c r="Z62" s="114"/>
      <c r="AA62" s="114"/>
      <c r="AB62" s="114"/>
      <c r="AC62" s="114"/>
      <c r="AD62" s="114"/>
      <c r="AE62" s="114"/>
      <c r="AF62" s="114"/>
      <c r="AG62" s="114"/>
      <c r="AH62" s="114"/>
      <c r="AI62" s="114"/>
      <c r="AJ62" s="114"/>
      <c r="AK62" s="114"/>
      <c r="AL62" s="114"/>
      <c r="AM62" s="114"/>
      <c r="AN62" s="114"/>
      <c r="AO62" s="114"/>
      <c r="AP62" s="114"/>
      <c r="AQ62" s="114"/>
      <c r="AR62" s="114"/>
      <c r="AS62" s="114"/>
      <c r="AT62" s="114"/>
      <c r="AU62" s="114"/>
      <c r="AV62" s="114"/>
      <c r="AW62" s="114"/>
      <c r="AX62" s="115"/>
      <c r="AY62" s="115"/>
    </row>
    <row r="63" spans="1:51">
      <c r="A63" s="116"/>
      <c r="B63" s="114"/>
      <c r="C63" s="139"/>
      <c r="D63" s="140"/>
      <c r="E63" s="141"/>
      <c r="F63" s="114"/>
      <c r="G63" s="114"/>
      <c r="H63" s="114"/>
      <c r="I63" s="114"/>
      <c r="J63" s="114"/>
      <c r="K63" s="114"/>
      <c r="L63" s="114"/>
      <c r="M63" s="114"/>
      <c r="N63" s="114"/>
      <c r="O63" s="114"/>
      <c r="P63" s="114"/>
      <c r="Q63" s="114"/>
      <c r="R63" s="114"/>
      <c r="S63" s="114"/>
      <c r="T63" s="114"/>
      <c r="U63" s="114"/>
      <c r="V63" s="114"/>
      <c r="W63" s="114"/>
      <c r="X63" s="114"/>
      <c r="Y63" s="114"/>
      <c r="Z63" s="114"/>
      <c r="AA63" s="114"/>
      <c r="AB63" s="114"/>
      <c r="AC63" s="114"/>
      <c r="AD63" s="114"/>
      <c r="AE63" s="114"/>
      <c r="AF63" s="114"/>
      <c r="AG63" s="114"/>
      <c r="AH63" s="114"/>
      <c r="AI63" s="114"/>
      <c r="AJ63" s="114"/>
      <c r="AK63" s="114"/>
      <c r="AL63" s="114"/>
      <c r="AM63" s="114"/>
      <c r="AN63" s="114"/>
      <c r="AO63" s="114"/>
      <c r="AP63" s="114"/>
      <c r="AQ63" s="114"/>
      <c r="AR63" s="114"/>
      <c r="AS63" s="114"/>
      <c r="AT63" s="114"/>
      <c r="AU63" s="114"/>
      <c r="AV63" s="114"/>
      <c r="AW63" s="114"/>
      <c r="AX63" s="115"/>
      <c r="AY63" s="115"/>
    </row>
    <row r="64" spans="1:51" s="145" customFormat="1">
      <c r="A64" s="381">
        <v>5</v>
      </c>
      <c r="B64" s="384" t="s">
        <v>161</v>
      </c>
      <c r="C64" s="385"/>
      <c r="D64" s="386"/>
      <c r="E64" s="387" t="s">
        <v>98</v>
      </c>
      <c r="F64" s="142"/>
      <c r="G64" s="142"/>
      <c r="H64" s="142"/>
      <c r="I64" s="142"/>
      <c r="J64" s="142"/>
      <c r="K64" s="142"/>
      <c r="L64" s="142"/>
      <c r="M64" s="142"/>
      <c r="N64" s="142"/>
      <c r="O64" s="142"/>
      <c r="P64" s="142"/>
      <c r="Q64" s="142"/>
      <c r="R64" s="142"/>
      <c r="S64" s="142"/>
      <c r="T64" s="142"/>
      <c r="U64" s="142"/>
      <c r="V64" s="142"/>
      <c r="W64" s="142"/>
      <c r="X64" s="143"/>
      <c r="Y64" s="143"/>
      <c r="Z64" s="143"/>
      <c r="AA64" s="143"/>
      <c r="AB64" s="143"/>
      <c r="AC64" s="144"/>
    </row>
    <row r="65" spans="1:29" s="145" customFormat="1">
      <c r="A65" s="382"/>
      <c r="B65" s="142"/>
      <c r="C65" s="390" t="s">
        <v>162</v>
      </c>
      <c r="D65" s="391"/>
      <c r="E65" s="388"/>
      <c r="F65" s="146">
        <v>1</v>
      </c>
      <c r="G65" s="146">
        <v>1</v>
      </c>
      <c r="H65" s="146">
        <v>1</v>
      </c>
      <c r="I65" s="146">
        <v>1</v>
      </c>
      <c r="J65" s="146">
        <v>1</v>
      </c>
      <c r="K65" s="146">
        <v>1</v>
      </c>
      <c r="L65" s="146">
        <v>1</v>
      </c>
      <c r="M65" s="146">
        <v>1</v>
      </c>
      <c r="N65" s="146">
        <v>1</v>
      </c>
      <c r="O65" s="146">
        <v>1</v>
      </c>
      <c r="P65" s="146">
        <v>1</v>
      </c>
      <c r="Q65" s="146">
        <v>1</v>
      </c>
      <c r="R65" s="146">
        <v>1</v>
      </c>
      <c r="S65" s="146">
        <v>1</v>
      </c>
      <c r="T65" s="146">
        <v>1</v>
      </c>
      <c r="U65" s="146">
        <v>1</v>
      </c>
      <c r="V65" s="146">
        <v>1</v>
      </c>
      <c r="W65" s="146">
        <v>1</v>
      </c>
      <c r="X65" s="143"/>
      <c r="Y65" s="143"/>
      <c r="Z65" s="143"/>
      <c r="AA65" s="143"/>
      <c r="AB65" s="143"/>
      <c r="AC65" s="144"/>
    </row>
    <row r="66" spans="1:29" s="145" customFormat="1">
      <c r="A66" s="382"/>
      <c r="B66" s="142"/>
      <c r="C66" s="390" t="s">
        <v>163</v>
      </c>
      <c r="D66" s="391"/>
      <c r="E66" s="388"/>
      <c r="F66" s="146"/>
      <c r="G66" s="146"/>
      <c r="H66" s="146"/>
      <c r="I66" s="146"/>
      <c r="J66" s="146"/>
      <c r="K66" s="146"/>
      <c r="L66" s="146"/>
      <c r="M66" s="146"/>
      <c r="N66" s="146"/>
      <c r="O66" s="146"/>
      <c r="P66" s="146"/>
      <c r="Q66" s="146"/>
      <c r="R66" s="146"/>
      <c r="S66" s="146"/>
      <c r="T66" s="146"/>
      <c r="U66" s="146"/>
      <c r="V66" s="146"/>
      <c r="W66" s="146"/>
      <c r="X66" s="143"/>
      <c r="Y66" s="143"/>
      <c r="Z66" s="143"/>
      <c r="AA66" s="143"/>
      <c r="AB66" s="143"/>
      <c r="AC66" s="144"/>
    </row>
    <row r="67" spans="1:29" s="145" customFormat="1">
      <c r="A67" s="382"/>
      <c r="B67" s="142"/>
      <c r="C67" s="390" t="s">
        <v>164</v>
      </c>
      <c r="D67" s="391"/>
      <c r="E67" s="388"/>
      <c r="F67" s="146"/>
      <c r="G67" s="146"/>
      <c r="H67" s="146"/>
      <c r="I67" s="146"/>
      <c r="J67" s="146"/>
      <c r="K67" s="146"/>
      <c r="L67" s="146"/>
      <c r="M67" s="146"/>
      <c r="N67" s="146"/>
      <c r="O67" s="146"/>
      <c r="P67" s="146"/>
      <c r="Q67" s="146"/>
      <c r="R67" s="146"/>
      <c r="S67" s="146"/>
      <c r="T67" s="146"/>
      <c r="U67" s="146"/>
      <c r="V67" s="146"/>
      <c r="W67" s="146"/>
      <c r="X67" s="143"/>
      <c r="Y67" s="143"/>
      <c r="Z67" s="143"/>
      <c r="AA67" s="143"/>
      <c r="AB67" s="143"/>
      <c r="AC67" s="144"/>
    </row>
    <row r="68" spans="1:29" s="145" customFormat="1">
      <c r="A68" s="383"/>
      <c r="B68" s="142"/>
      <c r="C68" s="384" t="s">
        <v>104</v>
      </c>
      <c r="D68" s="386"/>
      <c r="E68" s="389"/>
      <c r="F68" s="142"/>
      <c r="G68" s="142"/>
      <c r="H68" s="142"/>
      <c r="I68" s="142"/>
      <c r="J68" s="142"/>
      <c r="K68" s="142"/>
      <c r="L68" s="142"/>
      <c r="M68" s="142"/>
      <c r="N68" s="142"/>
      <c r="O68" s="142"/>
      <c r="P68" s="142"/>
      <c r="Q68" s="142"/>
      <c r="R68" s="142"/>
      <c r="S68" s="142"/>
      <c r="T68" s="142"/>
      <c r="U68" s="142"/>
      <c r="V68" s="142"/>
      <c r="W68" s="142"/>
      <c r="X68" s="143"/>
      <c r="Y68" s="143"/>
      <c r="Z68" s="143"/>
      <c r="AA68" s="143"/>
      <c r="AB68" s="143"/>
      <c r="AC68" s="144"/>
    </row>
    <row r="69" spans="1:29" s="145" customFormat="1">
      <c r="A69" s="381">
        <v>6</v>
      </c>
      <c r="B69" s="384" t="s">
        <v>165</v>
      </c>
      <c r="C69" s="385"/>
      <c r="D69" s="386"/>
      <c r="E69" s="387" t="s">
        <v>166</v>
      </c>
      <c r="F69" s="142"/>
      <c r="G69" s="142"/>
      <c r="H69" s="142"/>
      <c r="I69" s="142"/>
      <c r="J69" s="142"/>
      <c r="K69" s="142"/>
      <c r="L69" s="142"/>
      <c r="M69" s="142"/>
      <c r="N69" s="142"/>
      <c r="O69" s="142"/>
      <c r="P69" s="142"/>
      <c r="Q69" s="142"/>
      <c r="R69" s="142"/>
      <c r="S69" s="142"/>
      <c r="T69" s="142"/>
      <c r="U69" s="142"/>
      <c r="V69" s="142"/>
      <c r="W69" s="142"/>
      <c r="X69" s="143"/>
      <c r="Y69" s="143"/>
      <c r="Z69" s="143"/>
      <c r="AA69" s="143"/>
      <c r="AB69" s="143"/>
      <c r="AC69" s="144"/>
    </row>
    <row r="70" spans="1:29" s="145" customFormat="1">
      <c r="A70" s="382"/>
      <c r="B70" s="142"/>
      <c r="C70" s="390" t="s">
        <v>167</v>
      </c>
      <c r="D70" s="391"/>
      <c r="E70" s="388"/>
      <c r="F70" s="142"/>
      <c r="G70" s="142"/>
      <c r="H70" s="142"/>
      <c r="I70" s="142"/>
      <c r="J70" s="142"/>
      <c r="K70" s="142"/>
      <c r="L70" s="142"/>
      <c r="M70" s="142"/>
      <c r="N70" s="142"/>
      <c r="O70" s="142"/>
      <c r="P70" s="142"/>
      <c r="Q70" s="142"/>
      <c r="R70" s="142"/>
      <c r="S70" s="142"/>
      <c r="T70" s="142"/>
      <c r="U70" s="142"/>
      <c r="V70" s="142"/>
      <c r="W70" s="142"/>
      <c r="X70" s="143"/>
      <c r="Y70" s="143"/>
      <c r="Z70" s="143"/>
      <c r="AA70" s="143"/>
      <c r="AB70" s="143"/>
      <c r="AC70" s="144"/>
    </row>
    <row r="71" spans="1:29" s="145" customFormat="1">
      <c r="A71" s="382"/>
      <c r="B71" s="142"/>
      <c r="C71" s="390" t="s">
        <v>168</v>
      </c>
      <c r="D71" s="391"/>
      <c r="E71" s="388"/>
      <c r="F71" s="142"/>
      <c r="G71" s="142"/>
      <c r="H71" s="142"/>
      <c r="I71" s="142"/>
      <c r="J71" s="142"/>
      <c r="K71" s="142"/>
      <c r="L71" s="142"/>
      <c r="M71" s="142"/>
      <c r="N71" s="142"/>
      <c r="O71" s="142"/>
      <c r="P71" s="142"/>
      <c r="Q71" s="142"/>
      <c r="R71" s="142"/>
      <c r="S71" s="142"/>
      <c r="T71" s="142"/>
      <c r="U71" s="142"/>
      <c r="V71" s="142"/>
      <c r="W71" s="142"/>
      <c r="X71" s="143"/>
      <c r="Y71" s="143"/>
      <c r="Z71" s="143"/>
      <c r="AA71" s="143"/>
      <c r="AB71" s="143"/>
      <c r="AC71" s="144"/>
    </row>
    <row r="72" spans="1:29" s="145" customFormat="1">
      <c r="A72" s="382"/>
      <c r="B72" s="142"/>
      <c r="C72" s="390" t="s">
        <v>169</v>
      </c>
      <c r="D72" s="391"/>
      <c r="E72" s="388"/>
      <c r="F72" s="142"/>
      <c r="G72" s="142"/>
      <c r="H72" s="142"/>
      <c r="I72" s="142"/>
      <c r="J72" s="142"/>
      <c r="K72" s="142"/>
      <c r="L72" s="142"/>
      <c r="M72" s="142"/>
      <c r="N72" s="142"/>
      <c r="O72" s="142"/>
      <c r="P72" s="142"/>
      <c r="Q72" s="142"/>
      <c r="R72" s="142"/>
      <c r="S72" s="142"/>
      <c r="T72" s="142"/>
      <c r="U72" s="142"/>
      <c r="V72" s="142"/>
      <c r="W72" s="142"/>
      <c r="X72" s="143"/>
      <c r="Y72" s="143"/>
      <c r="Z72" s="143"/>
      <c r="AA72" s="143"/>
      <c r="AB72" s="143"/>
      <c r="AC72" s="144"/>
    </row>
    <row r="73" spans="1:29" s="145" customFormat="1">
      <c r="A73" s="382"/>
      <c r="B73" s="142"/>
      <c r="C73" s="390" t="s">
        <v>170</v>
      </c>
      <c r="D73" s="391"/>
      <c r="E73" s="388"/>
      <c r="F73" s="142">
        <v>1</v>
      </c>
      <c r="G73" s="142">
        <v>1</v>
      </c>
      <c r="H73" s="142">
        <v>1</v>
      </c>
      <c r="I73" s="142">
        <v>1</v>
      </c>
      <c r="J73" s="142">
        <v>1</v>
      </c>
      <c r="K73" s="142">
        <v>1</v>
      </c>
      <c r="L73" s="142">
        <v>1</v>
      </c>
      <c r="M73" s="142">
        <v>1</v>
      </c>
      <c r="N73" s="142">
        <v>1</v>
      </c>
      <c r="O73" s="142">
        <v>1</v>
      </c>
      <c r="P73" s="142">
        <v>1</v>
      </c>
      <c r="Q73" s="142">
        <v>1</v>
      </c>
      <c r="R73" s="142">
        <v>1</v>
      </c>
      <c r="S73" s="142">
        <v>1</v>
      </c>
      <c r="T73" s="142">
        <v>1</v>
      </c>
      <c r="U73" s="142">
        <v>1</v>
      </c>
      <c r="V73" s="142">
        <v>1</v>
      </c>
      <c r="W73" s="142">
        <v>1</v>
      </c>
      <c r="X73" s="143"/>
      <c r="Y73" s="143"/>
      <c r="Z73" s="143"/>
      <c r="AA73" s="143"/>
      <c r="AB73" s="143"/>
      <c r="AC73" s="144"/>
    </row>
    <row r="74" spans="1:29" s="145" customFormat="1">
      <c r="A74" s="383"/>
      <c r="B74" s="142"/>
      <c r="C74" s="384" t="s">
        <v>171</v>
      </c>
      <c r="D74" s="386"/>
      <c r="E74" s="389"/>
      <c r="F74" s="142">
        <v>2</v>
      </c>
      <c r="G74" s="142">
        <v>2</v>
      </c>
      <c r="H74" s="142">
        <v>2</v>
      </c>
      <c r="I74" s="142">
        <v>2</v>
      </c>
      <c r="J74" s="142">
        <v>2</v>
      </c>
      <c r="K74" s="142">
        <v>2</v>
      </c>
      <c r="L74" s="142">
        <v>2</v>
      </c>
      <c r="M74" s="142">
        <v>2</v>
      </c>
      <c r="N74" s="142">
        <v>2</v>
      </c>
      <c r="O74" s="142">
        <v>2</v>
      </c>
      <c r="P74" s="142">
        <v>2</v>
      </c>
      <c r="Q74" s="142">
        <v>2</v>
      </c>
      <c r="R74" s="142">
        <v>2</v>
      </c>
      <c r="S74" s="142">
        <v>2</v>
      </c>
      <c r="T74" s="142">
        <v>2</v>
      </c>
      <c r="U74" s="142">
        <v>2</v>
      </c>
      <c r="V74" s="142">
        <v>2</v>
      </c>
      <c r="W74" s="142">
        <v>2</v>
      </c>
      <c r="X74" s="147"/>
      <c r="Y74" s="147"/>
      <c r="Z74" s="147"/>
      <c r="AA74" s="147"/>
      <c r="AB74" s="147"/>
      <c r="AC74" s="142"/>
    </row>
  </sheetData>
  <mergeCells count="46">
    <mergeCell ref="E54:E62"/>
    <mergeCell ref="C55:D55"/>
    <mergeCell ref="C56:D56"/>
    <mergeCell ref="C57:D57"/>
    <mergeCell ref="C58:D58"/>
    <mergeCell ref="C59:D59"/>
    <mergeCell ref="C60:D60"/>
    <mergeCell ref="C61:D61"/>
    <mergeCell ref="C62:D62"/>
    <mergeCell ref="A69:A74"/>
    <mergeCell ref="B69:D69"/>
    <mergeCell ref="E69:E74"/>
    <mergeCell ref="C70:D70"/>
    <mergeCell ref="C71:D71"/>
    <mergeCell ref="C72:D72"/>
    <mergeCell ref="C73:D73"/>
    <mergeCell ref="C74:D74"/>
    <mergeCell ref="E64:E68"/>
    <mergeCell ref="C65:D65"/>
    <mergeCell ref="C66:D66"/>
    <mergeCell ref="C67:D67"/>
    <mergeCell ref="C68:D68"/>
    <mergeCell ref="C5:D5"/>
    <mergeCell ref="C6:D6"/>
    <mergeCell ref="C7:D7"/>
    <mergeCell ref="A64:A68"/>
    <mergeCell ref="B64:D64"/>
    <mergeCell ref="A53:A62"/>
    <mergeCell ref="B53:D53"/>
    <mergeCell ref="C54:D54"/>
    <mergeCell ref="E48:E52"/>
    <mergeCell ref="A47:A52"/>
    <mergeCell ref="C48:D48"/>
    <mergeCell ref="B1:D1"/>
    <mergeCell ref="B2:D2"/>
    <mergeCell ref="B3:D3"/>
    <mergeCell ref="C50:D50"/>
    <mergeCell ref="C51:D51"/>
    <mergeCell ref="C52:D52"/>
    <mergeCell ref="E4:E8"/>
    <mergeCell ref="C8:D8"/>
    <mergeCell ref="A9:A46"/>
    <mergeCell ref="B9:D9"/>
    <mergeCell ref="A4:A8"/>
    <mergeCell ref="B4:D4"/>
    <mergeCell ref="B47:D4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A385-9899-4D13-A167-CB4E33D053AD}">
  <sheetPr>
    <tabColor theme="3" tint="0.749992370372631"/>
  </sheetPr>
  <dimension ref="A1:AY86"/>
  <sheetViews>
    <sheetView workbookViewId="0">
      <pane xSplit="5" topLeftCell="F27" activePane="topRight" state="frozen"/>
      <selection pane="topRight" activeCell="F7" sqref="F7"/>
    </sheetView>
  </sheetViews>
  <sheetFormatPr defaultRowHeight="16.5"/>
  <cols>
    <col min="1" max="2" width="9" style="93"/>
    <col min="3" max="3" width="22.25" style="93" customWidth="1"/>
    <col min="4" max="4" width="17.625" style="93" customWidth="1"/>
    <col min="5" max="5" width="31.5" style="93" customWidth="1"/>
    <col min="6" max="6" width="10" style="93" bestFit="1" customWidth="1"/>
    <col min="7" max="8" width="9.125" style="93" bestFit="1" customWidth="1"/>
    <col min="9" max="15" width="10" style="93" bestFit="1" customWidth="1"/>
    <col min="16" max="16" width="9.125" style="93" bestFit="1" customWidth="1"/>
    <col min="17" max="17" width="10" style="93" bestFit="1" customWidth="1"/>
    <col min="18" max="21" width="9.125" style="93" bestFit="1" customWidth="1"/>
    <col min="22" max="16384" width="9" style="93"/>
  </cols>
  <sheetData>
    <row r="1" spans="1:51">
      <c r="A1" s="148" t="s">
        <v>3</v>
      </c>
      <c r="B1" s="297" t="s">
        <v>60</v>
      </c>
      <c r="C1" s="298"/>
      <c r="D1" s="299"/>
      <c r="E1" s="89" t="s">
        <v>61</v>
      </c>
      <c r="F1" s="90">
        <v>45658</v>
      </c>
      <c r="G1" s="90">
        <v>45689</v>
      </c>
      <c r="H1" s="90">
        <v>45717</v>
      </c>
      <c r="I1" s="90">
        <v>45748</v>
      </c>
      <c r="J1" s="90">
        <v>45778</v>
      </c>
      <c r="K1" s="90">
        <v>45809</v>
      </c>
      <c r="L1" s="90">
        <v>45839</v>
      </c>
      <c r="M1" s="90">
        <v>45870</v>
      </c>
      <c r="N1" s="90">
        <v>45901</v>
      </c>
      <c r="O1" s="90">
        <v>45931</v>
      </c>
      <c r="P1" s="90">
        <v>45962</v>
      </c>
      <c r="Q1" s="90">
        <v>45992</v>
      </c>
      <c r="R1" s="90">
        <v>46023</v>
      </c>
      <c r="S1" s="90">
        <v>46054</v>
      </c>
      <c r="T1" s="90">
        <v>46082</v>
      </c>
      <c r="U1" s="90">
        <v>46113</v>
      </c>
      <c r="V1" s="89" t="s">
        <v>152</v>
      </c>
      <c r="W1" s="89" t="s">
        <v>153</v>
      </c>
      <c r="X1" s="91"/>
      <c r="Y1" s="91"/>
      <c r="Z1" s="91"/>
      <c r="AA1" s="91"/>
      <c r="AB1" s="91"/>
      <c r="AC1" s="92"/>
    </row>
    <row r="2" spans="1:51" ht="24.75">
      <c r="A2" s="104">
        <v>1</v>
      </c>
      <c r="B2" s="300" t="s">
        <v>64</v>
      </c>
      <c r="C2" s="301"/>
      <c r="D2" s="302"/>
      <c r="E2" s="150" t="s">
        <v>65</v>
      </c>
      <c r="F2" s="151">
        <v>110594</v>
      </c>
      <c r="G2" s="151">
        <v>72271</v>
      </c>
      <c r="H2" s="151">
        <v>65598</v>
      </c>
      <c r="I2" s="151">
        <v>116071</v>
      </c>
      <c r="J2" s="151">
        <v>106000</v>
      </c>
      <c r="K2" s="151">
        <v>113106</v>
      </c>
      <c r="L2" s="151">
        <v>129433</v>
      </c>
      <c r="M2" s="151">
        <v>127539</v>
      </c>
      <c r="N2" s="151">
        <v>118634</v>
      </c>
      <c r="O2" s="151">
        <v>242979</v>
      </c>
      <c r="P2" s="151">
        <v>90340</v>
      </c>
      <c r="Q2" s="151">
        <v>210872</v>
      </c>
      <c r="R2" s="151">
        <v>106130</v>
      </c>
      <c r="S2" s="151">
        <v>87998</v>
      </c>
      <c r="T2" s="151">
        <v>96225</v>
      </c>
      <c r="U2" s="151">
        <v>115524</v>
      </c>
      <c r="V2" s="151">
        <v>138429</v>
      </c>
      <c r="W2" s="151">
        <v>141536</v>
      </c>
      <c r="X2" s="107"/>
      <c r="Y2" s="107"/>
      <c r="Z2" s="107"/>
      <c r="AA2" s="107"/>
      <c r="AB2" s="107"/>
      <c r="AC2" s="108"/>
    </row>
    <row r="3" spans="1:51" ht="24.75">
      <c r="A3" s="104">
        <v>2</v>
      </c>
      <c r="B3" s="300" t="s">
        <v>66</v>
      </c>
      <c r="C3" s="301"/>
      <c r="D3" s="302"/>
      <c r="E3" s="105" t="s">
        <v>155</v>
      </c>
      <c r="F3" s="152">
        <f>SUM(F4:F8)</f>
        <v>0</v>
      </c>
      <c r="G3" s="152">
        <f t="shared" ref="G3:W3" si="0">SUM(G4:G8)</f>
        <v>0</v>
      </c>
      <c r="H3" s="152">
        <f t="shared" si="0"/>
        <v>0</v>
      </c>
      <c r="I3" s="152">
        <f t="shared" si="0"/>
        <v>0</v>
      </c>
      <c r="J3" s="106">
        <f>SUM(J5:J8)</f>
        <v>8</v>
      </c>
      <c r="K3" s="106">
        <f>SUM(K4:K8)</f>
        <v>8</v>
      </c>
      <c r="L3" s="106">
        <f>SUM(L4:L8)</f>
        <v>16</v>
      </c>
      <c r="M3" s="106">
        <f>SUM(M4:M8)</f>
        <v>12</v>
      </c>
      <c r="N3" s="106">
        <f>SUM(N4:N8)</f>
        <v>10</v>
      </c>
      <c r="O3" s="106">
        <f>SUM(O4:O8)</f>
        <v>18</v>
      </c>
      <c r="P3" s="152">
        <f t="shared" si="0"/>
        <v>0</v>
      </c>
      <c r="Q3" s="106">
        <f>SUM(Q4:Q8)</f>
        <v>8</v>
      </c>
      <c r="R3" s="152">
        <f t="shared" si="0"/>
        <v>21</v>
      </c>
      <c r="S3" s="152">
        <f t="shared" si="0"/>
        <v>14</v>
      </c>
      <c r="T3" s="152">
        <f t="shared" si="0"/>
        <v>4</v>
      </c>
      <c r="U3" s="152">
        <f t="shared" si="0"/>
        <v>32</v>
      </c>
      <c r="V3" s="152">
        <f t="shared" si="0"/>
        <v>26</v>
      </c>
      <c r="W3" s="152">
        <f t="shared" si="0"/>
        <v>17</v>
      </c>
      <c r="X3" s="107"/>
      <c r="Y3" s="107"/>
      <c r="Z3" s="107"/>
      <c r="AA3" s="107"/>
      <c r="AB3" s="107"/>
      <c r="AC3" s="108"/>
    </row>
    <row r="4" spans="1:51" ht="16.5" customHeight="1">
      <c r="A4" s="392">
        <v>3</v>
      </c>
      <c r="B4" s="300" t="s">
        <v>68</v>
      </c>
      <c r="C4" s="301"/>
      <c r="D4" s="301"/>
      <c r="E4" s="395" t="s">
        <v>156</v>
      </c>
      <c r="F4" s="293"/>
      <c r="G4" s="294"/>
      <c r="H4" s="294"/>
      <c r="I4" s="294"/>
      <c r="J4" s="294"/>
      <c r="K4" s="294"/>
      <c r="L4" s="294"/>
      <c r="M4" s="294"/>
      <c r="N4" s="294"/>
      <c r="O4" s="294"/>
      <c r="P4" s="294"/>
      <c r="Q4" s="294"/>
      <c r="R4" s="294"/>
      <c r="S4" s="294"/>
      <c r="T4" s="294"/>
      <c r="U4" s="294"/>
      <c r="V4" s="294"/>
      <c r="W4" s="294"/>
      <c r="X4" s="107"/>
      <c r="Y4" s="107"/>
      <c r="Z4" s="107"/>
      <c r="AA4" s="107"/>
      <c r="AB4" s="107"/>
      <c r="AC4" s="108"/>
    </row>
    <row r="5" spans="1:51">
      <c r="A5" s="393"/>
      <c r="B5" s="106"/>
      <c r="C5" s="318" t="s">
        <v>71</v>
      </c>
      <c r="D5" s="397"/>
      <c r="E5" s="395"/>
      <c r="F5" s="109">
        <v>0</v>
      </c>
      <c r="G5" s="106">
        <v>0</v>
      </c>
      <c r="H5" s="106">
        <v>0</v>
      </c>
      <c r="I5" s="106">
        <v>0</v>
      </c>
      <c r="J5" s="106">
        <v>0</v>
      </c>
      <c r="K5" s="106">
        <v>0</v>
      </c>
      <c r="L5" s="106">
        <v>0</v>
      </c>
      <c r="M5" s="106">
        <v>0</v>
      </c>
      <c r="N5" s="106">
        <v>0</v>
      </c>
      <c r="O5" s="106">
        <v>0</v>
      </c>
      <c r="P5" s="106">
        <v>0</v>
      </c>
      <c r="Q5" s="106">
        <v>0</v>
      </c>
      <c r="R5" s="106">
        <v>7</v>
      </c>
      <c r="S5" s="106">
        <v>2</v>
      </c>
      <c r="T5" s="106">
        <v>2</v>
      </c>
      <c r="U5" s="106">
        <v>2</v>
      </c>
      <c r="V5" s="106">
        <v>4</v>
      </c>
      <c r="W5" s="106">
        <v>5</v>
      </c>
      <c r="X5" s="107"/>
      <c r="Y5" s="107"/>
      <c r="Z5" s="107"/>
      <c r="AA5" s="107"/>
      <c r="AB5" s="107"/>
      <c r="AC5" s="108"/>
    </row>
    <row r="6" spans="1:51">
      <c r="A6" s="393"/>
      <c r="B6" s="106"/>
      <c r="C6" s="318" t="s">
        <v>157</v>
      </c>
      <c r="D6" s="397"/>
      <c r="E6" s="395"/>
      <c r="F6" s="109">
        <v>0</v>
      </c>
      <c r="G6" s="106">
        <v>0</v>
      </c>
      <c r="H6" s="106">
        <v>0</v>
      </c>
      <c r="I6" s="106">
        <v>0</v>
      </c>
      <c r="J6" s="106">
        <v>0</v>
      </c>
      <c r="K6" s="106">
        <v>0</v>
      </c>
      <c r="L6" s="106">
        <v>0</v>
      </c>
      <c r="M6" s="106">
        <v>0</v>
      </c>
      <c r="N6" s="106">
        <v>0</v>
      </c>
      <c r="O6" s="106">
        <v>0</v>
      </c>
      <c r="P6" s="106">
        <v>0</v>
      </c>
      <c r="Q6" s="106">
        <v>0</v>
      </c>
      <c r="R6" s="106">
        <v>0</v>
      </c>
      <c r="S6" s="106">
        <v>0</v>
      </c>
      <c r="T6" s="106">
        <v>0</v>
      </c>
      <c r="U6" s="106">
        <v>0</v>
      </c>
      <c r="V6" s="106">
        <v>0</v>
      </c>
      <c r="W6" s="106">
        <v>0</v>
      </c>
      <c r="X6" s="107"/>
      <c r="Y6" s="107"/>
      <c r="Z6" s="107"/>
      <c r="AA6" s="107"/>
      <c r="AB6" s="107"/>
      <c r="AC6" s="108"/>
    </row>
    <row r="7" spans="1:51">
      <c r="A7" s="393"/>
      <c r="B7" s="153"/>
      <c r="C7" s="398" t="s">
        <v>158</v>
      </c>
      <c r="D7" s="399"/>
      <c r="E7" s="395"/>
      <c r="F7" s="109">
        <v>0</v>
      </c>
      <c r="G7" s="106">
        <v>0</v>
      </c>
      <c r="H7" s="106">
        <v>0</v>
      </c>
      <c r="I7" s="106">
        <v>0</v>
      </c>
      <c r="J7" s="106">
        <v>4</v>
      </c>
      <c r="K7" s="106">
        <v>4</v>
      </c>
      <c r="L7" s="106">
        <v>8</v>
      </c>
      <c r="M7" s="106">
        <v>6</v>
      </c>
      <c r="N7" s="106">
        <v>5</v>
      </c>
      <c r="O7" s="106">
        <v>9</v>
      </c>
      <c r="P7" s="152">
        <v>0</v>
      </c>
      <c r="Q7" s="106">
        <v>4</v>
      </c>
      <c r="R7" s="290">
        <v>7</v>
      </c>
      <c r="S7" s="290">
        <v>6</v>
      </c>
      <c r="T7" s="290">
        <v>1</v>
      </c>
      <c r="U7" s="290">
        <v>15</v>
      </c>
      <c r="V7" s="290">
        <v>11</v>
      </c>
      <c r="W7" s="290">
        <v>6</v>
      </c>
      <c r="X7" s="107"/>
      <c r="Y7" s="107"/>
      <c r="Z7" s="107"/>
      <c r="AA7" s="107"/>
      <c r="AB7" s="107"/>
      <c r="AC7" s="108"/>
    </row>
    <row r="8" spans="1:51">
      <c r="A8" s="394"/>
      <c r="B8" s="88"/>
      <c r="C8" s="376" t="s">
        <v>88</v>
      </c>
      <c r="D8" s="396"/>
      <c r="E8" s="395"/>
      <c r="F8" s="109">
        <v>0</v>
      </c>
      <c r="G8" s="106">
        <v>0</v>
      </c>
      <c r="H8" s="106">
        <v>0</v>
      </c>
      <c r="I8" s="106">
        <v>0</v>
      </c>
      <c r="J8" s="106">
        <v>4</v>
      </c>
      <c r="K8" s="106">
        <v>4</v>
      </c>
      <c r="L8" s="106">
        <v>8</v>
      </c>
      <c r="M8" s="106">
        <v>6</v>
      </c>
      <c r="N8" s="106">
        <v>5</v>
      </c>
      <c r="O8" s="106">
        <v>9</v>
      </c>
      <c r="P8" s="106">
        <v>0</v>
      </c>
      <c r="Q8" s="106">
        <v>4</v>
      </c>
      <c r="R8" s="106">
        <v>7</v>
      </c>
      <c r="S8" s="106">
        <v>6</v>
      </c>
      <c r="T8" s="106">
        <v>1</v>
      </c>
      <c r="U8" s="106">
        <v>15</v>
      </c>
      <c r="V8" s="106">
        <v>11</v>
      </c>
      <c r="W8" s="106">
        <v>6</v>
      </c>
      <c r="X8" s="107"/>
      <c r="Y8" s="107"/>
      <c r="Z8" s="107"/>
      <c r="AA8" s="107"/>
      <c r="AB8" s="107"/>
      <c r="AC8" s="108"/>
    </row>
    <row r="9" spans="1:51">
      <c r="A9" s="406">
        <v>4</v>
      </c>
      <c r="B9" s="317" t="s">
        <v>78</v>
      </c>
      <c r="C9" s="315"/>
      <c r="D9" s="315"/>
      <c r="E9" s="110" t="s">
        <v>69</v>
      </c>
      <c r="F9" s="111" t="s">
        <v>69</v>
      </c>
      <c r="G9" s="111" t="s">
        <v>69</v>
      </c>
      <c r="H9" s="111" t="s">
        <v>69</v>
      </c>
      <c r="I9" s="111" t="s">
        <v>69</v>
      </c>
      <c r="J9" s="111" t="s">
        <v>69</v>
      </c>
      <c r="K9" s="111" t="s">
        <v>69</v>
      </c>
      <c r="L9" s="111" t="s">
        <v>69</v>
      </c>
      <c r="M9" s="111" t="s">
        <v>69</v>
      </c>
      <c r="N9" s="111" t="s">
        <v>69</v>
      </c>
      <c r="O9" s="111" t="s">
        <v>69</v>
      </c>
      <c r="P9" s="111" t="s">
        <v>69</v>
      </c>
      <c r="Q9" s="111" t="s">
        <v>69</v>
      </c>
      <c r="R9" s="111" t="s">
        <v>69</v>
      </c>
      <c r="S9" s="111" t="s">
        <v>69</v>
      </c>
      <c r="T9" s="111" t="s">
        <v>69</v>
      </c>
      <c r="U9" s="112" t="s">
        <v>69</v>
      </c>
      <c r="V9" s="113"/>
      <c r="W9" s="113"/>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5"/>
      <c r="AY9" s="115"/>
    </row>
    <row r="10" spans="1:51">
      <c r="A10" s="407"/>
      <c r="B10" s="111" t="s">
        <v>70</v>
      </c>
      <c r="C10" s="117" t="s">
        <v>79</v>
      </c>
      <c r="D10" s="112" t="str">
        <f>C5</f>
        <v>Permintaan Informasi</v>
      </c>
      <c r="E10" s="110" t="s">
        <v>69</v>
      </c>
      <c r="F10" s="118">
        <v>0</v>
      </c>
      <c r="G10" s="118">
        <v>0</v>
      </c>
      <c r="H10" s="118">
        <v>0</v>
      </c>
      <c r="I10" s="118">
        <v>0</v>
      </c>
      <c r="J10" s="118">
        <v>0</v>
      </c>
      <c r="K10" s="118">
        <v>0</v>
      </c>
      <c r="L10" s="118">
        <v>0</v>
      </c>
      <c r="M10" s="118">
        <v>0</v>
      </c>
      <c r="N10" s="118">
        <v>0</v>
      </c>
      <c r="O10" s="118">
        <v>0</v>
      </c>
      <c r="P10" s="118">
        <v>0</v>
      </c>
      <c r="Q10" s="118">
        <v>0</v>
      </c>
      <c r="R10" s="118">
        <v>7</v>
      </c>
      <c r="S10" s="118">
        <v>2</v>
      </c>
      <c r="T10" s="118">
        <v>0</v>
      </c>
      <c r="U10" s="118">
        <v>0</v>
      </c>
      <c r="V10" s="118">
        <v>0</v>
      </c>
      <c r="W10" s="118">
        <v>0</v>
      </c>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5"/>
      <c r="AY10" s="115"/>
    </row>
    <row r="11" spans="1:51">
      <c r="A11" s="407"/>
      <c r="B11" s="111" t="s">
        <v>69</v>
      </c>
      <c r="C11" s="117" t="s">
        <v>69</v>
      </c>
      <c r="D11" s="112" t="str">
        <f>C6</f>
        <v xml:space="preserve">Request </v>
      </c>
      <c r="E11" s="110" t="s">
        <v>69</v>
      </c>
      <c r="F11" s="118">
        <v>0</v>
      </c>
      <c r="G11" s="118">
        <v>0</v>
      </c>
      <c r="H11" s="118">
        <v>0</v>
      </c>
      <c r="I11" s="118">
        <v>0</v>
      </c>
      <c r="J11" s="118">
        <v>0</v>
      </c>
      <c r="K11" s="118">
        <v>0</v>
      </c>
      <c r="L11" s="118">
        <v>0</v>
      </c>
      <c r="M11" s="118">
        <v>0</v>
      </c>
      <c r="N11" s="118">
        <v>0</v>
      </c>
      <c r="O11" s="118">
        <v>0</v>
      </c>
      <c r="P11" s="118">
        <v>0</v>
      </c>
      <c r="Q11" s="118">
        <v>0</v>
      </c>
      <c r="R11" s="118">
        <v>0</v>
      </c>
      <c r="S11" s="118">
        <v>0</v>
      </c>
      <c r="T11" s="118">
        <v>0</v>
      </c>
      <c r="U11" s="118">
        <v>0</v>
      </c>
      <c r="V11" s="118">
        <v>0</v>
      </c>
      <c r="W11" s="118">
        <v>0</v>
      </c>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5"/>
      <c r="AY11" s="115"/>
    </row>
    <row r="12" spans="1:51">
      <c r="A12" s="407"/>
      <c r="B12" s="111" t="s">
        <v>69</v>
      </c>
      <c r="C12" s="117" t="s">
        <v>69</v>
      </c>
      <c r="D12" s="112" t="str">
        <f>C7</f>
        <v xml:space="preserve">Keluhan </v>
      </c>
      <c r="E12" s="110" t="s">
        <v>69</v>
      </c>
      <c r="F12" s="118">
        <v>0</v>
      </c>
      <c r="G12" s="118">
        <v>0</v>
      </c>
      <c r="H12" s="118">
        <v>0</v>
      </c>
      <c r="I12" s="118">
        <v>0</v>
      </c>
      <c r="J12" s="118">
        <v>0</v>
      </c>
      <c r="K12" s="118">
        <v>0</v>
      </c>
      <c r="L12" s="118">
        <v>0</v>
      </c>
      <c r="M12" s="118">
        <v>0</v>
      </c>
      <c r="N12" s="118">
        <v>0</v>
      </c>
      <c r="O12" s="118">
        <v>0</v>
      </c>
      <c r="P12" s="118">
        <v>0</v>
      </c>
      <c r="Q12" s="118">
        <v>0</v>
      </c>
      <c r="R12" s="118">
        <v>0</v>
      </c>
      <c r="S12" s="118">
        <v>0</v>
      </c>
      <c r="T12" s="118">
        <v>0</v>
      </c>
      <c r="U12" s="118">
        <v>0</v>
      </c>
      <c r="V12" s="118">
        <v>0</v>
      </c>
      <c r="W12" s="118">
        <v>0</v>
      </c>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5"/>
      <c r="AY12" s="115"/>
    </row>
    <row r="13" spans="1:51">
      <c r="A13" s="407"/>
      <c r="B13" s="111" t="s">
        <v>69</v>
      </c>
      <c r="C13" s="117" t="s">
        <v>69</v>
      </c>
      <c r="D13" s="112" t="str">
        <f>C8</f>
        <v>Apresiasi</v>
      </c>
      <c r="E13" s="110" t="s">
        <v>69</v>
      </c>
      <c r="F13" s="118">
        <v>0</v>
      </c>
      <c r="G13" s="118">
        <v>0</v>
      </c>
      <c r="H13" s="118">
        <v>0</v>
      </c>
      <c r="I13" s="118">
        <v>0</v>
      </c>
      <c r="J13" s="118">
        <v>0</v>
      </c>
      <c r="K13" s="118">
        <v>0</v>
      </c>
      <c r="L13" s="118">
        <v>0</v>
      </c>
      <c r="M13" s="118">
        <v>0</v>
      </c>
      <c r="N13" s="118">
        <v>0</v>
      </c>
      <c r="O13" s="118">
        <v>0</v>
      </c>
      <c r="P13" s="118">
        <v>0</v>
      </c>
      <c r="Q13" s="118">
        <v>0</v>
      </c>
      <c r="R13" s="118">
        <v>0</v>
      </c>
      <c r="S13" s="118">
        <v>0</v>
      </c>
      <c r="T13" s="118">
        <v>0</v>
      </c>
      <c r="U13" s="118">
        <v>0</v>
      </c>
      <c r="V13" s="118">
        <v>0</v>
      </c>
      <c r="W13" s="118">
        <v>0</v>
      </c>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5"/>
      <c r="AY13" s="115"/>
    </row>
    <row r="14" spans="1:51" ht="24.75">
      <c r="A14" s="407"/>
      <c r="B14" s="111" t="s">
        <v>73</v>
      </c>
      <c r="C14" s="120" t="s">
        <v>80</v>
      </c>
      <c r="D14" s="112" t="str">
        <f>C5</f>
        <v>Permintaan Informasi</v>
      </c>
      <c r="E14" s="110" t="s">
        <v>69</v>
      </c>
      <c r="F14" s="118">
        <v>0</v>
      </c>
      <c r="G14" s="118">
        <v>0</v>
      </c>
      <c r="H14" s="118">
        <v>0</v>
      </c>
      <c r="I14" s="118">
        <v>0</v>
      </c>
      <c r="J14" s="118">
        <v>0</v>
      </c>
      <c r="K14" s="118">
        <v>0</v>
      </c>
      <c r="L14" s="118">
        <v>0</v>
      </c>
      <c r="M14" s="118">
        <v>0</v>
      </c>
      <c r="N14" s="118">
        <v>0</v>
      </c>
      <c r="O14" s="118">
        <v>0</v>
      </c>
      <c r="P14" s="118">
        <v>0</v>
      </c>
      <c r="Q14" s="118">
        <v>0</v>
      </c>
      <c r="R14" s="118">
        <v>0</v>
      </c>
      <c r="S14" s="118">
        <v>0</v>
      </c>
      <c r="T14" s="118">
        <v>0</v>
      </c>
      <c r="U14" s="118">
        <v>0</v>
      </c>
      <c r="V14" s="118">
        <v>0</v>
      </c>
      <c r="W14" s="118">
        <v>0</v>
      </c>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5"/>
      <c r="AY14" s="115"/>
    </row>
    <row r="15" spans="1:51">
      <c r="A15" s="407"/>
      <c r="B15" s="111" t="s">
        <v>69</v>
      </c>
      <c r="C15" s="117" t="s">
        <v>69</v>
      </c>
      <c r="D15" s="112" t="s">
        <v>81</v>
      </c>
      <c r="E15" s="110" t="s">
        <v>69</v>
      </c>
      <c r="F15" s="118">
        <v>0</v>
      </c>
      <c r="G15" s="118">
        <v>0</v>
      </c>
      <c r="H15" s="118">
        <v>0</v>
      </c>
      <c r="I15" s="118">
        <v>0</v>
      </c>
      <c r="J15" s="118">
        <v>0</v>
      </c>
      <c r="K15" s="118">
        <v>0</v>
      </c>
      <c r="L15" s="118">
        <v>0</v>
      </c>
      <c r="M15" s="118">
        <v>0</v>
      </c>
      <c r="N15" s="118">
        <v>0</v>
      </c>
      <c r="O15" s="118">
        <v>0</v>
      </c>
      <c r="P15" s="118">
        <v>0</v>
      </c>
      <c r="Q15" s="118">
        <v>0</v>
      </c>
      <c r="R15" s="118">
        <v>0</v>
      </c>
      <c r="S15" s="118">
        <v>0</v>
      </c>
      <c r="T15" s="118">
        <v>0</v>
      </c>
      <c r="U15" s="118">
        <v>0</v>
      </c>
      <c r="V15" s="118">
        <v>0</v>
      </c>
      <c r="W15" s="118">
        <v>0</v>
      </c>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5"/>
      <c r="AY15" s="115"/>
    </row>
    <row r="16" spans="1:51">
      <c r="A16" s="407"/>
      <c r="B16" s="111" t="s">
        <v>69</v>
      </c>
      <c r="C16" s="117" t="s">
        <v>69</v>
      </c>
      <c r="D16" s="112" t="str">
        <f>C7</f>
        <v xml:space="preserve">Keluhan </v>
      </c>
      <c r="E16" s="110" t="s">
        <v>69</v>
      </c>
      <c r="F16" s="118">
        <v>0</v>
      </c>
      <c r="G16" s="118">
        <v>0</v>
      </c>
      <c r="H16" s="118">
        <v>0</v>
      </c>
      <c r="I16" s="118">
        <v>0</v>
      </c>
      <c r="J16" s="118">
        <v>0</v>
      </c>
      <c r="K16" s="118">
        <v>0</v>
      </c>
      <c r="L16" s="118">
        <v>0</v>
      </c>
      <c r="M16" s="118">
        <v>0</v>
      </c>
      <c r="N16" s="118">
        <v>0</v>
      </c>
      <c r="O16" s="118">
        <v>0</v>
      </c>
      <c r="P16" s="118">
        <v>0</v>
      </c>
      <c r="Q16" s="118">
        <v>0</v>
      </c>
      <c r="R16" s="118">
        <v>0</v>
      </c>
      <c r="S16" s="118">
        <v>4</v>
      </c>
      <c r="T16" s="118">
        <v>0</v>
      </c>
      <c r="U16" s="118">
        <v>10</v>
      </c>
      <c r="V16" s="118">
        <v>5</v>
      </c>
      <c r="W16" s="118">
        <v>1</v>
      </c>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5"/>
      <c r="AY16" s="115"/>
    </row>
    <row r="17" spans="1:51">
      <c r="A17" s="407"/>
      <c r="B17" s="111" t="s">
        <v>69</v>
      </c>
      <c r="C17" s="117" t="s">
        <v>69</v>
      </c>
      <c r="D17" s="112" t="str">
        <f>C8</f>
        <v>Apresiasi</v>
      </c>
      <c r="E17" s="110" t="s">
        <v>69</v>
      </c>
      <c r="F17" s="118">
        <v>0</v>
      </c>
      <c r="G17" s="118">
        <v>0</v>
      </c>
      <c r="H17" s="118">
        <v>0</v>
      </c>
      <c r="I17" s="118">
        <v>0</v>
      </c>
      <c r="J17" s="118">
        <v>0</v>
      </c>
      <c r="K17" s="118">
        <v>0</v>
      </c>
      <c r="L17" s="118">
        <v>0</v>
      </c>
      <c r="M17" s="118">
        <v>0</v>
      </c>
      <c r="N17" s="118">
        <v>0</v>
      </c>
      <c r="O17" s="118">
        <v>0</v>
      </c>
      <c r="P17" s="118">
        <v>0</v>
      </c>
      <c r="Q17" s="118">
        <v>0</v>
      </c>
      <c r="R17" s="118">
        <v>0</v>
      </c>
      <c r="S17" s="118">
        <v>0</v>
      </c>
      <c r="T17" s="118">
        <v>0</v>
      </c>
      <c r="U17" s="118">
        <v>0</v>
      </c>
      <c r="V17" s="118">
        <v>0</v>
      </c>
      <c r="W17" s="118">
        <v>0</v>
      </c>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5"/>
      <c r="AY17" s="115"/>
    </row>
    <row r="18" spans="1:51">
      <c r="A18" s="407"/>
      <c r="B18" s="112" t="s">
        <v>75</v>
      </c>
      <c r="C18" s="119" t="s">
        <v>82</v>
      </c>
      <c r="D18" s="112" t="str">
        <f>C5</f>
        <v>Permintaan Informasi</v>
      </c>
      <c r="E18" s="110" t="s">
        <v>69</v>
      </c>
      <c r="F18" s="118">
        <v>0</v>
      </c>
      <c r="G18" s="118">
        <v>0</v>
      </c>
      <c r="H18" s="118">
        <v>0</v>
      </c>
      <c r="I18" s="118">
        <v>0</v>
      </c>
      <c r="J18" s="118">
        <v>0</v>
      </c>
      <c r="K18" s="118">
        <v>0</v>
      </c>
      <c r="L18" s="118">
        <v>0</v>
      </c>
      <c r="M18" s="118">
        <v>0</v>
      </c>
      <c r="N18" s="118">
        <v>0</v>
      </c>
      <c r="O18" s="118">
        <v>0</v>
      </c>
      <c r="P18" s="118">
        <v>0</v>
      </c>
      <c r="Q18" s="118">
        <v>0</v>
      </c>
      <c r="R18" s="118">
        <v>0</v>
      </c>
      <c r="S18" s="118">
        <v>0</v>
      </c>
      <c r="T18" s="118">
        <v>0</v>
      </c>
      <c r="U18" s="118">
        <v>0</v>
      </c>
      <c r="V18" s="118">
        <v>0</v>
      </c>
      <c r="W18" s="118">
        <v>0</v>
      </c>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5"/>
      <c r="AY18" s="115"/>
    </row>
    <row r="19" spans="1:51">
      <c r="A19" s="407"/>
      <c r="B19" s="111" t="s">
        <v>69</v>
      </c>
      <c r="C19" s="117" t="s">
        <v>69</v>
      </c>
      <c r="D19" s="112" t="str">
        <f>C6</f>
        <v xml:space="preserve">Request </v>
      </c>
      <c r="E19" s="110" t="s">
        <v>69</v>
      </c>
      <c r="F19" s="118">
        <v>0</v>
      </c>
      <c r="G19" s="118">
        <v>0</v>
      </c>
      <c r="H19" s="118">
        <v>0</v>
      </c>
      <c r="I19" s="118">
        <v>0</v>
      </c>
      <c r="J19" s="118">
        <v>0</v>
      </c>
      <c r="K19" s="118">
        <v>0</v>
      </c>
      <c r="L19" s="118">
        <v>0</v>
      </c>
      <c r="M19" s="118">
        <v>0</v>
      </c>
      <c r="N19" s="118">
        <v>0</v>
      </c>
      <c r="O19" s="118">
        <v>0</v>
      </c>
      <c r="P19" s="118">
        <v>0</v>
      </c>
      <c r="Q19" s="118">
        <v>0</v>
      </c>
      <c r="R19" s="118">
        <v>0</v>
      </c>
      <c r="S19" s="118">
        <v>0</v>
      </c>
      <c r="T19" s="118">
        <v>0</v>
      </c>
      <c r="U19" s="118">
        <v>0</v>
      </c>
      <c r="V19" s="118">
        <v>0</v>
      </c>
      <c r="W19" s="118">
        <v>0</v>
      </c>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5"/>
      <c r="AY19" s="115"/>
    </row>
    <row r="20" spans="1:51">
      <c r="A20" s="407"/>
      <c r="B20" s="111" t="s">
        <v>69</v>
      </c>
      <c r="C20" s="117" t="s">
        <v>69</v>
      </c>
      <c r="D20" s="112" t="str">
        <f>C7</f>
        <v xml:space="preserve">Keluhan </v>
      </c>
      <c r="E20" s="110" t="s">
        <v>69</v>
      </c>
      <c r="F20" s="118">
        <v>0</v>
      </c>
      <c r="G20" s="118">
        <v>0</v>
      </c>
      <c r="H20" s="118">
        <v>0</v>
      </c>
      <c r="I20" s="118">
        <v>0</v>
      </c>
      <c r="J20" s="118">
        <v>0</v>
      </c>
      <c r="K20" s="118">
        <v>0</v>
      </c>
      <c r="L20" s="118">
        <v>0</v>
      </c>
      <c r="M20" s="118">
        <v>0</v>
      </c>
      <c r="N20" s="118">
        <v>0</v>
      </c>
      <c r="O20" s="118">
        <v>0</v>
      </c>
      <c r="P20" s="118">
        <v>0</v>
      </c>
      <c r="Q20" s="118">
        <v>0</v>
      </c>
      <c r="R20" s="118">
        <v>0</v>
      </c>
      <c r="S20" s="118">
        <v>0</v>
      </c>
      <c r="T20" s="118">
        <v>0</v>
      </c>
      <c r="U20" s="118">
        <v>0</v>
      </c>
      <c r="V20" s="118">
        <v>0</v>
      </c>
      <c r="W20" s="118">
        <v>0</v>
      </c>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5"/>
      <c r="AY20" s="115"/>
    </row>
    <row r="21" spans="1:51">
      <c r="A21" s="407"/>
      <c r="B21" s="111" t="s">
        <v>69</v>
      </c>
      <c r="C21" s="117" t="s">
        <v>69</v>
      </c>
      <c r="D21" s="112" t="str">
        <f>C8</f>
        <v>Apresiasi</v>
      </c>
      <c r="E21" s="110" t="s">
        <v>69</v>
      </c>
      <c r="F21" s="118">
        <v>0</v>
      </c>
      <c r="G21" s="118">
        <v>0</v>
      </c>
      <c r="H21" s="118">
        <v>0</v>
      </c>
      <c r="I21" s="118">
        <v>0</v>
      </c>
      <c r="J21" s="118">
        <v>0</v>
      </c>
      <c r="K21" s="118">
        <v>0</v>
      </c>
      <c r="L21" s="118">
        <v>0</v>
      </c>
      <c r="M21" s="118">
        <v>0</v>
      </c>
      <c r="N21" s="118">
        <v>0</v>
      </c>
      <c r="O21" s="118">
        <v>0</v>
      </c>
      <c r="P21" s="118">
        <v>0</v>
      </c>
      <c r="Q21" s="118">
        <v>0</v>
      </c>
      <c r="R21" s="118">
        <v>0</v>
      </c>
      <c r="S21" s="118">
        <v>0</v>
      </c>
      <c r="T21" s="118">
        <v>0</v>
      </c>
      <c r="U21" s="118">
        <v>0</v>
      </c>
      <c r="V21" s="118">
        <v>0</v>
      </c>
      <c r="W21" s="118">
        <v>0</v>
      </c>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5"/>
      <c r="AY21" s="115"/>
    </row>
    <row r="22" spans="1:51">
      <c r="A22" s="407"/>
      <c r="B22" s="111" t="s">
        <v>77</v>
      </c>
      <c r="C22" s="117" t="s">
        <v>83</v>
      </c>
      <c r="D22" s="112" t="str">
        <f>D10</f>
        <v>Permintaan Informasi</v>
      </c>
      <c r="E22" s="110" t="s">
        <v>69</v>
      </c>
      <c r="F22" s="118">
        <v>0</v>
      </c>
      <c r="G22" s="118">
        <v>0</v>
      </c>
      <c r="H22" s="118">
        <v>0</v>
      </c>
      <c r="I22" s="118">
        <v>0</v>
      </c>
      <c r="J22" s="118">
        <v>0</v>
      </c>
      <c r="K22" s="118">
        <v>0</v>
      </c>
      <c r="L22" s="118">
        <v>0</v>
      </c>
      <c r="M22" s="118">
        <v>0</v>
      </c>
      <c r="N22" s="118">
        <v>0</v>
      </c>
      <c r="O22" s="118">
        <v>0</v>
      </c>
      <c r="P22" s="118">
        <v>0</v>
      </c>
      <c r="Q22" s="118">
        <v>0</v>
      </c>
      <c r="R22" s="118">
        <v>0</v>
      </c>
      <c r="S22" s="118">
        <v>0</v>
      </c>
      <c r="T22" s="118">
        <v>0</v>
      </c>
      <c r="U22" s="118">
        <v>0</v>
      </c>
      <c r="V22" s="118">
        <v>0</v>
      </c>
      <c r="W22" s="118">
        <v>0</v>
      </c>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5"/>
      <c r="AY22" s="115"/>
    </row>
    <row r="23" spans="1:51">
      <c r="A23" s="407"/>
      <c r="B23" s="111" t="s">
        <v>69</v>
      </c>
      <c r="C23" s="111" t="s">
        <v>69</v>
      </c>
      <c r="D23" s="112" t="str">
        <f>D11</f>
        <v xml:space="preserve">Request </v>
      </c>
      <c r="E23" s="110" t="s">
        <v>69</v>
      </c>
      <c r="F23" s="118">
        <v>0</v>
      </c>
      <c r="G23" s="118">
        <v>0</v>
      </c>
      <c r="H23" s="118">
        <v>0</v>
      </c>
      <c r="I23" s="118">
        <v>0</v>
      </c>
      <c r="J23" s="118">
        <v>0</v>
      </c>
      <c r="K23" s="118">
        <v>0</v>
      </c>
      <c r="L23" s="118">
        <v>0</v>
      </c>
      <c r="M23" s="118">
        <v>0</v>
      </c>
      <c r="N23" s="118">
        <v>0</v>
      </c>
      <c r="O23" s="118">
        <v>0</v>
      </c>
      <c r="P23" s="118">
        <v>0</v>
      </c>
      <c r="Q23" s="118">
        <v>0</v>
      </c>
      <c r="R23" s="118">
        <v>0</v>
      </c>
      <c r="S23" s="118">
        <v>0</v>
      </c>
      <c r="T23" s="118">
        <v>0</v>
      </c>
      <c r="U23" s="118">
        <v>0</v>
      </c>
      <c r="V23" s="118">
        <v>0</v>
      </c>
      <c r="W23" s="118">
        <v>0</v>
      </c>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5"/>
      <c r="AY23" s="115"/>
    </row>
    <row r="24" spans="1:51">
      <c r="A24" s="407"/>
      <c r="B24" s="111" t="s">
        <v>69</v>
      </c>
      <c r="C24" s="111" t="s">
        <v>69</v>
      </c>
      <c r="D24" s="112" t="str">
        <f>D12</f>
        <v xml:space="preserve">Keluhan </v>
      </c>
      <c r="E24" s="110" t="s">
        <v>69</v>
      </c>
      <c r="F24" s="118">
        <v>0</v>
      </c>
      <c r="G24" s="118">
        <v>0</v>
      </c>
      <c r="H24" s="118">
        <v>0</v>
      </c>
      <c r="I24" s="118">
        <v>0</v>
      </c>
      <c r="J24" s="118">
        <v>0</v>
      </c>
      <c r="K24" s="118">
        <v>0</v>
      </c>
      <c r="L24" s="118">
        <v>0</v>
      </c>
      <c r="M24" s="118">
        <v>0</v>
      </c>
      <c r="N24" s="118">
        <v>0</v>
      </c>
      <c r="O24" s="118">
        <v>0</v>
      </c>
      <c r="P24" s="118">
        <v>0</v>
      </c>
      <c r="Q24" s="118">
        <v>0</v>
      </c>
      <c r="R24" s="118">
        <v>0</v>
      </c>
      <c r="S24" s="118">
        <v>0</v>
      </c>
      <c r="T24" s="118">
        <v>0</v>
      </c>
      <c r="U24" s="118">
        <v>0</v>
      </c>
      <c r="V24" s="118">
        <v>0</v>
      </c>
      <c r="W24" s="118">
        <v>0</v>
      </c>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5"/>
      <c r="AY24" s="115"/>
    </row>
    <row r="25" spans="1:51">
      <c r="A25" s="407"/>
      <c r="B25" s="111" t="s">
        <v>69</v>
      </c>
      <c r="C25" s="111" t="s">
        <v>69</v>
      </c>
      <c r="D25" s="112" t="str">
        <f>D13</f>
        <v>Apresiasi</v>
      </c>
      <c r="E25" s="110" t="s">
        <v>69</v>
      </c>
      <c r="F25" s="118">
        <v>0</v>
      </c>
      <c r="G25" s="118">
        <v>0</v>
      </c>
      <c r="H25" s="118">
        <v>0</v>
      </c>
      <c r="I25" s="118">
        <v>0</v>
      </c>
      <c r="J25" s="118">
        <v>0</v>
      </c>
      <c r="K25" s="118">
        <v>0</v>
      </c>
      <c r="L25" s="118">
        <v>0</v>
      </c>
      <c r="M25" s="118">
        <v>0</v>
      </c>
      <c r="N25" s="118">
        <v>0</v>
      </c>
      <c r="O25" s="118">
        <v>0</v>
      </c>
      <c r="P25" s="118">
        <v>0</v>
      </c>
      <c r="Q25" s="118">
        <v>0</v>
      </c>
      <c r="R25" s="118">
        <v>0</v>
      </c>
      <c r="S25" s="118">
        <v>0</v>
      </c>
      <c r="T25" s="118">
        <v>0</v>
      </c>
      <c r="U25" s="118">
        <v>0</v>
      </c>
      <c r="V25" s="118">
        <v>0</v>
      </c>
      <c r="W25" s="118">
        <v>0</v>
      </c>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5"/>
      <c r="AY25" s="115"/>
    </row>
    <row r="26" spans="1:51">
      <c r="A26" s="407"/>
      <c r="B26" s="111" t="s">
        <v>84</v>
      </c>
      <c r="C26" s="117" t="s">
        <v>85</v>
      </c>
      <c r="D26" s="112" t="str">
        <f>D10</f>
        <v>Permintaan Informasi</v>
      </c>
      <c r="E26" s="110" t="s">
        <v>69</v>
      </c>
      <c r="F26" s="118">
        <v>0</v>
      </c>
      <c r="G26" s="118">
        <v>0</v>
      </c>
      <c r="H26" s="118">
        <v>0</v>
      </c>
      <c r="I26" s="118">
        <v>0</v>
      </c>
      <c r="J26" s="118">
        <v>0</v>
      </c>
      <c r="K26" s="118">
        <v>0</v>
      </c>
      <c r="L26" s="118">
        <v>0</v>
      </c>
      <c r="M26" s="118">
        <v>0</v>
      </c>
      <c r="N26" s="118">
        <v>0</v>
      </c>
      <c r="O26" s="118">
        <v>0</v>
      </c>
      <c r="P26" s="118">
        <v>0</v>
      </c>
      <c r="Q26" s="118">
        <v>0</v>
      </c>
      <c r="R26" s="118">
        <v>0</v>
      </c>
      <c r="S26" s="118">
        <v>0</v>
      </c>
      <c r="T26" s="118">
        <v>0</v>
      </c>
      <c r="U26" s="118">
        <v>0</v>
      </c>
      <c r="V26" s="118">
        <v>0</v>
      </c>
      <c r="W26" s="118">
        <v>0</v>
      </c>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5"/>
      <c r="AY26" s="115"/>
    </row>
    <row r="27" spans="1:51">
      <c r="A27" s="407"/>
      <c r="B27" s="121" t="s">
        <v>69</v>
      </c>
      <c r="C27" s="122" t="s">
        <v>69</v>
      </c>
      <c r="D27" s="112" t="str">
        <f>D11</f>
        <v xml:space="preserve">Request </v>
      </c>
      <c r="E27" s="110" t="s">
        <v>69</v>
      </c>
      <c r="F27" s="118">
        <v>0</v>
      </c>
      <c r="G27" s="118">
        <v>0</v>
      </c>
      <c r="H27" s="118">
        <v>0</v>
      </c>
      <c r="I27" s="118">
        <v>0</v>
      </c>
      <c r="J27" s="118">
        <v>0</v>
      </c>
      <c r="K27" s="118">
        <v>0</v>
      </c>
      <c r="L27" s="118">
        <v>0</v>
      </c>
      <c r="M27" s="118">
        <v>0</v>
      </c>
      <c r="N27" s="118">
        <v>0</v>
      </c>
      <c r="O27" s="118">
        <v>0</v>
      </c>
      <c r="P27" s="118">
        <v>0</v>
      </c>
      <c r="Q27" s="118">
        <v>0</v>
      </c>
      <c r="R27" s="118">
        <v>0</v>
      </c>
      <c r="S27" s="118">
        <v>0</v>
      </c>
      <c r="T27" s="118">
        <v>0</v>
      </c>
      <c r="U27" s="118">
        <v>0</v>
      </c>
      <c r="V27" s="118">
        <v>0</v>
      </c>
      <c r="W27" s="118">
        <v>0</v>
      </c>
      <c r="X27" s="114" t="s">
        <v>69</v>
      </c>
      <c r="Y27" s="114" t="s">
        <v>69</v>
      </c>
      <c r="Z27" s="114" t="s">
        <v>69</v>
      </c>
      <c r="AA27" s="114" t="s">
        <v>69</v>
      </c>
      <c r="AB27" s="114" t="s">
        <v>69</v>
      </c>
      <c r="AC27" s="114" t="s">
        <v>69</v>
      </c>
      <c r="AD27" s="114" t="s">
        <v>69</v>
      </c>
      <c r="AE27" s="114" t="s">
        <v>69</v>
      </c>
      <c r="AF27" s="114" t="s">
        <v>69</v>
      </c>
      <c r="AG27" s="114" t="s">
        <v>69</v>
      </c>
      <c r="AH27" s="114" t="s">
        <v>69</v>
      </c>
      <c r="AI27" s="114" t="s">
        <v>69</v>
      </c>
      <c r="AJ27" s="114" t="s">
        <v>69</v>
      </c>
      <c r="AK27" s="114" t="s">
        <v>69</v>
      </c>
      <c r="AL27" s="114" t="s">
        <v>69</v>
      </c>
      <c r="AM27" s="114" t="s">
        <v>69</v>
      </c>
      <c r="AN27" s="114" t="s">
        <v>69</v>
      </c>
      <c r="AO27" s="114" t="s">
        <v>69</v>
      </c>
      <c r="AP27" s="114" t="s">
        <v>69</v>
      </c>
      <c r="AQ27" s="114" t="s">
        <v>69</v>
      </c>
      <c r="AR27" s="114" t="s">
        <v>69</v>
      </c>
      <c r="AS27" s="114" t="s">
        <v>69</v>
      </c>
      <c r="AT27" s="114" t="s">
        <v>69</v>
      </c>
      <c r="AU27" s="114" t="s">
        <v>69</v>
      </c>
      <c r="AV27" s="114" t="s">
        <v>69</v>
      </c>
      <c r="AW27" s="114" t="s">
        <v>69</v>
      </c>
      <c r="AX27" s="115"/>
      <c r="AY27" s="115"/>
    </row>
    <row r="28" spans="1:51">
      <c r="A28" s="407"/>
      <c r="B28" s="121" t="s">
        <v>69</v>
      </c>
      <c r="C28" s="122" t="s">
        <v>69</v>
      </c>
      <c r="D28" s="112" t="str">
        <f>D12</f>
        <v xml:space="preserve">Keluhan </v>
      </c>
      <c r="E28" s="110" t="s">
        <v>69</v>
      </c>
      <c r="F28" s="118">
        <v>0</v>
      </c>
      <c r="G28" s="118">
        <v>0</v>
      </c>
      <c r="H28" s="118">
        <v>0</v>
      </c>
      <c r="I28" s="118">
        <v>0</v>
      </c>
      <c r="J28" s="118">
        <v>0</v>
      </c>
      <c r="K28" s="118">
        <v>0</v>
      </c>
      <c r="L28" s="118">
        <v>0</v>
      </c>
      <c r="M28" s="118">
        <v>0</v>
      </c>
      <c r="N28" s="118">
        <v>0</v>
      </c>
      <c r="O28" s="118">
        <v>0</v>
      </c>
      <c r="P28" s="118">
        <v>0</v>
      </c>
      <c r="Q28" s="118">
        <v>0</v>
      </c>
      <c r="R28" s="118">
        <v>0</v>
      </c>
      <c r="S28" s="118">
        <v>0</v>
      </c>
      <c r="T28" s="118">
        <v>0</v>
      </c>
      <c r="U28" s="118">
        <v>0</v>
      </c>
      <c r="V28" s="118">
        <v>0</v>
      </c>
      <c r="W28" s="118">
        <v>0</v>
      </c>
      <c r="X28" s="114" t="s">
        <v>69</v>
      </c>
      <c r="Y28" s="114" t="s">
        <v>69</v>
      </c>
      <c r="Z28" s="114" t="s">
        <v>69</v>
      </c>
      <c r="AA28" s="114" t="s">
        <v>69</v>
      </c>
      <c r="AB28" s="114" t="s">
        <v>69</v>
      </c>
      <c r="AC28" s="114" t="s">
        <v>69</v>
      </c>
      <c r="AD28" s="114" t="s">
        <v>69</v>
      </c>
      <c r="AE28" s="114" t="s">
        <v>69</v>
      </c>
      <c r="AF28" s="114" t="s">
        <v>69</v>
      </c>
      <c r="AG28" s="114" t="s">
        <v>69</v>
      </c>
      <c r="AH28" s="114" t="s">
        <v>69</v>
      </c>
      <c r="AI28" s="114" t="s">
        <v>69</v>
      </c>
      <c r="AJ28" s="114" t="s">
        <v>69</v>
      </c>
      <c r="AK28" s="114" t="s">
        <v>69</v>
      </c>
      <c r="AL28" s="114" t="s">
        <v>69</v>
      </c>
      <c r="AM28" s="114" t="s">
        <v>69</v>
      </c>
      <c r="AN28" s="114" t="s">
        <v>69</v>
      </c>
      <c r="AO28" s="114" t="s">
        <v>69</v>
      </c>
      <c r="AP28" s="114" t="s">
        <v>69</v>
      </c>
      <c r="AQ28" s="114" t="s">
        <v>69</v>
      </c>
      <c r="AR28" s="114" t="s">
        <v>69</v>
      </c>
      <c r="AS28" s="114" t="s">
        <v>69</v>
      </c>
      <c r="AT28" s="114" t="s">
        <v>69</v>
      </c>
      <c r="AU28" s="114" t="s">
        <v>69</v>
      </c>
      <c r="AV28" s="114" t="s">
        <v>69</v>
      </c>
      <c r="AW28" s="114" t="s">
        <v>69</v>
      </c>
      <c r="AX28" s="115"/>
      <c r="AY28" s="115"/>
    </row>
    <row r="29" spans="1:51">
      <c r="A29" s="407"/>
      <c r="B29" s="121" t="s">
        <v>69</v>
      </c>
      <c r="C29" s="122" t="s">
        <v>69</v>
      </c>
      <c r="D29" s="112" t="str">
        <f>D13</f>
        <v>Apresiasi</v>
      </c>
      <c r="E29" s="110" t="s">
        <v>69</v>
      </c>
      <c r="F29" s="118">
        <v>0</v>
      </c>
      <c r="G29" s="118">
        <v>0</v>
      </c>
      <c r="H29" s="118">
        <v>0</v>
      </c>
      <c r="I29" s="118">
        <v>0</v>
      </c>
      <c r="J29" s="118">
        <v>0</v>
      </c>
      <c r="K29" s="118">
        <v>0</v>
      </c>
      <c r="L29" s="118">
        <v>0</v>
      </c>
      <c r="M29" s="118">
        <v>0</v>
      </c>
      <c r="N29" s="118">
        <v>0</v>
      </c>
      <c r="O29" s="118">
        <v>0</v>
      </c>
      <c r="P29" s="118">
        <v>0</v>
      </c>
      <c r="Q29" s="118">
        <v>0</v>
      </c>
      <c r="R29" s="118">
        <v>0</v>
      </c>
      <c r="S29" s="118">
        <v>0</v>
      </c>
      <c r="T29" s="118">
        <v>0</v>
      </c>
      <c r="U29" s="118">
        <v>0</v>
      </c>
      <c r="V29" s="118">
        <v>0</v>
      </c>
      <c r="W29" s="118">
        <v>0</v>
      </c>
      <c r="X29" s="114" t="s">
        <v>69</v>
      </c>
      <c r="Y29" s="114" t="s">
        <v>69</v>
      </c>
      <c r="Z29" s="114" t="s">
        <v>69</v>
      </c>
      <c r="AA29" s="114" t="s">
        <v>69</v>
      </c>
      <c r="AB29" s="114" t="s">
        <v>69</v>
      </c>
      <c r="AC29" s="114" t="s">
        <v>69</v>
      </c>
      <c r="AD29" s="114" t="s">
        <v>69</v>
      </c>
      <c r="AE29" s="114" t="s">
        <v>69</v>
      </c>
      <c r="AF29" s="114" t="s">
        <v>69</v>
      </c>
      <c r="AG29" s="114" t="s">
        <v>69</v>
      </c>
      <c r="AH29" s="114" t="s">
        <v>69</v>
      </c>
      <c r="AI29" s="114" t="s">
        <v>69</v>
      </c>
      <c r="AJ29" s="114" t="s">
        <v>69</v>
      </c>
      <c r="AK29" s="114" t="s">
        <v>69</v>
      </c>
      <c r="AL29" s="114" t="s">
        <v>69</v>
      </c>
      <c r="AM29" s="114" t="s">
        <v>69</v>
      </c>
      <c r="AN29" s="114" t="s">
        <v>69</v>
      </c>
      <c r="AO29" s="114" t="s">
        <v>69</v>
      </c>
      <c r="AP29" s="114" t="s">
        <v>69</v>
      </c>
      <c r="AQ29" s="114" t="s">
        <v>69</v>
      </c>
      <c r="AR29" s="114" t="s">
        <v>69</v>
      </c>
      <c r="AS29" s="114" t="s">
        <v>69</v>
      </c>
      <c r="AT29" s="114" t="s">
        <v>69</v>
      </c>
      <c r="AU29" s="114" t="s">
        <v>69</v>
      </c>
      <c r="AV29" s="114" t="s">
        <v>69</v>
      </c>
      <c r="AW29" s="114" t="s">
        <v>69</v>
      </c>
      <c r="AX29" s="115"/>
      <c r="AY29" s="115"/>
    </row>
    <row r="30" spans="1:51">
      <c r="A30" s="407"/>
      <c r="B30" s="121" t="s">
        <v>86</v>
      </c>
      <c r="C30" s="122" t="s">
        <v>87</v>
      </c>
      <c r="D30" s="123" t="str">
        <f>D26</f>
        <v>Permintaan Informasi</v>
      </c>
      <c r="E30" s="110" t="s">
        <v>69</v>
      </c>
      <c r="F30" s="118">
        <v>0</v>
      </c>
      <c r="G30" s="118">
        <v>0</v>
      </c>
      <c r="H30" s="118">
        <v>0</v>
      </c>
      <c r="I30" s="118">
        <v>0</v>
      </c>
      <c r="J30" s="118">
        <v>0</v>
      </c>
      <c r="K30" s="118">
        <v>0</v>
      </c>
      <c r="L30" s="118">
        <v>0</v>
      </c>
      <c r="M30" s="118">
        <v>0</v>
      </c>
      <c r="N30" s="118">
        <v>0</v>
      </c>
      <c r="O30" s="118">
        <v>0</v>
      </c>
      <c r="P30" s="118">
        <v>0</v>
      </c>
      <c r="Q30" s="118">
        <v>0</v>
      </c>
      <c r="R30" s="118">
        <v>0</v>
      </c>
      <c r="S30" s="118">
        <v>0</v>
      </c>
      <c r="T30" s="118">
        <v>0</v>
      </c>
      <c r="U30" s="118">
        <v>0</v>
      </c>
      <c r="V30" s="118">
        <v>0</v>
      </c>
      <c r="W30" s="118">
        <v>0</v>
      </c>
      <c r="X30" s="114" t="s">
        <v>69</v>
      </c>
      <c r="Y30" s="114" t="s">
        <v>69</v>
      </c>
      <c r="Z30" s="114" t="s">
        <v>69</v>
      </c>
      <c r="AA30" s="114" t="s">
        <v>69</v>
      </c>
      <c r="AB30" s="114" t="s">
        <v>69</v>
      </c>
      <c r="AC30" s="114" t="s">
        <v>69</v>
      </c>
      <c r="AD30" s="114" t="s">
        <v>69</v>
      </c>
      <c r="AE30" s="114" t="s">
        <v>69</v>
      </c>
      <c r="AF30" s="114" t="s">
        <v>69</v>
      </c>
      <c r="AG30" s="114" t="s">
        <v>69</v>
      </c>
      <c r="AH30" s="114" t="s">
        <v>69</v>
      </c>
      <c r="AI30" s="114" t="s">
        <v>69</v>
      </c>
      <c r="AJ30" s="114" t="s">
        <v>69</v>
      </c>
      <c r="AK30" s="114" t="s">
        <v>69</v>
      </c>
      <c r="AL30" s="114" t="s">
        <v>69</v>
      </c>
      <c r="AM30" s="114" t="s">
        <v>69</v>
      </c>
      <c r="AN30" s="114" t="s">
        <v>69</v>
      </c>
      <c r="AO30" s="114" t="s">
        <v>69</v>
      </c>
      <c r="AP30" s="114" t="s">
        <v>69</v>
      </c>
      <c r="AQ30" s="114" t="s">
        <v>69</v>
      </c>
      <c r="AR30" s="114" t="s">
        <v>69</v>
      </c>
      <c r="AS30" s="114" t="s">
        <v>69</v>
      </c>
      <c r="AT30" s="114" t="s">
        <v>69</v>
      </c>
      <c r="AU30" s="114" t="s">
        <v>69</v>
      </c>
      <c r="AV30" s="114" t="s">
        <v>69</v>
      </c>
      <c r="AW30" s="114" t="s">
        <v>69</v>
      </c>
      <c r="AX30" s="115"/>
      <c r="AY30" s="115"/>
    </row>
    <row r="31" spans="1:51">
      <c r="A31" s="407"/>
      <c r="B31" s="121" t="s">
        <v>69</v>
      </c>
      <c r="C31" s="122" t="s">
        <v>69</v>
      </c>
      <c r="D31" s="123" t="str">
        <f>D27</f>
        <v xml:space="preserve">Request </v>
      </c>
      <c r="E31" s="110" t="s">
        <v>69</v>
      </c>
      <c r="F31" s="118">
        <v>0</v>
      </c>
      <c r="G31" s="118">
        <v>0</v>
      </c>
      <c r="H31" s="118">
        <v>0</v>
      </c>
      <c r="I31" s="118">
        <v>0</v>
      </c>
      <c r="J31" s="118">
        <v>0</v>
      </c>
      <c r="K31" s="118">
        <v>0</v>
      </c>
      <c r="L31" s="118">
        <v>0</v>
      </c>
      <c r="M31" s="118">
        <v>0</v>
      </c>
      <c r="N31" s="118">
        <v>0</v>
      </c>
      <c r="O31" s="118">
        <v>0</v>
      </c>
      <c r="P31" s="118">
        <v>0</v>
      </c>
      <c r="Q31" s="118">
        <v>0</v>
      </c>
      <c r="R31" s="118">
        <v>0</v>
      </c>
      <c r="S31" s="118">
        <v>0</v>
      </c>
      <c r="T31" s="118">
        <v>0</v>
      </c>
      <c r="U31" s="118">
        <v>0</v>
      </c>
      <c r="V31" s="118">
        <v>0</v>
      </c>
      <c r="W31" s="118">
        <v>0</v>
      </c>
      <c r="X31" s="114" t="s">
        <v>69</v>
      </c>
      <c r="Y31" s="114" t="s">
        <v>69</v>
      </c>
      <c r="Z31" s="114" t="s">
        <v>69</v>
      </c>
      <c r="AA31" s="114" t="s">
        <v>69</v>
      </c>
      <c r="AB31" s="114" t="s">
        <v>69</v>
      </c>
      <c r="AC31" s="114" t="s">
        <v>69</v>
      </c>
      <c r="AD31" s="114" t="s">
        <v>69</v>
      </c>
      <c r="AE31" s="114" t="s">
        <v>69</v>
      </c>
      <c r="AF31" s="114" t="s">
        <v>69</v>
      </c>
      <c r="AG31" s="114" t="s">
        <v>69</v>
      </c>
      <c r="AH31" s="114" t="s">
        <v>69</v>
      </c>
      <c r="AI31" s="114" t="s">
        <v>69</v>
      </c>
      <c r="AJ31" s="114" t="s">
        <v>69</v>
      </c>
      <c r="AK31" s="114" t="s">
        <v>69</v>
      </c>
      <c r="AL31" s="114" t="s">
        <v>69</v>
      </c>
      <c r="AM31" s="114" t="s">
        <v>69</v>
      </c>
      <c r="AN31" s="114" t="s">
        <v>69</v>
      </c>
      <c r="AO31" s="114" t="s">
        <v>69</v>
      </c>
      <c r="AP31" s="114" t="s">
        <v>69</v>
      </c>
      <c r="AQ31" s="114" t="s">
        <v>69</v>
      </c>
      <c r="AR31" s="114" t="s">
        <v>69</v>
      </c>
      <c r="AS31" s="114" t="s">
        <v>69</v>
      </c>
      <c r="AT31" s="114" t="s">
        <v>69</v>
      </c>
      <c r="AU31" s="114" t="s">
        <v>69</v>
      </c>
      <c r="AV31" s="114" t="s">
        <v>69</v>
      </c>
      <c r="AW31" s="114" t="s">
        <v>69</v>
      </c>
      <c r="AX31" s="115"/>
      <c r="AY31" s="115"/>
    </row>
    <row r="32" spans="1:51">
      <c r="A32" s="407"/>
      <c r="B32" s="121" t="s">
        <v>69</v>
      </c>
      <c r="C32" s="122" t="s">
        <v>69</v>
      </c>
      <c r="D32" s="123" t="str">
        <f>D28</f>
        <v xml:space="preserve">Keluhan </v>
      </c>
      <c r="E32" s="110" t="s">
        <v>69</v>
      </c>
      <c r="F32" s="118">
        <v>0</v>
      </c>
      <c r="G32" s="118">
        <v>0</v>
      </c>
      <c r="H32" s="118">
        <v>0</v>
      </c>
      <c r="I32" s="118">
        <v>0</v>
      </c>
      <c r="J32" s="118">
        <v>0</v>
      </c>
      <c r="K32" s="118">
        <v>0</v>
      </c>
      <c r="L32" s="118">
        <v>0</v>
      </c>
      <c r="M32" s="118">
        <v>0</v>
      </c>
      <c r="N32" s="118">
        <v>0</v>
      </c>
      <c r="O32" s="118">
        <v>0</v>
      </c>
      <c r="P32" s="118">
        <v>0</v>
      </c>
      <c r="Q32" s="118">
        <v>0</v>
      </c>
      <c r="R32" s="118">
        <v>0</v>
      </c>
      <c r="S32" s="118">
        <v>0</v>
      </c>
      <c r="T32" s="118">
        <v>0</v>
      </c>
      <c r="U32" s="118">
        <v>0</v>
      </c>
      <c r="V32" s="118">
        <v>0</v>
      </c>
      <c r="W32" s="118">
        <v>0</v>
      </c>
      <c r="X32" s="114" t="s">
        <v>69</v>
      </c>
      <c r="Y32" s="114" t="s">
        <v>69</v>
      </c>
      <c r="Z32" s="114" t="s">
        <v>69</v>
      </c>
      <c r="AA32" s="114" t="s">
        <v>69</v>
      </c>
      <c r="AB32" s="114" t="s">
        <v>69</v>
      </c>
      <c r="AC32" s="114" t="s">
        <v>69</v>
      </c>
      <c r="AD32" s="114" t="s">
        <v>69</v>
      </c>
      <c r="AE32" s="114" t="s">
        <v>69</v>
      </c>
      <c r="AF32" s="114" t="s">
        <v>69</v>
      </c>
      <c r="AG32" s="114" t="s">
        <v>69</v>
      </c>
      <c r="AH32" s="114" t="s">
        <v>69</v>
      </c>
      <c r="AI32" s="114" t="s">
        <v>69</v>
      </c>
      <c r="AJ32" s="114" t="s">
        <v>69</v>
      </c>
      <c r="AK32" s="114" t="s">
        <v>69</v>
      </c>
      <c r="AL32" s="114" t="s">
        <v>69</v>
      </c>
      <c r="AM32" s="114" t="s">
        <v>69</v>
      </c>
      <c r="AN32" s="114" t="s">
        <v>69</v>
      </c>
      <c r="AO32" s="114" t="s">
        <v>69</v>
      </c>
      <c r="AP32" s="114" t="s">
        <v>69</v>
      </c>
      <c r="AQ32" s="114" t="s">
        <v>69</v>
      </c>
      <c r="AR32" s="114" t="s">
        <v>69</v>
      </c>
      <c r="AS32" s="114" t="s">
        <v>69</v>
      </c>
      <c r="AT32" s="114" t="s">
        <v>69</v>
      </c>
      <c r="AU32" s="114" t="s">
        <v>69</v>
      </c>
      <c r="AV32" s="114" t="s">
        <v>69</v>
      </c>
      <c r="AW32" s="114" t="s">
        <v>69</v>
      </c>
      <c r="AX32" s="115"/>
      <c r="AY32" s="115"/>
    </row>
    <row r="33" spans="1:51">
      <c r="A33" s="407"/>
      <c r="B33" s="121" t="s">
        <v>69</v>
      </c>
      <c r="C33" s="122" t="s">
        <v>69</v>
      </c>
      <c r="D33" s="123" t="s">
        <v>88</v>
      </c>
      <c r="E33" s="110" t="s">
        <v>69</v>
      </c>
      <c r="F33" s="118">
        <v>0</v>
      </c>
      <c r="G33" s="118">
        <v>0</v>
      </c>
      <c r="H33" s="118">
        <v>0</v>
      </c>
      <c r="I33" s="118">
        <v>0</v>
      </c>
      <c r="J33" s="118">
        <v>0</v>
      </c>
      <c r="K33" s="118">
        <v>0</v>
      </c>
      <c r="L33" s="118">
        <v>0</v>
      </c>
      <c r="M33" s="118">
        <v>0</v>
      </c>
      <c r="N33" s="118">
        <v>0</v>
      </c>
      <c r="O33" s="118">
        <v>0</v>
      </c>
      <c r="P33" s="118">
        <v>0</v>
      </c>
      <c r="Q33" s="118">
        <v>0</v>
      </c>
      <c r="R33" s="118">
        <v>0</v>
      </c>
      <c r="S33" s="118">
        <v>0</v>
      </c>
      <c r="T33" s="118">
        <v>0</v>
      </c>
      <c r="U33" s="118">
        <v>0</v>
      </c>
      <c r="V33" s="118">
        <v>0</v>
      </c>
      <c r="W33" s="118">
        <v>0</v>
      </c>
      <c r="X33" s="114" t="s">
        <v>69</v>
      </c>
      <c r="Y33" s="114" t="s">
        <v>69</v>
      </c>
      <c r="Z33" s="114" t="s">
        <v>69</v>
      </c>
      <c r="AA33" s="114" t="s">
        <v>69</v>
      </c>
      <c r="AB33" s="114" t="s">
        <v>69</v>
      </c>
      <c r="AC33" s="114" t="s">
        <v>69</v>
      </c>
      <c r="AD33" s="114" t="s">
        <v>69</v>
      </c>
      <c r="AE33" s="114" t="s">
        <v>69</v>
      </c>
      <c r="AF33" s="114" t="s">
        <v>69</v>
      </c>
      <c r="AG33" s="114" t="s">
        <v>69</v>
      </c>
      <c r="AH33" s="114" t="s">
        <v>69</v>
      </c>
      <c r="AI33" s="114" t="s">
        <v>69</v>
      </c>
      <c r="AJ33" s="114" t="s">
        <v>69</v>
      </c>
      <c r="AK33" s="114" t="s">
        <v>69</v>
      </c>
      <c r="AL33" s="114" t="s">
        <v>69</v>
      </c>
      <c r="AM33" s="114" t="s">
        <v>69</v>
      </c>
      <c r="AN33" s="114" t="s">
        <v>69</v>
      </c>
      <c r="AO33" s="114" t="s">
        <v>69</v>
      </c>
      <c r="AP33" s="114" t="s">
        <v>69</v>
      </c>
      <c r="AQ33" s="114" t="s">
        <v>69</v>
      </c>
      <c r="AR33" s="114" t="s">
        <v>69</v>
      </c>
      <c r="AS33" s="114" t="s">
        <v>69</v>
      </c>
      <c r="AT33" s="114" t="s">
        <v>69</v>
      </c>
      <c r="AU33" s="114" t="s">
        <v>69</v>
      </c>
      <c r="AV33" s="114" t="s">
        <v>69</v>
      </c>
      <c r="AW33" s="114" t="s">
        <v>69</v>
      </c>
      <c r="AX33" s="115"/>
      <c r="AY33" s="115"/>
    </row>
    <row r="34" spans="1:51">
      <c r="A34" s="407"/>
      <c r="B34" s="121" t="s">
        <v>89</v>
      </c>
      <c r="C34" s="122" t="s">
        <v>90</v>
      </c>
      <c r="D34" s="123" t="str">
        <f>D30</f>
        <v>Permintaan Informasi</v>
      </c>
      <c r="E34" s="110" t="s">
        <v>69</v>
      </c>
      <c r="F34" s="118">
        <v>0</v>
      </c>
      <c r="G34" s="118">
        <v>0</v>
      </c>
      <c r="H34" s="118">
        <v>0</v>
      </c>
      <c r="I34" s="118">
        <v>0</v>
      </c>
      <c r="J34" s="118">
        <v>0</v>
      </c>
      <c r="K34" s="118">
        <v>0</v>
      </c>
      <c r="L34" s="118">
        <v>0</v>
      </c>
      <c r="M34" s="118">
        <v>0</v>
      </c>
      <c r="N34" s="118">
        <v>0</v>
      </c>
      <c r="O34" s="118">
        <v>0</v>
      </c>
      <c r="P34" s="118">
        <v>0</v>
      </c>
      <c r="Q34" s="118">
        <v>0</v>
      </c>
      <c r="R34" s="118">
        <v>7</v>
      </c>
      <c r="S34" s="118">
        <v>2</v>
      </c>
      <c r="T34" s="118">
        <v>0</v>
      </c>
      <c r="U34" s="118">
        <v>2</v>
      </c>
      <c r="V34" s="118">
        <v>4</v>
      </c>
      <c r="W34" s="118">
        <v>5</v>
      </c>
      <c r="X34" s="114" t="s">
        <v>69</v>
      </c>
      <c r="Y34" s="114" t="s">
        <v>69</v>
      </c>
      <c r="Z34" s="114" t="s">
        <v>69</v>
      </c>
      <c r="AA34" s="114" t="s">
        <v>69</v>
      </c>
      <c r="AB34" s="114" t="s">
        <v>69</v>
      </c>
      <c r="AC34" s="114" t="s">
        <v>69</v>
      </c>
      <c r="AD34" s="114" t="s">
        <v>69</v>
      </c>
      <c r="AE34" s="114" t="s">
        <v>69</v>
      </c>
      <c r="AF34" s="114" t="s">
        <v>69</v>
      </c>
      <c r="AG34" s="114" t="s">
        <v>69</v>
      </c>
      <c r="AH34" s="114" t="s">
        <v>69</v>
      </c>
      <c r="AI34" s="114" t="s">
        <v>69</v>
      </c>
      <c r="AJ34" s="114" t="s">
        <v>69</v>
      </c>
      <c r="AK34" s="114" t="s">
        <v>69</v>
      </c>
      <c r="AL34" s="114" t="s">
        <v>69</v>
      </c>
      <c r="AM34" s="114" t="s">
        <v>69</v>
      </c>
      <c r="AN34" s="114" t="s">
        <v>69</v>
      </c>
      <c r="AO34" s="114" t="s">
        <v>69</v>
      </c>
      <c r="AP34" s="114" t="s">
        <v>69</v>
      </c>
      <c r="AQ34" s="114" t="s">
        <v>69</v>
      </c>
      <c r="AR34" s="114" t="s">
        <v>69</v>
      </c>
      <c r="AS34" s="114" t="s">
        <v>69</v>
      </c>
      <c r="AT34" s="114" t="s">
        <v>69</v>
      </c>
      <c r="AU34" s="114" t="s">
        <v>69</v>
      </c>
      <c r="AV34" s="114" t="s">
        <v>69</v>
      </c>
      <c r="AW34" s="114" t="s">
        <v>69</v>
      </c>
      <c r="AX34" s="115"/>
      <c r="AY34" s="115"/>
    </row>
    <row r="35" spans="1:51">
      <c r="A35" s="407"/>
      <c r="B35" s="121" t="s">
        <v>69</v>
      </c>
      <c r="C35" s="122" t="s">
        <v>69</v>
      </c>
      <c r="D35" s="123" t="str">
        <f>D31</f>
        <v xml:space="preserve">Request </v>
      </c>
      <c r="E35" s="110" t="s">
        <v>69</v>
      </c>
      <c r="F35" s="118">
        <v>0</v>
      </c>
      <c r="G35" s="118">
        <v>0</v>
      </c>
      <c r="H35" s="118">
        <v>0</v>
      </c>
      <c r="I35" s="118">
        <v>0</v>
      </c>
      <c r="J35" s="118">
        <v>0</v>
      </c>
      <c r="K35" s="118">
        <v>0</v>
      </c>
      <c r="L35" s="118">
        <v>0</v>
      </c>
      <c r="M35" s="118">
        <v>0</v>
      </c>
      <c r="N35" s="118">
        <v>0</v>
      </c>
      <c r="O35" s="118">
        <v>0</v>
      </c>
      <c r="P35" s="118">
        <v>0</v>
      </c>
      <c r="Q35" s="118">
        <v>0</v>
      </c>
      <c r="R35" s="118">
        <v>0</v>
      </c>
      <c r="S35" s="118">
        <v>0</v>
      </c>
      <c r="T35" s="118">
        <v>0</v>
      </c>
      <c r="U35" s="118">
        <v>0</v>
      </c>
      <c r="V35" s="118">
        <v>0</v>
      </c>
      <c r="W35" s="118">
        <v>0</v>
      </c>
      <c r="X35" s="114" t="s">
        <v>69</v>
      </c>
      <c r="Y35" s="114" t="s">
        <v>69</v>
      </c>
      <c r="Z35" s="114" t="s">
        <v>69</v>
      </c>
      <c r="AA35" s="114" t="s">
        <v>69</v>
      </c>
      <c r="AB35" s="114" t="s">
        <v>69</v>
      </c>
      <c r="AC35" s="114" t="s">
        <v>69</v>
      </c>
      <c r="AD35" s="114" t="s">
        <v>69</v>
      </c>
      <c r="AE35" s="114" t="s">
        <v>69</v>
      </c>
      <c r="AF35" s="114" t="s">
        <v>69</v>
      </c>
      <c r="AG35" s="114" t="s">
        <v>69</v>
      </c>
      <c r="AH35" s="114" t="s">
        <v>69</v>
      </c>
      <c r="AI35" s="114" t="s">
        <v>69</v>
      </c>
      <c r="AJ35" s="114" t="s">
        <v>69</v>
      </c>
      <c r="AK35" s="114" t="s">
        <v>69</v>
      </c>
      <c r="AL35" s="114" t="s">
        <v>69</v>
      </c>
      <c r="AM35" s="114" t="s">
        <v>69</v>
      </c>
      <c r="AN35" s="114" t="s">
        <v>69</v>
      </c>
      <c r="AO35" s="114" t="s">
        <v>69</v>
      </c>
      <c r="AP35" s="114" t="s">
        <v>69</v>
      </c>
      <c r="AQ35" s="114" t="s">
        <v>69</v>
      </c>
      <c r="AR35" s="114" t="s">
        <v>69</v>
      </c>
      <c r="AS35" s="114" t="s">
        <v>69</v>
      </c>
      <c r="AT35" s="114" t="s">
        <v>69</v>
      </c>
      <c r="AU35" s="114" t="s">
        <v>69</v>
      </c>
      <c r="AV35" s="114" t="s">
        <v>69</v>
      </c>
      <c r="AW35" s="114" t="s">
        <v>69</v>
      </c>
      <c r="AX35" s="115"/>
      <c r="AY35" s="115"/>
    </row>
    <row r="36" spans="1:51">
      <c r="A36" s="407"/>
      <c r="B36" s="121" t="s">
        <v>69</v>
      </c>
      <c r="C36" s="122" t="s">
        <v>69</v>
      </c>
      <c r="D36" s="123" t="str">
        <f>D32</f>
        <v xml:space="preserve">Keluhan </v>
      </c>
      <c r="E36" s="110" t="s">
        <v>69</v>
      </c>
      <c r="F36" s="118">
        <v>0</v>
      </c>
      <c r="G36" s="118">
        <v>0</v>
      </c>
      <c r="H36" s="118">
        <v>0</v>
      </c>
      <c r="I36" s="118">
        <v>0</v>
      </c>
      <c r="J36" s="106">
        <v>4</v>
      </c>
      <c r="K36" s="106">
        <v>4</v>
      </c>
      <c r="L36" s="106">
        <v>8</v>
      </c>
      <c r="M36" s="106">
        <v>6</v>
      </c>
      <c r="N36" s="106">
        <v>5</v>
      </c>
      <c r="O36" s="106">
        <v>9</v>
      </c>
      <c r="P36" s="106">
        <v>0</v>
      </c>
      <c r="Q36" s="106">
        <v>4</v>
      </c>
      <c r="R36" s="106">
        <v>7</v>
      </c>
      <c r="S36" s="106">
        <v>2</v>
      </c>
      <c r="T36" s="106">
        <v>1</v>
      </c>
      <c r="U36" s="106">
        <v>5</v>
      </c>
      <c r="V36" s="106">
        <v>6</v>
      </c>
      <c r="W36" s="106">
        <v>3</v>
      </c>
      <c r="X36" s="114" t="s">
        <v>69</v>
      </c>
      <c r="Y36" s="114" t="s">
        <v>69</v>
      </c>
      <c r="Z36" s="114" t="s">
        <v>69</v>
      </c>
      <c r="AA36" s="114" t="s">
        <v>69</v>
      </c>
      <c r="AB36" s="114" t="s">
        <v>69</v>
      </c>
      <c r="AC36" s="114" t="s">
        <v>69</v>
      </c>
      <c r="AD36" s="114" t="s">
        <v>69</v>
      </c>
      <c r="AE36" s="114" t="s">
        <v>69</v>
      </c>
      <c r="AF36" s="114" t="s">
        <v>69</v>
      </c>
      <c r="AG36" s="114" t="s">
        <v>69</v>
      </c>
      <c r="AH36" s="114" t="s">
        <v>69</v>
      </c>
      <c r="AI36" s="114" t="s">
        <v>69</v>
      </c>
      <c r="AJ36" s="114" t="s">
        <v>69</v>
      </c>
      <c r="AK36" s="114" t="s">
        <v>69</v>
      </c>
      <c r="AL36" s="114" t="s">
        <v>69</v>
      </c>
      <c r="AM36" s="114" t="s">
        <v>69</v>
      </c>
      <c r="AN36" s="114" t="s">
        <v>69</v>
      </c>
      <c r="AO36" s="114" t="s">
        <v>69</v>
      </c>
      <c r="AP36" s="114" t="s">
        <v>69</v>
      </c>
      <c r="AQ36" s="114" t="s">
        <v>69</v>
      </c>
      <c r="AR36" s="114" t="s">
        <v>69</v>
      </c>
      <c r="AS36" s="114" t="s">
        <v>69</v>
      </c>
      <c r="AT36" s="114" t="s">
        <v>69</v>
      </c>
      <c r="AU36" s="114" t="s">
        <v>69</v>
      </c>
      <c r="AV36" s="114" t="s">
        <v>69</v>
      </c>
      <c r="AW36" s="114" t="s">
        <v>69</v>
      </c>
      <c r="AX36" s="115"/>
      <c r="AY36" s="115"/>
    </row>
    <row r="37" spans="1:51">
      <c r="A37" s="407"/>
      <c r="B37" s="121" t="s">
        <v>69</v>
      </c>
      <c r="C37" s="122" t="s">
        <v>69</v>
      </c>
      <c r="D37" s="123" t="str">
        <f>D33</f>
        <v>Apresiasi</v>
      </c>
      <c r="E37" s="110" t="s">
        <v>69</v>
      </c>
      <c r="F37" s="118">
        <v>0</v>
      </c>
      <c r="G37" s="118">
        <v>0</v>
      </c>
      <c r="H37" s="118">
        <v>0</v>
      </c>
      <c r="I37" s="118">
        <v>0</v>
      </c>
      <c r="J37" s="106">
        <v>4</v>
      </c>
      <c r="K37" s="106">
        <v>4</v>
      </c>
      <c r="L37" s="106">
        <v>8</v>
      </c>
      <c r="M37" s="106">
        <v>6</v>
      </c>
      <c r="N37" s="106">
        <v>5</v>
      </c>
      <c r="O37" s="106">
        <v>9</v>
      </c>
      <c r="P37" s="106">
        <v>0</v>
      </c>
      <c r="Q37" s="106">
        <v>4</v>
      </c>
      <c r="R37" s="106">
        <v>7</v>
      </c>
      <c r="S37" s="106">
        <v>6</v>
      </c>
      <c r="T37" s="106">
        <v>1</v>
      </c>
      <c r="U37" s="106">
        <v>15</v>
      </c>
      <c r="V37" s="106">
        <v>11</v>
      </c>
      <c r="W37" s="106">
        <v>6</v>
      </c>
      <c r="X37" s="114" t="s">
        <v>69</v>
      </c>
      <c r="Y37" s="114" t="s">
        <v>69</v>
      </c>
      <c r="Z37" s="114" t="s">
        <v>69</v>
      </c>
      <c r="AA37" s="114" t="s">
        <v>69</v>
      </c>
      <c r="AB37" s="114" t="s">
        <v>69</v>
      </c>
      <c r="AC37" s="114" t="s">
        <v>69</v>
      </c>
      <c r="AD37" s="114" t="s">
        <v>69</v>
      </c>
      <c r="AE37" s="114" t="s">
        <v>69</v>
      </c>
      <c r="AF37" s="114" t="s">
        <v>69</v>
      </c>
      <c r="AG37" s="114" t="s">
        <v>69</v>
      </c>
      <c r="AH37" s="114" t="s">
        <v>69</v>
      </c>
      <c r="AI37" s="114" t="s">
        <v>69</v>
      </c>
      <c r="AJ37" s="114" t="s">
        <v>69</v>
      </c>
      <c r="AK37" s="114" t="s">
        <v>69</v>
      </c>
      <c r="AL37" s="114" t="s">
        <v>69</v>
      </c>
      <c r="AM37" s="114" t="s">
        <v>69</v>
      </c>
      <c r="AN37" s="114" t="s">
        <v>69</v>
      </c>
      <c r="AO37" s="114" t="s">
        <v>69</v>
      </c>
      <c r="AP37" s="114" t="s">
        <v>69</v>
      </c>
      <c r="AQ37" s="114" t="s">
        <v>69</v>
      </c>
      <c r="AR37" s="114" t="s">
        <v>69</v>
      </c>
      <c r="AS37" s="114" t="s">
        <v>69</v>
      </c>
      <c r="AT37" s="114" t="s">
        <v>69</v>
      </c>
      <c r="AU37" s="114" t="s">
        <v>69</v>
      </c>
      <c r="AV37" s="114" t="s">
        <v>69</v>
      </c>
      <c r="AW37" s="114" t="s">
        <v>69</v>
      </c>
      <c r="AX37" s="115"/>
      <c r="AY37" s="115"/>
    </row>
    <row r="38" spans="1:51">
      <c r="A38" s="407"/>
      <c r="B38" s="111" t="s">
        <v>91</v>
      </c>
      <c r="C38" s="117" t="s">
        <v>92</v>
      </c>
      <c r="D38" s="112" t="str">
        <f>D34</f>
        <v>Permintaan Informasi</v>
      </c>
      <c r="E38" s="110" t="s">
        <v>69</v>
      </c>
      <c r="F38" s="118">
        <v>0</v>
      </c>
      <c r="G38" s="118">
        <v>0</v>
      </c>
      <c r="H38" s="118">
        <v>0</v>
      </c>
      <c r="I38" s="118">
        <v>0</v>
      </c>
      <c r="J38" s="118">
        <v>0</v>
      </c>
      <c r="K38" s="118">
        <v>0</v>
      </c>
      <c r="L38" s="118">
        <v>0</v>
      </c>
      <c r="M38" s="118">
        <v>0</v>
      </c>
      <c r="N38" s="118">
        <v>0</v>
      </c>
      <c r="O38" s="118">
        <v>0</v>
      </c>
      <c r="P38" s="118">
        <v>0</v>
      </c>
      <c r="Q38" s="118">
        <v>0</v>
      </c>
      <c r="R38" s="118">
        <v>0</v>
      </c>
      <c r="S38" s="118">
        <v>0</v>
      </c>
      <c r="T38" s="118">
        <v>0</v>
      </c>
      <c r="U38" s="118">
        <v>0</v>
      </c>
      <c r="V38" s="118">
        <v>0</v>
      </c>
      <c r="W38" s="118">
        <v>0</v>
      </c>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5"/>
      <c r="AY38" s="115"/>
    </row>
    <row r="39" spans="1:51">
      <c r="A39" s="407"/>
      <c r="B39" s="121" t="s">
        <v>69</v>
      </c>
      <c r="C39" s="121" t="s">
        <v>69</v>
      </c>
      <c r="D39" s="112" t="str">
        <f>D35</f>
        <v xml:space="preserve">Request </v>
      </c>
      <c r="E39" s="110" t="s">
        <v>69</v>
      </c>
      <c r="F39" s="118">
        <v>0</v>
      </c>
      <c r="G39" s="118">
        <v>0</v>
      </c>
      <c r="H39" s="118">
        <v>0</v>
      </c>
      <c r="I39" s="118">
        <v>0</v>
      </c>
      <c r="J39" s="118">
        <v>0</v>
      </c>
      <c r="K39" s="118">
        <v>0</v>
      </c>
      <c r="L39" s="118">
        <v>0</v>
      </c>
      <c r="M39" s="118">
        <v>0</v>
      </c>
      <c r="N39" s="118">
        <v>0</v>
      </c>
      <c r="O39" s="118">
        <v>0</v>
      </c>
      <c r="P39" s="118">
        <v>0</v>
      </c>
      <c r="Q39" s="118">
        <v>0</v>
      </c>
      <c r="R39" s="118">
        <v>0</v>
      </c>
      <c r="S39" s="118">
        <v>0</v>
      </c>
      <c r="T39" s="118">
        <v>0</v>
      </c>
      <c r="U39" s="118">
        <v>0</v>
      </c>
      <c r="V39" s="118">
        <v>0</v>
      </c>
      <c r="W39" s="118">
        <v>0</v>
      </c>
      <c r="X39" s="114" t="s">
        <v>69</v>
      </c>
      <c r="Y39" s="114" t="s">
        <v>69</v>
      </c>
      <c r="Z39" s="114" t="s">
        <v>69</v>
      </c>
      <c r="AA39" s="114" t="s">
        <v>69</v>
      </c>
      <c r="AB39" s="114" t="s">
        <v>69</v>
      </c>
      <c r="AC39" s="114" t="s">
        <v>69</v>
      </c>
      <c r="AD39" s="114" t="s">
        <v>69</v>
      </c>
      <c r="AE39" s="114" t="s">
        <v>69</v>
      </c>
      <c r="AF39" s="114" t="s">
        <v>69</v>
      </c>
      <c r="AG39" s="114" t="s">
        <v>69</v>
      </c>
      <c r="AH39" s="114" t="s">
        <v>69</v>
      </c>
      <c r="AI39" s="114" t="s">
        <v>69</v>
      </c>
      <c r="AJ39" s="114" t="s">
        <v>69</v>
      </c>
      <c r="AK39" s="114" t="s">
        <v>69</v>
      </c>
      <c r="AL39" s="114" t="s">
        <v>69</v>
      </c>
      <c r="AM39" s="114" t="s">
        <v>69</v>
      </c>
      <c r="AN39" s="114" t="s">
        <v>69</v>
      </c>
      <c r="AO39" s="114" t="s">
        <v>69</v>
      </c>
      <c r="AP39" s="114" t="s">
        <v>69</v>
      </c>
      <c r="AQ39" s="114" t="s">
        <v>69</v>
      </c>
      <c r="AR39" s="114" t="s">
        <v>69</v>
      </c>
      <c r="AS39" s="114" t="s">
        <v>69</v>
      </c>
      <c r="AT39" s="114" t="s">
        <v>69</v>
      </c>
      <c r="AU39" s="114" t="s">
        <v>69</v>
      </c>
      <c r="AV39" s="114" t="s">
        <v>69</v>
      </c>
      <c r="AW39" s="114" t="s">
        <v>69</v>
      </c>
      <c r="AX39" s="115"/>
      <c r="AY39" s="115"/>
    </row>
    <row r="40" spans="1:51">
      <c r="A40" s="407"/>
      <c r="B40" s="111" t="s">
        <v>69</v>
      </c>
      <c r="C40" s="111" t="s">
        <v>69</v>
      </c>
      <c r="D40" s="112" t="str">
        <f>D36</f>
        <v xml:space="preserve">Keluhan </v>
      </c>
      <c r="E40" s="110" t="s">
        <v>69</v>
      </c>
      <c r="F40" s="118">
        <v>0</v>
      </c>
      <c r="G40" s="118">
        <v>0</v>
      </c>
      <c r="H40" s="118">
        <v>0</v>
      </c>
      <c r="I40" s="118">
        <v>0</v>
      </c>
      <c r="J40" s="118">
        <v>0</v>
      </c>
      <c r="K40" s="118">
        <v>0</v>
      </c>
      <c r="L40" s="118">
        <v>0</v>
      </c>
      <c r="M40" s="118">
        <v>0</v>
      </c>
      <c r="N40" s="118">
        <v>0</v>
      </c>
      <c r="O40" s="118">
        <v>0</v>
      </c>
      <c r="P40" s="118">
        <v>0</v>
      </c>
      <c r="Q40" s="118">
        <v>0</v>
      </c>
      <c r="R40" s="118">
        <v>0</v>
      </c>
      <c r="S40" s="118">
        <v>0</v>
      </c>
      <c r="T40" s="118">
        <v>0</v>
      </c>
      <c r="U40" s="118">
        <v>0</v>
      </c>
      <c r="V40" s="118">
        <v>0</v>
      </c>
      <c r="W40" s="118">
        <v>2</v>
      </c>
      <c r="X40" s="114"/>
      <c r="Y40" s="114"/>
      <c r="Z40" s="114"/>
      <c r="AA40" s="114"/>
      <c r="AB40" s="114"/>
      <c r="AC40" s="114"/>
      <c r="AD40" s="114"/>
      <c r="AE40" s="114"/>
      <c r="AF40" s="114"/>
      <c r="AG40" s="114"/>
      <c r="AH40" s="114"/>
      <c r="AI40" s="114"/>
      <c r="AJ40" s="114"/>
      <c r="AK40" s="114"/>
      <c r="AL40" s="114"/>
      <c r="AM40" s="114"/>
      <c r="AN40" s="114"/>
      <c r="AO40" s="114"/>
      <c r="AP40" s="114"/>
      <c r="AQ40" s="114"/>
      <c r="AR40" s="114"/>
      <c r="AS40" s="114"/>
      <c r="AT40" s="114"/>
      <c r="AU40" s="114"/>
      <c r="AV40" s="114"/>
      <c r="AW40" s="114"/>
      <c r="AX40" s="115"/>
      <c r="AY40" s="115"/>
    </row>
    <row r="41" spans="1:51">
      <c r="A41" s="407"/>
      <c r="B41" s="111" t="s">
        <v>69</v>
      </c>
      <c r="C41" s="111" t="s">
        <v>69</v>
      </c>
      <c r="D41" s="112" t="str">
        <f>D37</f>
        <v>Apresiasi</v>
      </c>
      <c r="E41" s="110" t="s">
        <v>69</v>
      </c>
      <c r="F41" s="118">
        <v>0</v>
      </c>
      <c r="G41" s="118">
        <v>0</v>
      </c>
      <c r="H41" s="118">
        <v>0</v>
      </c>
      <c r="I41" s="118">
        <v>0</v>
      </c>
      <c r="J41" s="118">
        <v>0</v>
      </c>
      <c r="K41" s="118">
        <v>0</v>
      </c>
      <c r="L41" s="118">
        <v>0</v>
      </c>
      <c r="M41" s="118">
        <v>0</v>
      </c>
      <c r="N41" s="118">
        <v>0</v>
      </c>
      <c r="O41" s="118">
        <v>0</v>
      </c>
      <c r="P41" s="118">
        <v>0</v>
      </c>
      <c r="Q41" s="118">
        <v>0</v>
      </c>
      <c r="R41" s="118">
        <v>0</v>
      </c>
      <c r="S41" s="118">
        <v>0</v>
      </c>
      <c r="T41" s="118">
        <v>0</v>
      </c>
      <c r="U41" s="118">
        <v>0</v>
      </c>
      <c r="V41" s="118">
        <v>0</v>
      </c>
      <c r="W41" s="118">
        <v>0</v>
      </c>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4"/>
      <c r="AX41" s="115"/>
      <c r="AY41" s="115"/>
    </row>
    <row r="42" spans="1:51">
      <c r="A42" s="407"/>
      <c r="B42" s="112" t="s">
        <v>93</v>
      </c>
      <c r="C42" s="124" t="s">
        <v>94</v>
      </c>
      <c r="D42" s="112" t="str">
        <f>D38</f>
        <v>Permintaan Informasi</v>
      </c>
      <c r="E42" s="110" t="s">
        <v>69</v>
      </c>
      <c r="F42" s="118">
        <v>0</v>
      </c>
      <c r="G42" s="118">
        <v>0</v>
      </c>
      <c r="H42" s="118">
        <v>0</v>
      </c>
      <c r="I42" s="118">
        <v>0</v>
      </c>
      <c r="J42" s="118">
        <v>0</v>
      </c>
      <c r="K42" s="118">
        <v>0</v>
      </c>
      <c r="L42" s="118">
        <v>0</v>
      </c>
      <c r="M42" s="118">
        <v>0</v>
      </c>
      <c r="N42" s="118">
        <v>0</v>
      </c>
      <c r="O42" s="118">
        <v>0</v>
      </c>
      <c r="P42" s="118">
        <v>0</v>
      </c>
      <c r="Q42" s="118">
        <v>0</v>
      </c>
      <c r="R42" s="118">
        <v>0</v>
      </c>
      <c r="S42" s="118">
        <v>0</v>
      </c>
      <c r="T42" s="118">
        <v>0</v>
      </c>
      <c r="U42" s="118">
        <v>0</v>
      </c>
      <c r="V42" s="118">
        <v>0</v>
      </c>
      <c r="W42" s="118">
        <v>0</v>
      </c>
      <c r="X42" s="114"/>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114"/>
      <c r="AX42" s="115"/>
      <c r="AY42" s="115"/>
    </row>
    <row r="43" spans="1:51">
      <c r="A43" s="407"/>
      <c r="B43" s="123" t="s">
        <v>69</v>
      </c>
      <c r="C43" s="125" t="s">
        <v>69</v>
      </c>
      <c r="D43" s="112" t="str">
        <f>D39</f>
        <v xml:space="preserve">Request </v>
      </c>
      <c r="E43" s="110" t="s">
        <v>69</v>
      </c>
      <c r="F43" s="118">
        <v>0</v>
      </c>
      <c r="G43" s="118">
        <v>0</v>
      </c>
      <c r="H43" s="118">
        <v>0</v>
      </c>
      <c r="I43" s="118">
        <v>0</v>
      </c>
      <c r="J43" s="118">
        <v>0</v>
      </c>
      <c r="K43" s="118">
        <v>0</v>
      </c>
      <c r="L43" s="118">
        <v>0</v>
      </c>
      <c r="M43" s="118">
        <v>0</v>
      </c>
      <c r="N43" s="118">
        <v>0</v>
      </c>
      <c r="O43" s="118">
        <v>0</v>
      </c>
      <c r="P43" s="118">
        <v>0</v>
      </c>
      <c r="Q43" s="118">
        <v>0</v>
      </c>
      <c r="R43" s="118">
        <v>0</v>
      </c>
      <c r="S43" s="118">
        <v>0</v>
      </c>
      <c r="T43" s="118">
        <v>0</v>
      </c>
      <c r="U43" s="118">
        <v>0</v>
      </c>
      <c r="V43" s="118">
        <v>0</v>
      </c>
      <c r="W43" s="118">
        <v>0</v>
      </c>
      <c r="X43" s="114" t="s">
        <v>69</v>
      </c>
      <c r="Y43" s="114" t="s">
        <v>69</v>
      </c>
      <c r="Z43" s="114" t="s">
        <v>69</v>
      </c>
      <c r="AA43" s="114" t="s">
        <v>69</v>
      </c>
      <c r="AB43" s="114" t="s">
        <v>69</v>
      </c>
      <c r="AC43" s="114" t="s">
        <v>69</v>
      </c>
      <c r="AD43" s="114" t="s">
        <v>69</v>
      </c>
      <c r="AE43" s="114" t="s">
        <v>69</v>
      </c>
      <c r="AF43" s="114" t="s">
        <v>69</v>
      </c>
      <c r="AG43" s="114" t="s">
        <v>69</v>
      </c>
      <c r="AH43" s="114" t="s">
        <v>69</v>
      </c>
      <c r="AI43" s="114" t="s">
        <v>69</v>
      </c>
      <c r="AJ43" s="114" t="s">
        <v>69</v>
      </c>
      <c r="AK43" s="114" t="s">
        <v>69</v>
      </c>
      <c r="AL43" s="114" t="s">
        <v>69</v>
      </c>
      <c r="AM43" s="114" t="s">
        <v>69</v>
      </c>
      <c r="AN43" s="114" t="s">
        <v>69</v>
      </c>
      <c r="AO43" s="114" t="s">
        <v>69</v>
      </c>
      <c r="AP43" s="114" t="s">
        <v>69</v>
      </c>
      <c r="AQ43" s="114" t="s">
        <v>69</v>
      </c>
      <c r="AR43" s="114" t="s">
        <v>69</v>
      </c>
      <c r="AS43" s="114" t="s">
        <v>69</v>
      </c>
      <c r="AT43" s="114" t="s">
        <v>69</v>
      </c>
      <c r="AU43" s="114" t="s">
        <v>69</v>
      </c>
      <c r="AV43" s="114" t="s">
        <v>69</v>
      </c>
      <c r="AW43" s="114" t="s">
        <v>69</v>
      </c>
      <c r="AX43" s="115"/>
      <c r="AY43" s="115"/>
    </row>
    <row r="44" spans="1:51">
      <c r="A44" s="407"/>
      <c r="B44" s="112" t="s">
        <v>69</v>
      </c>
      <c r="C44" s="126" t="s">
        <v>69</v>
      </c>
      <c r="D44" s="112" t="str">
        <f>D40</f>
        <v xml:space="preserve">Keluhan </v>
      </c>
      <c r="E44" s="110" t="s">
        <v>69</v>
      </c>
      <c r="F44" s="118">
        <v>0</v>
      </c>
      <c r="G44" s="118">
        <v>0</v>
      </c>
      <c r="H44" s="118">
        <v>0</v>
      </c>
      <c r="I44" s="118">
        <v>0</v>
      </c>
      <c r="J44" s="118">
        <v>0</v>
      </c>
      <c r="K44" s="118">
        <v>0</v>
      </c>
      <c r="L44" s="118">
        <v>0</v>
      </c>
      <c r="M44" s="118">
        <v>0</v>
      </c>
      <c r="N44" s="118">
        <v>0</v>
      </c>
      <c r="O44" s="118">
        <v>0</v>
      </c>
      <c r="P44" s="118">
        <v>0</v>
      </c>
      <c r="Q44" s="118">
        <v>0</v>
      </c>
      <c r="R44" s="118">
        <v>0</v>
      </c>
      <c r="S44" s="118">
        <v>0</v>
      </c>
      <c r="T44" s="118">
        <v>0</v>
      </c>
      <c r="U44" s="118">
        <v>0</v>
      </c>
      <c r="V44" s="118">
        <v>0</v>
      </c>
      <c r="W44" s="118">
        <v>0</v>
      </c>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s="115"/>
      <c r="AY44" s="115"/>
    </row>
    <row r="45" spans="1:51">
      <c r="A45" s="407"/>
      <c r="B45" s="123" t="s">
        <v>69</v>
      </c>
      <c r="C45" s="125" t="s">
        <v>69</v>
      </c>
      <c r="D45" s="112" t="s">
        <v>88</v>
      </c>
      <c r="E45" s="110" t="s">
        <v>69</v>
      </c>
      <c r="F45" s="118">
        <v>0</v>
      </c>
      <c r="G45" s="118">
        <v>0</v>
      </c>
      <c r="H45" s="118">
        <v>0</v>
      </c>
      <c r="I45" s="118">
        <v>0</v>
      </c>
      <c r="J45" s="118">
        <v>0</v>
      </c>
      <c r="K45" s="118">
        <v>0</v>
      </c>
      <c r="L45" s="118">
        <v>0</v>
      </c>
      <c r="M45" s="118">
        <v>0</v>
      </c>
      <c r="N45" s="118">
        <v>0</v>
      </c>
      <c r="O45" s="118">
        <v>0</v>
      </c>
      <c r="P45" s="118">
        <v>0</v>
      </c>
      <c r="Q45" s="118">
        <v>0</v>
      </c>
      <c r="R45" s="118">
        <v>0</v>
      </c>
      <c r="S45" s="118">
        <v>0</v>
      </c>
      <c r="T45" s="118">
        <v>0</v>
      </c>
      <c r="U45" s="118">
        <v>0</v>
      </c>
      <c r="V45" s="118">
        <v>0</v>
      </c>
      <c r="W45" s="118">
        <v>0</v>
      </c>
      <c r="X45" s="114" t="s">
        <v>69</v>
      </c>
      <c r="Y45" s="114" t="s">
        <v>69</v>
      </c>
      <c r="Z45" s="114" t="s">
        <v>69</v>
      </c>
      <c r="AA45" s="114" t="s">
        <v>69</v>
      </c>
      <c r="AB45" s="114" t="s">
        <v>69</v>
      </c>
      <c r="AC45" s="114" t="s">
        <v>69</v>
      </c>
      <c r="AD45" s="114" t="s">
        <v>69</v>
      </c>
      <c r="AE45" s="114" t="s">
        <v>69</v>
      </c>
      <c r="AF45" s="114" t="s">
        <v>69</v>
      </c>
      <c r="AG45" s="114" t="s">
        <v>69</v>
      </c>
      <c r="AH45" s="114" t="s">
        <v>69</v>
      </c>
      <c r="AI45" s="114" t="s">
        <v>69</v>
      </c>
      <c r="AJ45" s="114" t="s">
        <v>69</v>
      </c>
      <c r="AK45" s="114" t="s">
        <v>69</v>
      </c>
      <c r="AL45" s="114" t="s">
        <v>69</v>
      </c>
      <c r="AM45" s="114" t="s">
        <v>69</v>
      </c>
      <c r="AN45" s="114" t="s">
        <v>69</v>
      </c>
      <c r="AO45" s="114" t="s">
        <v>69</v>
      </c>
      <c r="AP45" s="114" t="s">
        <v>69</v>
      </c>
      <c r="AQ45" s="114" t="s">
        <v>69</v>
      </c>
      <c r="AR45" s="114" t="s">
        <v>69</v>
      </c>
      <c r="AS45" s="114" t="s">
        <v>69</v>
      </c>
      <c r="AT45" s="114" t="s">
        <v>69</v>
      </c>
      <c r="AU45" s="114" t="s">
        <v>69</v>
      </c>
      <c r="AV45" s="114" t="s">
        <v>69</v>
      </c>
      <c r="AW45" s="114" t="s">
        <v>69</v>
      </c>
      <c r="AX45" s="115"/>
      <c r="AY45" s="115"/>
    </row>
    <row r="46" spans="1:51" ht="69" customHeight="1">
      <c r="A46" s="313">
        <v>5</v>
      </c>
      <c r="B46" s="317" t="s">
        <v>97</v>
      </c>
      <c r="C46" s="317"/>
      <c r="D46" s="317"/>
      <c r="E46" s="110" t="s">
        <v>98</v>
      </c>
      <c r="F46" s="111" t="s">
        <v>69</v>
      </c>
      <c r="G46" s="127" t="s">
        <v>69</v>
      </c>
      <c r="H46" s="128" t="s">
        <v>69</v>
      </c>
      <c r="I46" s="113" t="s">
        <v>69</v>
      </c>
      <c r="J46" s="111" t="s">
        <v>69</v>
      </c>
      <c r="K46" s="127" t="s">
        <v>69</v>
      </c>
      <c r="L46" s="111" t="s">
        <v>69</v>
      </c>
      <c r="M46" s="111" t="s">
        <v>69</v>
      </c>
      <c r="N46" s="127" t="s">
        <v>69</v>
      </c>
      <c r="O46" s="127" t="s">
        <v>69</v>
      </c>
      <c r="P46" s="127" t="s">
        <v>69</v>
      </c>
      <c r="Q46" s="127" t="s">
        <v>69</v>
      </c>
      <c r="R46" s="127" t="s">
        <v>69</v>
      </c>
      <c r="S46" s="127" t="s">
        <v>69</v>
      </c>
      <c r="T46" s="127" t="s">
        <v>69</v>
      </c>
      <c r="U46" s="128" t="s">
        <v>69</v>
      </c>
      <c r="V46" s="129" t="s">
        <v>69</v>
      </c>
      <c r="W46" s="129"/>
      <c r="X46" s="130"/>
      <c r="Y46" s="130"/>
      <c r="Z46" s="130"/>
      <c r="AA46" s="130"/>
      <c r="AB46" s="130"/>
      <c r="AC46" s="130"/>
      <c r="AD46" s="130"/>
      <c r="AE46" s="130"/>
      <c r="AF46" s="130"/>
      <c r="AG46" s="130"/>
      <c r="AH46" s="130"/>
      <c r="AI46" s="130"/>
      <c r="AJ46" s="130"/>
      <c r="AK46" s="130" t="s">
        <v>69</v>
      </c>
      <c r="AL46" s="130" t="s">
        <v>69</v>
      </c>
      <c r="AM46" s="130" t="s">
        <v>69</v>
      </c>
      <c r="AN46" s="130" t="s">
        <v>69</v>
      </c>
      <c r="AO46" s="130" t="s">
        <v>69</v>
      </c>
      <c r="AP46" s="130" t="s">
        <v>69</v>
      </c>
      <c r="AQ46" s="130" t="s">
        <v>69</v>
      </c>
      <c r="AR46" s="130" t="s">
        <v>69</v>
      </c>
      <c r="AS46" s="130" t="s">
        <v>69</v>
      </c>
      <c r="AT46" s="130" t="s">
        <v>69</v>
      </c>
      <c r="AU46" s="130" t="s">
        <v>69</v>
      </c>
      <c r="AV46" s="130" t="s">
        <v>69</v>
      </c>
      <c r="AW46" s="130" t="s">
        <v>69</v>
      </c>
      <c r="AX46" s="115"/>
      <c r="AY46" s="115"/>
    </row>
    <row r="47" spans="1:51" ht="36.75">
      <c r="A47" s="314"/>
      <c r="B47" s="111" t="s">
        <v>70</v>
      </c>
      <c r="C47" s="316" t="s">
        <v>99</v>
      </c>
      <c r="D47" s="316"/>
      <c r="E47" s="154" t="s">
        <v>100</v>
      </c>
      <c r="F47" s="111" t="s">
        <v>69</v>
      </c>
      <c r="G47" s="127" t="s">
        <v>69</v>
      </c>
      <c r="H47" s="128" t="s">
        <v>69</v>
      </c>
      <c r="I47" s="113" t="s">
        <v>69</v>
      </c>
      <c r="J47" s="111" t="s">
        <v>69</v>
      </c>
      <c r="K47" s="127" t="s">
        <v>69</v>
      </c>
      <c r="L47" s="111" t="s">
        <v>69</v>
      </c>
      <c r="M47" s="111" t="s">
        <v>69</v>
      </c>
      <c r="N47" s="127" t="s">
        <v>69</v>
      </c>
      <c r="O47" s="127" t="s">
        <v>69</v>
      </c>
      <c r="P47" s="127" t="s">
        <v>69</v>
      </c>
      <c r="Q47" s="127" t="s">
        <v>69</v>
      </c>
      <c r="R47" s="127" t="s">
        <v>69</v>
      </c>
      <c r="S47" s="127" t="s">
        <v>69</v>
      </c>
      <c r="T47" s="127" t="s">
        <v>69</v>
      </c>
      <c r="U47" s="128" t="s">
        <v>69</v>
      </c>
      <c r="V47" s="129" t="s">
        <v>69</v>
      </c>
      <c r="W47" s="129"/>
      <c r="X47" s="130"/>
      <c r="Y47" s="130"/>
      <c r="Z47" s="130"/>
      <c r="AA47" s="130"/>
      <c r="AB47" s="130"/>
      <c r="AC47" s="130"/>
      <c r="AD47" s="130"/>
      <c r="AE47" s="130"/>
      <c r="AF47" s="130"/>
      <c r="AG47" s="130"/>
      <c r="AH47" s="130"/>
      <c r="AI47" s="130"/>
      <c r="AJ47" s="130"/>
      <c r="AK47" s="130" t="s">
        <v>69</v>
      </c>
      <c r="AL47" s="130" t="s">
        <v>69</v>
      </c>
      <c r="AM47" s="130" t="s">
        <v>69</v>
      </c>
      <c r="AN47" s="130" t="s">
        <v>69</v>
      </c>
      <c r="AO47" s="130" t="s">
        <v>69</v>
      </c>
      <c r="AP47" s="130" t="s">
        <v>69</v>
      </c>
      <c r="AQ47" s="130" t="s">
        <v>69</v>
      </c>
      <c r="AR47" s="130" t="s">
        <v>69</v>
      </c>
      <c r="AS47" s="130" t="s">
        <v>69</v>
      </c>
      <c r="AT47" s="130" t="s">
        <v>69</v>
      </c>
      <c r="AU47" s="130" t="s">
        <v>69</v>
      </c>
      <c r="AV47" s="130" t="s">
        <v>69</v>
      </c>
      <c r="AW47" s="130" t="s">
        <v>69</v>
      </c>
      <c r="AX47" s="115"/>
      <c r="AY47" s="115"/>
    </row>
    <row r="48" spans="1:51" ht="17.25">
      <c r="A48" s="314"/>
      <c r="B48" s="111" t="s">
        <v>73</v>
      </c>
      <c r="C48" s="132" t="s">
        <v>101</v>
      </c>
      <c r="D48" s="133" t="s">
        <v>69</v>
      </c>
      <c r="E48" s="154" t="s">
        <v>69</v>
      </c>
      <c r="F48" s="106">
        <v>0</v>
      </c>
      <c r="G48" s="106">
        <v>0</v>
      </c>
      <c r="H48" s="106">
        <v>0</v>
      </c>
      <c r="I48" s="106">
        <v>0</v>
      </c>
      <c r="J48" s="155">
        <v>1</v>
      </c>
      <c r="K48" s="155">
        <v>1</v>
      </c>
      <c r="L48" s="155">
        <v>1</v>
      </c>
      <c r="M48" s="155">
        <v>1</v>
      </c>
      <c r="N48" s="155">
        <v>1</v>
      </c>
      <c r="O48" s="155">
        <v>1</v>
      </c>
      <c r="P48" s="155">
        <v>1</v>
      </c>
      <c r="Q48" s="155">
        <v>1</v>
      </c>
      <c r="R48" s="155">
        <v>1</v>
      </c>
      <c r="S48" s="155">
        <v>1</v>
      </c>
      <c r="T48" s="155">
        <v>1</v>
      </c>
      <c r="U48" s="155">
        <v>1</v>
      </c>
      <c r="V48" s="155">
        <v>1</v>
      </c>
      <c r="W48" s="155">
        <v>1</v>
      </c>
      <c r="X48" s="130"/>
      <c r="Y48" s="130"/>
      <c r="Z48" s="130"/>
      <c r="AA48" s="130"/>
      <c r="AB48" s="130"/>
      <c r="AC48" s="130"/>
      <c r="AD48" s="130"/>
      <c r="AE48" s="130"/>
      <c r="AF48" s="130"/>
      <c r="AG48" s="130"/>
      <c r="AH48" s="130"/>
      <c r="AI48" s="130"/>
      <c r="AJ48" s="130"/>
      <c r="AK48" s="130" t="s">
        <v>69</v>
      </c>
      <c r="AL48" s="130" t="s">
        <v>69</v>
      </c>
      <c r="AM48" s="130" t="s">
        <v>69</v>
      </c>
      <c r="AN48" s="130" t="s">
        <v>69</v>
      </c>
      <c r="AO48" s="130" t="s">
        <v>69</v>
      </c>
      <c r="AP48" s="130" t="s">
        <v>69</v>
      </c>
      <c r="AQ48" s="130" t="s">
        <v>69</v>
      </c>
      <c r="AR48" s="130" t="s">
        <v>69</v>
      </c>
      <c r="AS48" s="130" t="s">
        <v>69</v>
      </c>
      <c r="AT48" s="130" t="s">
        <v>69</v>
      </c>
      <c r="AU48" s="130" t="s">
        <v>69</v>
      </c>
      <c r="AV48" s="130" t="s">
        <v>69</v>
      </c>
      <c r="AW48" s="130" t="s">
        <v>69</v>
      </c>
      <c r="AX48" s="115"/>
      <c r="AY48" s="115"/>
    </row>
    <row r="49" spans="1:51" ht="17.25">
      <c r="A49" s="314"/>
      <c r="B49" s="111" t="s">
        <v>75</v>
      </c>
      <c r="C49" s="316" t="s">
        <v>102</v>
      </c>
      <c r="D49" s="316"/>
      <c r="E49" s="156" t="s">
        <v>69</v>
      </c>
      <c r="F49" s="106">
        <v>0</v>
      </c>
      <c r="G49" s="106">
        <v>0</v>
      </c>
      <c r="H49" s="106">
        <v>0</v>
      </c>
      <c r="I49" s="106">
        <v>0</v>
      </c>
      <c r="J49" s="106">
        <v>0</v>
      </c>
      <c r="K49" s="106">
        <v>0</v>
      </c>
      <c r="L49" s="106">
        <v>0</v>
      </c>
      <c r="M49" s="106">
        <v>0</v>
      </c>
      <c r="N49" s="106">
        <v>0</v>
      </c>
      <c r="O49" s="106">
        <v>0</v>
      </c>
      <c r="P49" s="106">
        <v>0</v>
      </c>
      <c r="Q49" s="106">
        <v>0</v>
      </c>
      <c r="R49" s="106">
        <v>0</v>
      </c>
      <c r="S49" s="106">
        <v>0</v>
      </c>
      <c r="T49" s="106">
        <v>0</v>
      </c>
      <c r="U49" s="106">
        <v>0</v>
      </c>
      <c r="V49" s="106">
        <v>0</v>
      </c>
      <c r="W49" s="106">
        <v>0</v>
      </c>
      <c r="X49" s="130"/>
      <c r="Y49" s="130"/>
      <c r="Z49" s="130"/>
      <c r="AA49" s="130"/>
      <c r="AB49" s="130"/>
      <c r="AC49" s="130"/>
      <c r="AD49" s="130"/>
      <c r="AE49" s="130"/>
      <c r="AF49" s="130"/>
      <c r="AG49" s="130"/>
      <c r="AH49" s="130"/>
      <c r="AI49" s="130"/>
      <c r="AJ49" s="130"/>
      <c r="AK49" s="130" t="s">
        <v>69</v>
      </c>
      <c r="AL49" s="130" t="s">
        <v>69</v>
      </c>
      <c r="AM49" s="130" t="s">
        <v>69</v>
      </c>
      <c r="AN49" s="130" t="s">
        <v>69</v>
      </c>
      <c r="AO49" s="130" t="s">
        <v>69</v>
      </c>
      <c r="AP49" s="130" t="s">
        <v>69</v>
      </c>
      <c r="AQ49" s="130" t="s">
        <v>69</v>
      </c>
      <c r="AR49" s="130" t="s">
        <v>69</v>
      </c>
      <c r="AS49" s="130" t="s">
        <v>69</v>
      </c>
      <c r="AT49" s="130" t="s">
        <v>69</v>
      </c>
      <c r="AU49" s="130" t="s">
        <v>69</v>
      </c>
      <c r="AV49" s="130" t="s">
        <v>69</v>
      </c>
      <c r="AW49" s="130" t="s">
        <v>69</v>
      </c>
      <c r="AX49" s="115"/>
      <c r="AY49" s="115"/>
    </row>
    <row r="50" spans="1:51">
      <c r="A50" s="314"/>
      <c r="B50" s="111" t="s">
        <v>77</v>
      </c>
      <c r="C50" s="316" t="s">
        <v>103</v>
      </c>
      <c r="D50" s="316"/>
      <c r="E50" s="156" t="s">
        <v>69</v>
      </c>
      <c r="F50" s="106">
        <v>0</v>
      </c>
      <c r="G50" s="106">
        <v>0</v>
      </c>
      <c r="H50" s="106">
        <v>0</v>
      </c>
      <c r="I50" s="106">
        <v>0</v>
      </c>
      <c r="J50" s="106">
        <v>0</v>
      </c>
      <c r="K50" s="106">
        <v>0</v>
      </c>
      <c r="L50" s="106">
        <v>0</v>
      </c>
      <c r="M50" s="106">
        <v>0</v>
      </c>
      <c r="N50" s="106">
        <v>0</v>
      </c>
      <c r="O50" s="106">
        <v>0</v>
      </c>
      <c r="P50" s="106">
        <v>0</v>
      </c>
      <c r="Q50" s="106">
        <v>0</v>
      </c>
      <c r="R50" s="106">
        <v>0</v>
      </c>
      <c r="S50" s="106">
        <v>0</v>
      </c>
      <c r="T50" s="106">
        <v>0</v>
      </c>
      <c r="U50" s="106">
        <v>0</v>
      </c>
      <c r="V50" s="106">
        <v>0</v>
      </c>
      <c r="W50" s="106">
        <v>0</v>
      </c>
      <c r="X50" s="114"/>
      <c r="Y50" s="114"/>
      <c r="Z50" s="114"/>
      <c r="AA50" s="114"/>
      <c r="AB50" s="114"/>
      <c r="AC50" s="114"/>
      <c r="AD50" s="114"/>
      <c r="AE50" s="114"/>
      <c r="AF50" s="114"/>
      <c r="AG50" s="114"/>
      <c r="AH50" s="114"/>
      <c r="AI50" s="114"/>
      <c r="AJ50" s="114"/>
      <c r="AK50" s="114"/>
      <c r="AL50" s="114"/>
      <c r="AM50" s="114"/>
      <c r="AN50" s="114"/>
      <c r="AO50" s="114"/>
      <c r="AP50" s="114"/>
      <c r="AQ50" s="114"/>
      <c r="AR50" s="114"/>
      <c r="AS50" s="114"/>
      <c r="AT50" s="114"/>
      <c r="AU50" s="114"/>
      <c r="AV50" s="114"/>
      <c r="AW50" s="114"/>
      <c r="AX50" s="115"/>
      <c r="AY50" s="115"/>
    </row>
    <row r="51" spans="1:51">
      <c r="A51" s="314"/>
      <c r="B51" s="134" t="s">
        <v>84</v>
      </c>
      <c r="C51" s="324" t="s">
        <v>104</v>
      </c>
      <c r="D51" s="324"/>
      <c r="E51" s="157" t="s">
        <v>69</v>
      </c>
      <c r="F51" s="131">
        <v>0</v>
      </c>
      <c r="G51" s="131">
        <v>0</v>
      </c>
      <c r="H51" s="131">
        <v>0</v>
      </c>
      <c r="I51" s="131">
        <v>0</v>
      </c>
      <c r="J51" s="131">
        <v>0</v>
      </c>
      <c r="K51" s="131">
        <v>0</v>
      </c>
      <c r="L51" s="131">
        <v>0</v>
      </c>
      <c r="M51" s="131">
        <v>0</v>
      </c>
      <c r="N51" s="131">
        <v>0</v>
      </c>
      <c r="O51" s="131">
        <v>0</v>
      </c>
      <c r="P51" s="131">
        <v>0</v>
      </c>
      <c r="Q51" s="131">
        <v>0</v>
      </c>
      <c r="R51" s="131">
        <v>0</v>
      </c>
      <c r="S51" s="131">
        <v>0</v>
      </c>
      <c r="T51" s="131">
        <v>0</v>
      </c>
      <c r="U51" s="131">
        <v>0</v>
      </c>
      <c r="V51" s="131">
        <v>0</v>
      </c>
      <c r="W51" s="131">
        <v>0</v>
      </c>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5"/>
      <c r="AY51" s="115"/>
    </row>
    <row r="52" spans="1:51" ht="33.75" customHeight="1">
      <c r="A52" s="325">
        <v>6</v>
      </c>
      <c r="B52" s="326" t="s">
        <v>105</v>
      </c>
      <c r="C52" s="326"/>
      <c r="D52" s="327"/>
      <c r="E52" s="136" t="s">
        <v>106</v>
      </c>
      <c r="F52" s="134" t="s">
        <v>69</v>
      </c>
      <c r="G52" s="134" t="s">
        <v>69</v>
      </c>
      <c r="H52" s="134" t="s">
        <v>69</v>
      </c>
      <c r="I52" s="134" t="s">
        <v>69</v>
      </c>
      <c r="J52" s="134" t="s">
        <v>69</v>
      </c>
      <c r="K52" s="134" t="s">
        <v>69</v>
      </c>
      <c r="L52" s="134" t="s">
        <v>69</v>
      </c>
      <c r="M52" s="134" t="s">
        <v>69</v>
      </c>
      <c r="N52" s="134" t="s">
        <v>69</v>
      </c>
      <c r="O52" s="134" t="s">
        <v>69</v>
      </c>
      <c r="P52" s="134" t="s">
        <v>69</v>
      </c>
      <c r="Q52" s="134" t="s">
        <v>69</v>
      </c>
      <c r="R52" s="134" t="s">
        <v>69</v>
      </c>
      <c r="S52" s="134" t="s">
        <v>69</v>
      </c>
      <c r="T52" s="134" t="s">
        <v>69</v>
      </c>
      <c r="U52" s="114" t="s">
        <v>69</v>
      </c>
      <c r="V52" s="119"/>
      <c r="W52" s="119"/>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5"/>
      <c r="AY52" s="115"/>
    </row>
    <row r="53" spans="1:51">
      <c r="A53" s="325"/>
      <c r="B53" s="137" t="s">
        <v>70</v>
      </c>
      <c r="C53" s="328" t="s">
        <v>79</v>
      </c>
      <c r="D53" s="329"/>
      <c r="E53" s="330" t="s">
        <v>107</v>
      </c>
      <c r="F53" s="158" t="s">
        <v>38</v>
      </c>
      <c r="G53" s="158" t="s">
        <v>38</v>
      </c>
      <c r="H53" s="158" t="s">
        <v>38</v>
      </c>
      <c r="I53" s="158" t="s">
        <v>38</v>
      </c>
      <c r="J53" s="158" t="s">
        <v>38</v>
      </c>
      <c r="K53" s="158" t="s">
        <v>38</v>
      </c>
      <c r="L53" s="158" t="s">
        <v>38</v>
      </c>
      <c r="M53" s="158" t="s">
        <v>38</v>
      </c>
      <c r="N53" s="158" t="s">
        <v>38</v>
      </c>
      <c r="O53" s="158" t="s">
        <v>38</v>
      </c>
      <c r="P53" s="158" t="s">
        <v>38</v>
      </c>
      <c r="Q53" s="158" t="s">
        <v>38</v>
      </c>
      <c r="R53" s="158" t="s">
        <v>38</v>
      </c>
      <c r="S53" s="158" t="s">
        <v>38</v>
      </c>
      <c r="T53" s="158" t="s">
        <v>38</v>
      </c>
      <c r="U53" s="159" t="s">
        <v>38</v>
      </c>
      <c r="V53" s="135" t="s">
        <v>38</v>
      </c>
      <c r="W53" s="135" t="s">
        <v>38</v>
      </c>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5"/>
      <c r="AY53" s="115"/>
    </row>
    <row r="54" spans="1:51">
      <c r="A54" s="325"/>
      <c r="B54" s="137" t="s">
        <v>73</v>
      </c>
      <c r="C54" s="328" t="s">
        <v>80</v>
      </c>
      <c r="D54" s="329"/>
      <c r="E54" s="330"/>
      <c r="F54" s="158" t="s">
        <v>38</v>
      </c>
      <c r="G54" s="158" t="s">
        <v>38</v>
      </c>
      <c r="H54" s="158" t="s">
        <v>38</v>
      </c>
      <c r="I54" s="158" t="s">
        <v>38</v>
      </c>
      <c r="J54" s="158" t="s">
        <v>38</v>
      </c>
      <c r="K54" s="158" t="s">
        <v>38</v>
      </c>
      <c r="L54" s="158" t="s">
        <v>38</v>
      </c>
      <c r="M54" s="158" t="s">
        <v>38</v>
      </c>
      <c r="N54" s="158" t="s">
        <v>38</v>
      </c>
      <c r="O54" s="158" t="s">
        <v>38</v>
      </c>
      <c r="P54" s="158" t="s">
        <v>38</v>
      </c>
      <c r="Q54" s="158" t="s">
        <v>38</v>
      </c>
      <c r="R54" s="158" t="s">
        <v>38</v>
      </c>
      <c r="S54" s="158" t="s">
        <v>38</v>
      </c>
      <c r="T54" s="158" t="s">
        <v>38</v>
      </c>
      <c r="U54" s="158" t="s">
        <v>38</v>
      </c>
      <c r="V54" s="158" t="s">
        <v>38</v>
      </c>
      <c r="W54" s="158" t="s">
        <v>38</v>
      </c>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5"/>
      <c r="AY54" s="115"/>
    </row>
    <row r="55" spans="1:51">
      <c r="A55" s="325"/>
      <c r="B55" s="137" t="s">
        <v>75</v>
      </c>
      <c r="C55" s="328" t="s">
        <v>82</v>
      </c>
      <c r="D55" s="329"/>
      <c r="E55" s="330"/>
      <c r="F55" s="158" t="s">
        <v>38</v>
      </c>
      <c r="G55" s="158" t="s">
        <v>38</v>
      </c>
      <c r="H55" s="158" t="s">
        <v>38</v>
      </c>
      <c r="I55" s="158" t="s">
        <v>38</v>
      </c>
      <c r="J55" s="158" t="s">
        <v>38</v>
      </c>
      <c r="K55" s="158" t="s">
        <v>38</v>
      </c>
      <c r="L55" s="158" t="s">
        <v>38</v>
      </c>
      <c r="M55" s="158" t="s">
        <v>38</v>
      </c>
      <c r="N55" s="158" t="s">
        <v>38</v>
      </c>
      <c r="O55" s="158" t="s">
        <v>38</v>
      </c>
      <c r="P55" s="158" t="s">
        <v>38</v>
      </c>
      <c r="Q55" s="158" t="s">
        <v>38</v>
      </c>
      <c r="R55" s="158" t="s">
        <v>38</v>
      </c>
      <c r="S55" s="158" t="s">
        <v>38</v>
      </c>
      <c r="T55" s="158" t="s">
        <v>38</v>
      </c>
      <c r="U55" s="158" t="s">
        <v>38</v>
      </c>
      <c r="V55" s="158" t="s">
        <v>38</v>
      </c>
      <c r="W55" s="158" t="s">
        <v>38</v>
      </c>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5"/>
      <c r="AY55" s="115"/>
    </row>
    <row r="56" spans="1:51">
      <c r="A56" s="325"/>
      <c r="B56" s="137" t="s">
        <v>77</v>
      </c>
      <c r="C56" s="328" t="s">
        <v>83</v>
      </c>
      <c r="D56" s="329"/>
      <c r="E56" s="330"/>
      <c r="F56" s="158" t="s">
        <v>38</v>
      </c>
      <c r="G56" s="158" t="s">
        <v>38</v>
      </c>
      <c r="H56" s="158" t="s">
        <v>38</v>
      </c>
      <c r="I56" s="158" t="s">
        <v>38</v>
      </c>
      <c r="J56" s="158" t="s">
        <v>38</v>
      </c>
      <c r="K56" s="158" t="s">
        <v>38</v>
      </c>
      <c r="L56" s="158" t="s">
        <v>38</v>
      </c>
      <c r="M56" s="158" t="s">
        <v>38</v>
      </c>
      <c r="N56" s="158" t="s">
        <v>38</v>
      </c>
      <c r="O56" s="158" t="s">
        <v>38</v>
      </c>
      <c r="P56" s="158" t="s">
        <v>38</v>
      </c>
      <c r="Q56" s="158" t="s">
        <v>38</v>
      </c>
      <c r="R56" s="158" t="s">
        <v>38</v>
      </c>
      <c r="S56" s="158" t="s">
        <v>38</v>
      </c>
      <c r="T56" s="158" t="s">
        <v>38</v>
      </c>
      <c r="U56" s="159" t="s">
        <v>38</v>
      </c>
      <c r="V56" s="135" t="s">
        <v>38</v>
      </c>
      <c r="W56" s="135" t="s">
        <v>38</v>
      </c>
      <c r="X56" s="114"/>
      <c r="Y56" s="114"/>
      <c r="Z56" s="114"/>
      <c r="AA56" s="114"/>
      <c r="AB56" s="114"/>
      <c r="AC56" s="114"/>
      <c r="AD56" s="114"/>
      <c r="AE56" s="114"/>
      <c r="AF56" s="114"/>
      <c r="AG56" s="114"/>
      <c r="AH56" s="114"/>
      <c r="AI56" s="114"/>
      <c r="AJ56" s="114"/>
      <c r="AK56" s="114"/>
      <c r="AL56" s="114"/>
      <c r="AM56" s="114"/>
      <c r="AN56" s="114"/>
      <c r="AO56" s="114"/>
      <c r="AP56" s="114"/>
      <c r="AQ56" s="114"/>
      <c r="AR56" s="114"/>
      <c r="AS56" s="114"/>
      <c r="AT56" s="114"/>
      <c r="AU56" s="114"/>
      <c r="AV56" s="114"/>
      <c r="AW56" s="114"/>
      <c r="AX56" s="115"/>
      <c r="AY56" s="115"/>
    </row>
    <row r="57" spans="1:51">
      <c r="A57" s="325"/>
      <c r="B57" s="137" t="s">
        <v>84</v>
      </c>
      <c r="C57" s="328" t="s">
        <v>85</v>
      </c>
      <c r="D57" s="329"/>
      <c r="E57" s="330"/>
      <c r="F57" s="158" t="s">
        <v>38</v>
      </c>
      <c r="G57" s="158" t="s">
        <v>38</v>
      </c>
      <c r="H57" s="158" t="s">
        <v>38</v>
      </c>
      <c r="I57" s="158" t="s">
        <v>38</v>
      </c>
      <c r="J57" s="158" t="s">
        <v>38</v>
      </c>
      <c r="K57" s="158" t="s">
        <v>38</v>
      </c>
      <c r="L57" s="158" t="s">
        <v>38</v>
      </c>
      <c r="M57" s="158" t="s">
        <v>38</v>
      </c>
      <c r="N57" s="158" t="s">
        <v>38</v>
      </c>
      <c r="O57" s="158" t="s">
        <v>38</v>
      </c>
      <c r="P57" s="158" t="s">
        <v>38</v>
      </c>
      <c r="Q57" s="158" t="s">
        <v>38</v>
      </c>
      <c r="R57" s="158" t="s">
        <v>38</v>
      </c>
      <c r="S57" s="158" t="s">
        <v>38</v>
      </c>
      <c r="T57" s="158" t="s">
        <v>38</v>
      </c>
      <c r="U57" s="159" t="s">
        <v>38</v>
      </c>
      <c r="V57" s="135" t="s">
        <v>38</v>
      </c>
      <c r="W57" s="135" t="s">
        <v>38</v>
      </c>
      <c r="X57" s="114" t="s">
        <v>172</v>
      </c>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c r="AV57" s="114"/>
      <c r="AW57" s="114"/>
      <c r="AX57" s="115"/>
      <c r="AY57" s="115"/>
    </row>
    <row r="58" spans="1:51">
      <c r="A58" s="325"/>
      <c r="B58" s="137" t="s">
        <v>86</v>
      </c>
      <c r="C58" s="328" t="s">
        <v>87</v>
      </c>
      <c r="D58" s="329"/>
      <c r="E58" s="330"/>
      <c r="F58" s="158" t="s">
        <v>38</v>
      </c>
      <c r="G58" s="158" t="s">
        <v>38</v>
      </c>
      <c r="H58" s="158" t="s">
        <v>38</v>
      </c>
      <c r="I58" s="158" t="s">
        <v>38</v>
      </c>
      <c r="J58" s="158" t="s">
        <v>38</v>
      </c>
      <c r="K58" s="158" t="s">
        <v>38</v>
      </c>
      <c r="L58" s="158" t="s">
        <v>38</v>
      </c>
      <c r="M58" s="158" t="s">
        <v>38</v>
      </c>
      <c r="N58" s="158" t="s">
        <v>38</v>
      </c>
      <c r="O58" s="158" t="s">
        <v>38</v>
      </c>
      <c r="P58" s="158" t="s">
        <v>38</v>
      </c>
      <c r="Q58" s="158" t="s">
        <v>38</v>
      </c>
      <c r="R58" s="158" t="s">
        <v>38</v>
      </c>
      <c r="S58" s="158" t="s">
        <v>38</v>
      </c>
      <c r="T58" s="158" t="s">
        <v>38</v>
      </c>
      <c r="U58" s="159" t="s">
        <v>38</v>
      </c>
      <c r="V58" s="135" t="s">
        <v>38</v>
      </c>
      <c r="W58" s="135" t="s">
        <v>38</v>
      </c>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5"/>
      <c r="AY58" s="115"/>
    </row>
    <row r="59" spans="1:51">
      <c r="A59" s="325"/>
      <c r="B59" s="137" t="s">
        <v>89</v>
      </c>
      <c r="C59" s="328" t="s">
        <v>90</v>
      </c>
      <c r="D59" s="329"/>
      <c r="E59" s="330"/>
      <c r="F59" s="158" t="s">
        <v>38</v>
      </c>
      <c r="G59" s="158" t="s">
        <v>38</v>
      </c>
      <c r="H59" s="158" t="s">
        <v>38</v>
      </c>
      <c r="I59" s="158" t="s">
        <v>38</v>
      </c>
      <c r="J59" s="158" t="s">
        <v>38</v>
      </c>
      <c r="K59" s="158" t="s">
        <v>38</v>
      </c>
      <c r="L59" s="158" t="s">
        <v>38</v>
      </c>
      <c r="M59" s="158" t="s">
        <v>38</v>
      </c>
      <c r="N59" s="158" t="s">
        <v>38</v>
      </c>
      <c r="O59" s="158" t="s">
        <v>38</v>
      </c>
      <c r="P59" s="158" t="s">
        <v>38</v>
      </c>
      <c r="Q59" s="158" t="s">
        <v>38</v>
      </c>
      <c r="R59" s="158" t="s">
        <v>38</v>
      </c>
      <c r="S59" s="158" t="s">
        <v>38</v>
      </c>
      <c r="T59" s="158" t="s">
        <v>38</v>
      </c>
      <c r="U59" s="159" t="s">
        <v>38</v>
      </c>
      <c r="V59" s="135" t="s">
        <v>38</v>
      </c>
      <c r="W59" s="135" t="s">
        <v>38</v>
      </c>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5"/>
      <c r="AY59" s="115"/>
    </row>
    <row r="60" spans="1:51">
      <c r="A60" s="325"/>
      <c r="B60" s="137" t="s">
        <v>91</v>
      </c>
      <c r="C60" s="328" t="s">
        <v>92</v>
      </c>
      <c r="D60" s="332"/>
      <c r="E60" s="330"/>
      <c r="F60" s="158" t="s">
        <v>38</v>
      </c>
      <c r="G60" s="158" t="s">
        <v>38</v>
      </c>
      <c r="H60" s="158" t="s">
        <v>38</v>
      </c>
      <c r="I60" s="158" t="s">
        <v>38</v>
      </c>
      <c r="J60" s="158" t="s">
        <v>38</v>
      </c>
      <c r="K60" s="158" t="s">
        <v>38</v>
      </c>
      <c r="L60" s="158" t="s">
        <v>38</v>
      </c>
      <c r="M60" s="158" t="s">
        <v>38</v>
      </c>
      <c r="N60" s="158" t="s">
        <v>38</v>
      </c>
      <c r="O60" s="158" t="s">
        <v>38</v>
      </c>
      <c r="P60" s="158" t="s">
        <v>38</v>
      </c>
      <c r="Q60" s="158" t="s">
        <v>38</v>
      </c>
      <c r="R60" s="158" t="s">
        <v>38</v>
      </c>
      <c r="S60" s="158" t="s">
        <v>38</v>
      </c>
      <c r="T60" s="158" t="s">
        <v>38</v>
      </c>
      <c r="U60" s="158" t="s">
        <v>38</v>
      </c>
      <c r="V60" s="158" t="s">
        <v>38</v>
      </c>
      <c r="W60" s="158" t="s">
        <v>38</v>
      </c>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5"/>
      <c r="AY60" s="115"/>
    </row>
    <row r="61" spans="1:51">
      <c r="A61" s="325"/>
      <c r="B61" s="137" t="s">
        <v>93</v>
      </c>
      <c r="C61" s="328" t="s">
        <v>94</v>
      </c>
      <c r="D61" s="332"/>
      <c r="E61" s="331"/>
      <c r="F61" s="158" t="s">
        <v>38</v>
      </c>
      <c r="G61" s="158" t="s">
        <v>38</v>
      </c>
      <c r="H61" s="158" t="s">
        <v>38</v>
      </c>
      <c r="I61" s="158" t="s">
        <v>38</v>
      </c>
      <c r="J61" s="158" t="s">
        <v>38</v>
      </c>
      <c r="K61" s="158" t="s">
        <v>38</v>
      </c>
      <c r="L61" s="158" t="s">
        <v>38</v>
      </c>
      <c r="M61" s="158" t="s">
        <v>38</v>
      </c>
      <c r="N61" s="158" t="s">
        <v>38</v>
      </c>
      <c r="O61" s="158" t="s">
        <v>38</v>
      </c>
      <c r="P61" s="158" t="s">
        <v>38</v>
      </c>
      <c r="Q61" s="158" t="s">
        <v>38</v>
      </c>
      <c r="R61" s="158" t="s">
        <v>38</v>
      </c>
      <c r="S61" s="158" t="s">
        <v>38</v>
      </c>
      <c r="T61" s="158" t="s">
        <v>38</v>
      </c>
      <c r="U61" s="158" t="s">
        <v>38</v>
      </c>
      <c r="V61" s="158" t="s">
        <v>38</v>
      </c>
      <c r="W61" s="158" t="s">
        <v>38</v>
      </c>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4"/>
      <c r="AX61" s="115"/>
      <c r="AY61" s="115"/>
    </row>
    <row r="62" spans="1:51">
      <c r="A62" s="116"/>
      <c r="B62" s="114"/>
      <c r="C62" s="139"/>
      <c r="D62" s="140"/>
      <c r="E62" s="141"/>
      <c r="F62" s="114"/>
      <c r="G62" s="114"/>
      <c r="H62" s="114"/>
      <c r="I62" s="114"/>
      <c r="J62" s="114"/>
      <c r="K62" s="114"/>
      <c r="L62" s="114"/>
      <c r="M62" s="114"/>
      <c r="N62" s="114"/>
      <c r="O62" s="114"/>
      <c r="P62" s="114"/>
      <c r="Q62" s="114"/>
      <c r="R62" s="114"/>
      <c r="S62" s="114"/>
      <c r="T62" s="114"/>
      <c r="U62" s="114"/>
      <c r="V62" s="111"/>
      <c r="W62" s="111"/>
      <c r="X62" s="114"/>
      <c r="Y62" s="114"/>
      <c r="Z62" s="114"/>
      <c r="AA62" s="114"/>
      <c r="AB62" s="114"/>
      <c r="AC62" s="114"/>
      <c r="AD62" s="114"/>
      <c r="AE62" s="114"/>
      <c r="AF62" s="114"/>
      <c r="AG62" s="114"/>
      <c r="AH62" s="114"/>
      <c r="AI62" s="114"/>
      <c r="AJ62" s="114"/>
      <c r="AK62" s="114"/>
      <c r="AL62" s="114"/>
      <c r="AM62" s="114"/>
      <c r="AN62" s="114"/>
      <c r="AO62" s="114"/>
      <c r="AP62" s="114"/>
      <c r="AQ62" s="114"/>
      <c r="AR62" s="114"/>
      <c r="AS62" s="114"/>
      <c r="AT62" s="114"/>
      <c r="AU62" s="114"/>
      <c r="AV62" s="114"/>
      <c r="AW62" s="114"/>
      <c r="AX62" s="115"/>
      <c r="AY62" s="115"/>
    </row>
    <row r="63" spans="1:51" s="162" customFormat="1" ht="16.5" customHeight="1">
      <c r="A63" s="381">
        <v>5</v>
      </c>
      <c r="B63" s="384" t="s">
        <v>161</v>
      </c>
      <c r="C63" s="385"/>
      <c r="D63" s="386"/>
      <c r="E63" s="403" t="s">
        <v>98</v>
      </c>
      <c r="F63" s="142"/>
      <c r="G63" s="142"/>
      <c r="H63" s="142"/>
      <c r="I63" s="142"/>
      <c r="J63" s="142"/>
      <c r="K63" s="142"/>
      <c r="L63" s="142"/>
      <c r="M63" s="142"/>
      <c r="N63" s="142"/>
      <c r="O63" s="142"/>
      <c r="P63" s="142"/>
      <c r="Q63" s="142"/>
      <c r="R63" s="142"/>
      <c r="S63" s="142"/>
      <c r="T63" s="142"/>
      <c r="U63" s="142"/>
      <c r="V63" s="142"/>
      <c r="W63" s="142"/>
      <c r="X63" s="160"/>
      <c r="Y63" s="160"/>
      <c r="Z63" s="160"/>
      <c r="AA63" s="160"/>
      <c r="AB63" s="160"/>
      <c r="AC63" s="161"/>
    </row>
    <row r="64" spans="1:51" s="162" customFormat="1">
      <c r="A64" s="382"/>
      <c r="B64" s="142"/>
      <c r="C64" s="390" t="s">
        <v>162</v>
      </c>
      <c r="D64" s="391"/>
      <c r="E64" s="404"/>
      <c r="F64" s="142">
        <v>0</v>
      </c>
      <c r="G64" s="142">
        <v>0</v>
      </c>
      <c r="H64" s="142">
        <v>0</v>
      </c>
      <c r="I64" s="142">
        <v>0</v>
      </c>
      <c r="J64" s="146">
        <v>1</v>
      </c>
      <c r="K64" s="146">
        <v>1</v>
      </c>
      <c r="L64" s="146">
        <v>1</v>
      </c>
      <c r="M64" s="146">
        <v>1</v>
      </c>
      <c r="N64" s="146">
        <v>1</v>
      </c>
      <c r="O64" s="146">
        <v>1</v>
      </c>
      <c r="P64" s="146">
        <v>1</v>
      </c>
      <c r="Q64" s="146">
        <v>1</v>
      </c>
      <c r="R64" s="146">
        <v>1</v>
      </c>
      <c r="S64" s="146">
        <v>1</v>
      </c>
      <c r="T64" s="146">
        <v>1</v>
      </c>
      <c r="U64" s="146">
        <v>1</v>
      </c>
      <c r="V64" s="146">
        <v>1</v>
      </c>
      <c r="W64" s="146">
        <v>1</v>
      </c>
      <c r="X64" s="160"/>
      <c r="Y64" s="160"/>
      <c r="Z64" s="160"/>
      <c r="AA64" s="160"/>
      <c r="AB64" s="160"/>
      <c r="AC64" s="161"/>
    </row>
    <row r="65" spans="1:29" s="162" customFormat="1">
      <c r="A65" s="382"/>
      <c r="B65" s="142"/>
      <c r="C65" s="390" t="s">
        <v>163</v>
      </c>
      <c r="D65" s="391"/>
      <c r="E65" s="404"/>
      <c r="F65" s="142">
        <v>0</v>
      </c>
      <c r="G65" s="142">
        <v>0</v>
      </c>
      <c r="H65" s="142">
        <v>0</v>
      </c>
      <c r="I65" s="142">
        <v>0</v>
      </c>
      <c r="J65" s="142">
        <v>0</v>
      </c>
      <c r="K65" s="142">
        <v>0</v>
      </c>
      <c r="L65" s="142">
        <v>0</v>
      </c>
      <c r="M65" s="142">
        <v>0</v>
      </c>
      <c r="N65" s="142">
        <v>0</v>
      </c>
      <c r="O65" s="142">
        <v>0</v>
      </c>
      <c r="P65" s="142">
        <v>0</v>
      </c>
      <c r="Q65" s="142">
        <v>0</v>
      </c>
      <c r="R65" s="142">
        <v>0</v>
      </c>
      <c r="S65" s="142">
        <v>0</v>
      </c>
      <c r="T65" s="142">
        <v>0</v>
      </c>
      <c r="U65" s="142">
        <v>0</v>
      </c>
      <c r="V65" s="142">
        <v>0</v>
      </c>
      <c r="W65" s="142">
        <v>0</v>
      </c>
      <c r="X65" s="160"/>
      <c r="Y65" s="160"/>
      <c r="Z65" s="160"/>
      <c r="AA65" s="160"/>
      <c r="AB65" s="160"/>
      <c r="AC65" s="161"/>
    </row>
    <row r="66" spans="1:29" s="162" customFormat="1">
      <c r="A66" s="382"/>
      <c r="B66" s="142"/>
      <c r="C66" s="390" t="s">
        <v>164</v>
      </c>
      <c r="D66" s="391"/>
      <c r="E66" s="404"/>
      <c r="F66" s="142">
        <v>0</v>
      </c>
      <c r="G66" s="142">
        <v>0</v>
      </c>
      <c r="H66" s="142">
        <v>0</v>
      </c>
      <c r="I66" s="142">
        <v>0</v>
      </c>
      <c r="J66" s="142">
        <v>0</v>
      </c>
      <c r="K66" s="142">
        <v>0</v>
      </c>
      <c r="L66" s="142">
        <v>0</v>
      </c>
      <c r="M66" s="142">
        <v>0</v>
      </c>
      <c r="N66" s="142">
        <v>0</v>
      </c>
      <c r="O66" s="142">
        <v>0</v>
      </c>
      <c r="P66" s="142">
        <v>0</v>
      </c>
      <c r="Q66" s="142">
        <v>0</v>
      </c>
      <c r="R66" s="142">
        <v>0</v>
      </c>
      <c r="S66" s="142">
        <v>0</v>
      </c>
      <c r="T66" s="142">
        <v>0</v>
      </c>
      <c r="U66" s="142">
        <v>0</v>
      </c>
      <c r="V66" s="142">
        <v>0</v>
      </c>
      <c r="W66" s="142">
        <v>0</v>
      </c>
      <c r="X66" s="160"/>
      <c r="Y66" s="160"/>
      <c r="Z66" s="160"/>
      <c r="AA66" s="160"/>
      <c r="AB66" s="160"/>
      <c r="AC66" s="161"/>
    </row>
    <row r="67" spans="1:29" s="162" customFormat="1">
      <c r="A67" s="383"/>
      <c r="B67" s="142"/>
      <c r="C67" s="384" t="s">
        <v>104</v>
      </c>
      <c r="D67" s="386"/>
      <c r="E67" s="405"/>
      <c r="F67" s="142"/>
      <c r="G67" s="142"/>
      <c r="H67" s="142"/>
      <c r="I67" s="142"/>
      <c r="J67" s="142"/>
      <c r="K67" s="142"/>
      <c r="L67" s="142"/>
      <c r="M67" s="142"/>
      <c r="N67" s="142"/>
      <c r="O67" s="142"/>
      <c r="P67" s="142"/>
      <c r="Q67" s="142"/>
      <c r="R67" s="142"/>
      <c r="S67" s="142"/>
      <c r="T67" s="142"/>
      <c r="U67" s="142"/>
      <c r="V67" s="142"/>
      <c r="W67" s="142"/>
      <c r="X67" s="160"/>
      <c r="Y67" s="160"/>
      <c r="Z67" s="160"/>
      <c r="AA67" s="160"/>
      <c r="AB67" s="160"/>
      <c r="AC67" s="161"/>
    </row>
    <row r="68" spans="1:29" s="162" customFormat="1" ht="20.25" customHeight="1">
      <c r="A68" s="381">
        <v>6</v>
      </c>
      <c r="B68" s="384" t="s">
        <v>165</v>
      </c>
      <c r="C68" s="385"/>
      <c r="D68" s="386"/>
      <c r="E68" s="403" t="s">
        <v>166</v>
      </c>
      <c r="F68" s="163" t="s">
        <v>38</v>
      </c>
      <c r="G68" s="163" t="s">
        <v>38</v>
      </c>
      <c r="H68" s="163" t="s">
        <v>38</v>
      </c>
      <c r="I68" s="163" t="s">
        <v>38</v>
      </c>
      <c r="J68" s="163" t="s">
        <v>38</v>
      </c>
      <c r="K68" s="163" t="s">
        <v>38</v>
      </c>
      <c r="L68" s="163" t="s">
        <v>38</v>
      </c>
      <c r="M68" s="163" t="s">
        <v>38</v>
      </c>
      <c r="N68" s="163" t="s">
        <v>38</v>
      </c>
      <c r="O68" s="163" t="s">
        <v>38</v>
      </c>
      <c r="P68" s="163" t="s">
        <v>38</v>
      </c>
      <c r="Q68" s="163" t="s">
        <v>38</v>
      </c>
      <c r="R68" s="163" t="s">
        <v>38</v>
      </c>
      <c r="S68" s="163" t="s">
        <v>38</v>
      </c>
      <c r="T68" s="163" t="s">
        <v>38</v>
      </c>
      <c r="U68" s="163" t="s">
        <v>38</v>
      </c>
      <c r="V68" s="163" t="s">
        <v>38</v>
      </c>
      <c r="W68" s="163" t="s">
        <v>38</v>
      </c>
      <c r="X68" s="160"/>
      <c r="Y68" s="160"/>
      <c r="Z68" s="160"/>
      <c r="AA68" s="160"/>
      <c r="AB68" s="160"/>
      <c r="AC68" s="161"/>
    </row>
    <row r="69" spans="1:29" s="162" customFormat="1" ht="20.25" customHeight="1">
      <c r="A69" s="382"/>
      <c r="B69" s="142"/>
      <c r="C69" s="390" t="s">
        <v>167</v>
      </c>
      <c r="D69" s="391"/>
      <c r="E69" s="404"/>
      <c r="F69" s="163" t="s">
        <v>38</v>
      </c>
      <c r="G69" s="163" t="s">
        <v>38</v>
      </c>
      <c r="H69" s="163" t="s">
        <v>38</v>
      </c>
      <c r="I69" s="163" t="s">
        <v>38</v>
      </c>
      <c r="J69" s="163" t="s">
        <v>38</v>
      </c>
      <c r="K69" s="163" t="s">
        <v>38</v>
      </c>
      <c r="L69" s="163" t="s">
        <v>38</v>
      </c>
      <c r="M69" s="163" t="s">
        <v>38</v>
      </c>
      <c r="N69" s="163" t="s">
        <v>38</v>
      </c>
      <c r="O69" s="163" t="s">
        <v>38</v>
      </c>
      <c r="P69" s="163" t="s">
        <v>38</v>
      </c>
      <c r="Q69" s="163" t="s">
        <v>38</v>
      </c>
      <c r="R69" s="163" t="s">
        <v>38</v>
      </c>
      <c r="S69" s="163" t="s">
        <v>38</v>
      </c>
      <c r="T69" s="163" t="s">
        <v>38</v>
      </c>
      <c r="U69" s="163" t="s">
        <v>38</v>
      </c>
      <c r="V69" s="163" t="s">
        <v>38</v>
      </c>
      <c r="W69" s="163" t="s">
        <v>38</v>
      </c>
      <c r="X69" s="160"/>
      <c r="Y69" s="160"/>
      <c r="Z69" s="160"/>
      <c r="AA69" s="160"/>
      <c r="AB69" s="160"/>
      <c r="AC69" s="161"/>
    </row>
    <row r="70" spans="1:29" s="162" customFormat="1" ht="20.25" customHeight="1">
      <c r="A70" s="382"/>
      <c r="B70" s="142"/>
      <c r="C70" s="390" t="s">
        <v>168</v>
      </c>
      <c r="D70" s="391"/>
      <c r="E70" s="404"/>
      <c r="F70" s="163" t="s">
        <v>38</v>
      </c>
      <c r="G70" s="163" t="s">
        <v>38</v>
      </c>
      <c r="H70" s="163" t="s">
        <v>38</v>
      </c>
      <c r="I70" s="163" t="s">
        <v>38</v>
      </c>
      <c r="J70" s="163" t="s">
        <v>38</v>
      </c>
      <c r="K70" s="163" t="s">
        <v>38</v>
      </c>
      <c r="L70" s="163" t="s">
        <v>38</v>
      </c>
      <c r="M70" s="163" t="s">
        <v>38</v>
      </c>
      <c r="N70" s="163" t="s">
        <v>38</v>
      </c>
      <c r="O70" s="163" t="s">
        <v>38</v>
      </c>
      <c r="P70" s="163" t="s">
        <v>38</v>
      </c>
      <c r="Q70" s="163" t="s">
        <v>38</v>
      </c>
      <c r="R70" s="163" t="s">
        <v>38</v>
      </c>
      <c r="S70" s="163" t="s">
        <v>38</v>
      </c>
      <c r="T70" s="163" t="s">
        <v>38</v>
      </c>
      <c r="U70" s="163" t="s">
        <v>38</v>
      </c>
      <c r="V70" s="163" t="s">
        <v>38</v>
      </c>
      <c r="W70" s="163" t="s">
        <v>38</v>
      </c>
      <c r="X70" s="160"/>
      <c r="Y70" s="160"/>
      <c r="Z70" s="160"/>
      <c r="AA70" s="160"/>
      <c r="AB70" s="160"/>
      <c r="AC70" s="161"/>
    </row>
    <row r="71" spans="1:29" s="162" customFormat="1">
      <c r="A71" s="382"/>
      <c r="B71" s="142"/>
      <c r="C71" s="390" t="s">
        <v>169</v>
      </c>
      <c r="D71" s="391"/>
      <c r="E71" s="404"/>
      <c r="F71" s="400" t="s">
        <v>173</v>
      </c>
      <c r="G71" s="401"/>
      <c r="H71" s="401"/>
      <c r="I71" s="401"/>
      <c r="J71" s="401"/>
      <c r="K71" s="401"/>
      <c r="L71" s="401"/>
      <c r="M71" s="401"/>
      <c r="N71" s="401"/>
      <c r="O71" s="401"/>
      <c r="P71" s="401"/>
      <c r="Q71" s="401"/>
      <c r="R71" s="401"/>
      <c r="S71" s="401"/>
      <c r="T71" s="401"/>
      <c r="U71" s="401"/>
      <c r="V71" s="401"/>
      <c r="W71" s="402"/>
      <c r="X71" s="160"/>
      <c r="Y71" s="160"/>
      <c r="Z71" s="160"/>
      <c r="AA71" s="160"/>
      <c r="AB71" s="160"/>
      <c r="AC71" s="161"/>
    </row>
    <row r="72" spans="1:29" s="162" customFormat="1">
      <c r="A72" s="382"/>
      <c r="B72" s="142"/>
      <c r="C72" s="390" t="s">
        <v>170</v>
      </c>
      <c r="D72" s="391"/>
      <c r="E72" s="404"/>
      <c r="F72" s="164" t="s">
        <v>174</v>
      </c>
      <c r="G72" s="164" t="s">
        <v>174</v>
      </c>
      <c r="H72" s="164" t="s">
        <v>174</v>
      </c>
      <c r="I72" s="164" t="s">
        <v>174</v>
      </c>
      <c r="J72" s="164" t="s">
        <v>174</v>
      </c>
      <c r="K72" s="164" t="s">
        <v>174</v>
      </c>
      <c r="L72" s="164" t="s">
        <v>174</v>
      </c>
      <c r="M72" s="164" t="s">
        <v>174</v>
      </c>
      <c r="N72" s="164" t="s">
        <v>174</v>
      </c>
      <c r="O72" s="164" t="s">
        <v>174</v>
      </c>
      <c r="P72" s="164" t="s">
        <v>174</v>
      </c>
      <c r="Q72" s="164" t="s">
        <v>174</v>
      </c>
      <c r="R72" s="164" t="s">
        <v>174</v>
      </c>
      <c r="S72" s="164" t="s">
        <v>174</v>
      </c>
      <c r="T72" s="164" t="s">
        <v>174</v>
      </c>
      <c r="U72" s="164" t="s">
        <v>174</v>
      </c>
      <c r="V72" s="164" t="s">
        <v>174</v>
      </c>
      <c r="W72" s="164" t="s">
        <v>174</v>
      </c>
      <c r="X72" s="160"/>
      <c r="Y72" s="160"/>
      <c r="Z72" s="160"/>
      <c r="AA72" s="160"/>
      <c r="AB72" s="160"/>
      <c r="AC72" s="161"/>
    </row>
    <row r="73" spans="1:29" s="162" customFormat="1">
      <c r="A73" s="383"/>
      <c r="B73" s="142"/>
      <c r="C73" s="384" t="s">
        <v>104</v>
      </c>
      <c r="D73" s="386"/>
      <c r="E73" s="405"/>
      <c r="F73" s="164" t="s">
        <v>174</v>
      </c>
      <c r="G73" s="164" t="s">
        <v>174</v>
      </c>
      <c r="H73" s="164" t="s">
        <v>174</v>
      </c>
      <c r="I73" s="164" t="s">
        <v>174</v>
      </c>
      <c r="J73" s="142">
        <v>4</v>
      </c>
      <c r="K73" s="142">
        <v>4</v>
      </c>
      <c r="L73" s="142">
        <v>8</v>
      </c>
      <c r="M73" s="142">
        <v>6</v>
      </c>
      <c r="N73" s="142">
        <v>5</v>
      </c>
      <c r="O73" s="142">
        <v>9</v>
      </c>
      <c r="P73" s="164" t="s">
        <v>174</v>
      </c>
      <c r="Q73" s="142">
        <v>4</v>
      </c>
      <c r="R73" s="142">
        <v>1</v>
      </c>
      <c r="S73" s="142">
        <v>2</v>
      </c>
      <c r="T73" s="142">
        <v>2</v>
      </c>
      <c r="U73" s="142">
        <v>2</v>
      </c>
      <c r="V73" s="142"/>
      <c r="W73" s="142"/>
      <c r="X73" s="165"/>
      <c r="Y73" s="165"/>
      <c r="Z73" s="165"/>
      <c r="AA73" s="165"/>
      <c r="AB73" s="165"/>
      <c r="AC73" s="166"/>
    </row>
    <row r="86" spans="6:6">
      <c r="F86" s="93">
        <v>0</v>
      </c>
    </row>
  </sheetData>
  <mergeCells count="46">
    <mergeCell ref="A52:A61"/>
    <mergeCell ref="B52:D52"/>
    <mergeCell ref="C53:D53"/>
    <mergeCell ref="E53:E61"/>
    <mergeCell ref="C54:D54"/>
    <mergeCell ref="C55:D55"/>
    <mergeCell ref="C56:D56"/>
    <mergeCell ref="C57:D57"/>
    <mergeCell ref="C58:D58"/>
    <mergeCell ref="C59:D59"/>
    <mergeCell ref="C60:D60"/>
    <mergeCell ref="C61:D61"/>
    <mergeCell ref="A9:A45"/>
    <mergeCell ref="B9:D9"/>
    <mergeCell ref="A46:A51"/>
    <mergeCell ref="B46:D46"/>
    <mergeCell ref="C47:D47"/>
    <mergeCell ref="C49:D49"/>
    <mergeCell ref="C50:D50"/>
    <mergeCell ref="C51:D51"/>
    <mergeCell ref="F71:W71"/>
    <mergeCell ref="A63:A67"/>
    <mergeCell ref="B63:D63"/>
    <mergeCell ref="C64:D64"/>
    <mergeCell ref="C65:D65"/>
    <mergeCell ref="A68:A73"/>
    <mergeCell ref="B68:D68"/>
    <mergeCell ref="C69:D69"/>
    <mergeCell ref="C70:D70"/>
    <mergeCell ref="C71:D71"/>
    <mergeCell ref="C73:D73"/>
    <mergeCell ref="C66:D66"/>
    <mergeCell ref="C67:D67"/>
    <mergeCell ref="C72:D72"/>
    <mergeCell ref="E68:E73"/>
    <mergeCell ref="E63:E67"/>
    <mergeCell ref="A4:A8"/>
    <mergeCell ref="E4:E8"/>
    <mergeCell ref="C8:D8"/>
    <mergeCell ref="B1:D1"/>
    <mergeCell ref="B2:D2"/>
    <mergeCell ref="B3:D3"/>
    <mergeCell ref="B4:D4"/>
    <mergeCell ref="C5:D5"/>
    <mergeCell ref="C6:D6"/>
    <mergeCell ref="C7:D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E977D-E7F9-4949-BE79-AF645AE5C755}">
  <sheetPr>
    <tabColor theme="4" tint="0.59999389629810485"/>
  </sheetPr>
  <dimension ref="A1:AY88"/>
  <sheetViews>
    <sheetView workbookViewId="0">
      <pane xSplit="5" topLeftCell="F27" activePane="topRight" state="frozen"/>
      <selection pane="topRight" activeCell="B38" sqref="B38:D41"/>
    </sheetView>
  </sheetViews>
  <sheetFormatPr defaultRowHeight="16.5"/>
  <cols>
    <col min="1" max="2" width="9" style="93"/>
    <col min="3" max="3" width="21.875" style="93" customWidth="1"/>
    <col min="4" max="4" width="17.5" style="93" customWidth="1"/>
    <col min="5" max="5" width="42.5" style="93" customWidth="1"/>
    <col min="6" max="16384" width="9" style="93"/>
  </cols>
  <sheetData>
    <row r="1" spans="1:51" ht="16.5" customHeight="1">
      <c r="A1" s="167">
        <v>2</v>
      </c>
      <c r="B1" s="414" t="s">
        <v>60</v>
      </c>
      <c r="C1" s="415"/>
      <c r="D1" s="416"/>
      <c r="E1" s="168" t="s">
        <v>61</v>
      </c>
      <c r="F1" s="169">
        <v>45658</v>
      </c>
      <c r="G1" s="169">
        <v>45689</v>
      </c>
      <c r="H1" s="169">
        <v>45717</v>
      </c>
      <c r="I1" s="169">
        <v>45748</v>
      </c>
      <c r="J1" s="169">
        <v>45778</v>
      </c>
      <c r="K1" s="169">
        <v>45809</v>
      </c>
      <c r="L1" s="169">
        <v>45839</v>
      </c>
      <c r="M1" s="169">
        <v>45870</v>
      </c>
      <c r="N1" s="169">
        <v>45901</v>
      </c>
      <c r="O1" s="169">
        <v>45931</v>
      </c>
      <c r="P1" s="169">
        <v>45962</v>
      </c>
      <c r="Q1" s="169">
        <v>45992</v>
      </c>
      <c r="R1" s="169">
        <v>46023</v>
      </c>
      <c r="S1" s="169">
        <v>46054</v>
      </c>
      <c r="T1" s="169">
        <v>46082</v>
      </c>
      <c r="U1" s="170">
        <v>46113</v>
      </c>
      <c r="V1" s="171" t="s">
        <v>152</v>
      </c>
      <c r="W1" s="171" t="s">
        <v>153</v>
      </c>
      <c r="X1" s="172"/>
      <c r="Y1" s="172"/>
      <c r="Z1" s="172"/>
      <c r="AA1" s="172"/>
      <c r="AB1" s="172"/>
      <c r="AC1" s="172"/>
    </row>
    <row r="2" spans="1:51" ht="16.5" customHeight="1">
      <c r="A2" s="173">
        <v>1</v>
      </c>
      <c r="B2" s="417" t="s">
        <v>64</v>
      </c>
      <c r="C2" s="418"/>
      <c r="D2" s="419"/>
      <c r="E2" s="174" t="s">
        <v>175</v>
      </c>
      <c r="F2" s="175">
        <v>2107</v>
      </c>
      <c r="G2" s="175">
        <v>1115</v>
      </c>
      <c r="H2" s="175">
        <v>1797</v>
      </c>
      <c r="I2" s="175">
        <v>2344</v>
      </c>
      <c r="J2" s="175">
        <v>2579</v>
      </c>
      <c r="K2" s="175">
        <v>2788</v>
      </c>
      <c r="L2" s="175">
        <v>2709</v>
      </c>
      <c r="M2" s="175">
        <v>2203</v>
      </c>
      <c r="N2" s="175">
        <v>4047</v>
      </c>
      <c r="O2" s="175">
        <v>2502</v>
      </c>
      <c r="P2" s="175">
        <v>1725</v>
      </c>
      <c r="Q2" s="175">
        <v>2489</v>
      </c>
      <c r="R2" s="175">
        <v>3799</v>
      </c>
      <c r="S2" s="175">
        <v>1027</v>
      </c>
      <c r="T2" s="175">
        <v>1724</v>
      </c>
      <c r="U2" s="175">
        <v>1713</v>
      </c>
      <c r="V2" s="176">
        <v>1952</v>
      </c>
      <c r="W2" s="176">
        <v>3395</v>
      </c>
      <c r="X2" s="172"/>
      <c r="Y2" s="172"/>
      <c r="Z2" s="172"/>
      <c r="AA2" s="172"/>
      <c r="AB2" s="172"/>
      <c r="AC2" s="172"/>
    </row>
    <row r="3" spans="1:51" ht="16.5" customHeight="1">
      <c r="A3" s="173">
        <v>2</v>
      </c>
      <c r="B3" s="417" t="s">
        <v>66</v>
      </c>
      <c r="C3" s="418"/>
      <c r="D3" s="419"/>
      <c r="E3" s="174" t="s">
        <v>176</v>
      </c>
      <c r="F3" s="177">
        <f>SUM(F5:F8)</f>
        <v>2</v>
      </c>
      <c r="G3" s="177">
        <f t="shared" ref="G3:W3" si="0">SUM(G5:G8)</f>
        <v>6</v>
      </c>
      <c r="H3" s="177">
        <f t="shared" si="0"/>
        <v>0</v>
      </c>
      <c r="I3" s="177">
        <f t="shared" si="0"/>
        <v>1</v>
      </c>
      <c r="J3" s="177">
        <f t="shared" si="0"/>
        <v>2</v>
      </c>
      <c r="K3" s="177">
        <f t="shared" si="0"/>
        <v>0</v>
      </c>
      <c r="L3" s="177">
        <f t="shared" si="0"/>
        <v>2</v>
      </c>
      <c r="M3" s="177">
        <f t="shared" si="0"/>
        <v>3</v>
      </c>
      <c r="N3" s="177">
        <f t="shared" si="0"/>
        <v>0</v>
      </c>
      <c r="O3" s="177">
        <f t="shared" si="0"/>
        <v>5</v>
      </c>
      <c r="P3" s="177">
        <f t="shared" si="0"/>
        <v>20</v>
      </c>
      <c r="Q3" s="177">
        <f t="shared" si="0"/>
        <v>4</v>
      </c>
      <c r="R3" s="177">
        <f t="shared" si="0"/>
        <v>5</v>
      </c>
      <c r="S3" s="177">
        <f t="shared" si="0"/>
        <v>3</v>
      </c>
      <c r="T3" s="177">
        <f t="shared" si="0"/>
        <v>1</v>
      </c>
      <c r="U3" s="177">
        <f t="shared" si="0"/>
        <v>8</v>
      </c>
      <c r="V3" s="177">
        <f t="shared" si="0"/>
        <v>5</v>
      </c>
      <c r="W3" s="177">
        <f t="shared" si="0"/>
        <v>12</v>
      </c>
      <c r="X3" s="172"/>
      <c r="Y3" s="172"/>
      <c r="Z3" s="172"/>
      <c r="AA3" s="172"/>
      <c r="AB3" s="172"/>
      <c r="AC3" s="172"/>
    </row>
    <row r="4" spans="1:51" ht="16.5" customHeight="1">
      <c r="A4" s="426">
        <v>3</v>
      </c>
      <c r="B4" s="423" t="s">
        <v>177</v>
      </c>
      <c r="C4" s="424"/>
      <c r="D4" s="425"/>
      <c r="E4" s="437" t="s">
        <v>178</v>
      </c>
      <c r="F4" s="178"/>
      <c r="G4" s="178"/>
      <c r="H4" s="178"/>
      <c r="I4" s="178"/>
      <c r="J4" s="178"/>
      <c r="K4" s="178"/>
      <c r="L4" s="178"/>
      <c r="M4" s="178"/>
      <c r="N4" s="178"/>
      <c r="O4" s="178"/>
      <c r="P4" s="178"/>
      <c r="Q4" s="178"/>
      <c r="R4" s="178"/>
      <c r="S4" s="178"/>
      <c r="T4" s="178"/>
      <c r="U4" s="178"/>
      <c r="V4" s="178"/>
      <c r="W4" s="178"/>
      <c r="X4" s="172"/>
      <c r="Y4" s="172"/>
      <c r="Z4" s="172"/>
      <c r="AA4" s="172"/>
      <c r="AB4" s="172"/>
      <c r="AC4" s="172"/>
    </row>
    <row r="5" spans="1:51" ht="20.25" customHeight="1">
      <c r="A5" s="427"/>
      <c r="B5" s="179"/>
      <c r="C5" s="432" t="s">
        <v>179</v>
      </c>
      <c r="D5" s="433"/>
      <c r="E5" s="438"/>
      <c r="F5" s="177">
        <v>0</v>
      </c>
      <c r="G5" s="177">
        <v>2</v>
      </c>
      <c r="H5" s="177">
        <v>0</v>
      </c>
      <c r="I5" s="177">
        <v>0</v>
      </c>
      <c r="J5" s="177">
        <v>0</v>
      </c>
      <c r="K5" s="177">
        <v>0</v>
      </c>
      <c r="L5" s="177">
        <v>1</v>
      </c>
      <c r="M5" s="177">
        <v>1</v>
      </c>
      <c r="N5" s="177">
        <v>0</v>
      </c>
      <c r="O5" s="177">
        <v>0</v>
      </c>
      <c r="P5" s="177">
        <v>1</v>
      </c>
      <c r="Q5" s="177">
        <v>0</v>
      </c>
      <c r="R5" s="180">
        <v>0</v>
      </c>
      <c r="S5" s="180">
        <v>0</v>
      </c>
      <c r="T5" s="180">
        <v>0</v>
      </c>
      <c r="U5" s="180">
        <v>0</v>
      </c>
      <c r="V5" s="180">
        <v>0</v>
      </c>
      <c r="W5" s="180">
        <v>0</v>
      </c>
      <c r="X5" s="172"/>
      <c r="Y5" s="172"/>
      <c r="Z5" s="172"/>
      <c r="AA5" s="172"/>
      <c r="AB5" s="172"/>
      <c r="AC5" s="172"/>
    </row>
    <row r="6" spans="1:51" ht="20.25" customHeight="1">
      <c r="A6" s="427"/>
      <c r="B6" s="179"/>
      <c r="C6" s="432" t="s">
        <v>157</v>
      </c>
      <c r="D6" s="433"/>
      <c r="E6" s="438"/>
      <c r="F6" s="177">
        <v>1</v>
      </c>
      <c r="G6" s="177">
        <v>2</v>
      </c>
      <c r="H6" s="177">
        <v>0</v>
      </c>
      <c r="I6" s="177">
        <v>0</v>
      </c>
      <c r="J6" s="177">
        <v>1</v>
      </c>
      <c r="K6" s="177">
        <v>0</v>
      </c>
      <c r="L6" s="177">
        <v>0</v>
      </c>
      <c r="M6" s="177">
        <v>1</v>
      </c>
      <c r="N6" s="177">
        <v>0</v>
      </c>
      <c r="O6" s="177">
        <v>2</v>
      </c>
      <c r="P6" s="177">
        <v>9</v>
      </c>
      <c r="Q6" s="177">
        <v>2</v>
      </c>
      <c r="R6" s="180">
        <v>0</v>
      </c>
      <c r="S6" s="180">
        <v>0</v>
      </c>
      <c r="T6" s="180">
        <v>0</v>
      </c>
      <c r="U6" s="180">
        <v>0</v>
      </c>
      <c r="V6" s="180">
        <v>0</v>
      </c>
      <c r="W6" s="180">
        <v>0</v>
      </c>
      <c r="X6" s="172"/>
      <c r="Y6" s="172"/>
      <c r="Z6" s="172"/>
      <c r="AA6" s="172"/>
      <c r="AB6" s="172"/>
      <c r="AC6" s="172"/>
    </row>
    <row r="7" spans="1:51" ht="20.25" customHeight="1">
      <c r="A7" s="427"/>
      <c r="B7" s="181"/>
      <c r="C7" s="434" t="s">
        <v>158</v>
      </c>
      <c r="D7" s="435"/>
      <c r="E7" s="438"/>
      <c r="F7" s="295">
        <v>0</v>
      </c>
      <c r="G7" s="295">
        <v>0</v>
      </c>
      <c r="H7" s="295">
        <v>0</v>
      </c>
      <c r="I7" s="295">
        <v>1</v>
      </c>
      <c r="J7" s="295">
        <v>0</v>
      </c>
      <c r="K7" s="295">
        <v>0</v>
      </c>
      <c r="L7" s="295">
        <v>1</v>
      </c>
      <c r="M7" s="295">
        <v>0</v>
      </c>
      <c r="N7" s="295">
        <v>0</v>
      </c>
      <c r="O7" s="295">
        <v>1</v>
      </c>
      <c r="P7" s="295">
        <v>0</v>
      </c>
      <c r="Q7" s="295">
        <v>0</v>
      </c>
      <c r="R7" s="296">
        <v>1</v>
      </c>
      <c r="S7" s="296">
        <v>0</v>
      </c>
      <c r="T7" s="296">
        <v>0</v>
      </c>
      <c r="U7" s="296">
        <v>0</v>
      </c>
      <c r="V7" s="296">
        <v>1</v>
      </c>
      <c r="W7" s="296">
        <v>1</v>
      </c>
      <c r="X7" s="172"/>
      <c r="Y7" s="172"/>
      <c r="Z7" s="172"/>
      <c r="AA7" s="172"/>
      <c r="AB7" s="172"/>
      <c r="AC7" s="172"/>
    </row>
    <row r="8" spans="1:51" ht="20.25" customHeight="1">
      <c r="A8" s="428"/>
      <c r="B8" s="88"/>
      <c r="C8" s="436" t="s">
        <v>88</v>
      </c>
      <c r="D8" s="436"/>
      <c r="E8" s="439"/>
      <c r="F8" s="177">
        <v>1</v>
      </c>
      <c r="G8" s="177">
        <v>2</v>
      </c>
      <c r="H8" s="177">
        <v>0</v>
      </c>
      <c r="I8" s="177">
        <v>0</v>
      </c>
      <c r="J8" s="177">
        <v>1</v>
      </c>
      <c r="K8" s="177">
        <v>0</v>
      </c>
      <c r="L8" s="177">
        <v>0</v>
      </c>
      <c r="M8" s="177">
        <v>1</v>
      </c>
      <c r="N8" s="177">
        <v>0</v>
      </c>
      <c r="O8" s="177">
        <v>2</v>
      </c>
      <c r="P8" s="177">
        <v>10</v>
      </c>
      <c r="Q8" s="177">
        <v>2</v>
      </c>
      <c r="R8" s="180">
        <v>4</v>
      </c>
      <c r="S8" s="180">
        <v>3</v>
      </c>
      <c r="T8" s="180">
        <v>1</v>
      </c>
      <c r="U8" s="180">
        <v>8</v>
      </c>
      <c r="V8" s="180">
        <v>4</v>
      </c>
      <c r="W8" s="180">
        <v>11</v>
      </c>
      <c r="X8" s="172"/>
      <c r="Y8" s="172"/>
      <c r="Z8" s="172"/>
      <c r="AA8" s="172"/>
      <c r="AB8" s="172"/>
      <c r="AC8" s="172"/>
    </row>
    <row r="9" spans="1:51">
      <c r="A9" s="313">
        <v>4</v>
      </c>
      <c r="B9" s="317" t="s">
        <v>78</v>
      </c>
      <c r="C9" s="315"/>
      <c r="D9" s="315"/>
      <c r="E9" s="110" t="s">
        <v>69</v>
      </c>
      <c r="F9" s="111" t="s">
        <v>69</v>
      </c>
      <c r="G9" s="111" t="s">
        <v>69</v>
      </c>
      <c r="H9" s="111" t="s">
        <v>69</v>
      </c>
      <c r="I9" s="111" t="s">
        <v>69</v>
      </c>
      <c r="J9" s="111" t="s">
        <v>69</v>
      </c>
      <c r="K9" s="111" t="s">
        <v>69</v>
      </c>
      <c r="L9" s="111" t="s">
        <v>69</v>
      </c>
      <c r="M9" s="111" t="s">
        <v>69</v>
      </c>
      <c r="N9" s="111" t="s">
        <v>69</v>
      </c>
      <c r="O9" s="111" t="s">
        <v>69</v>
      </c>
      <c r="P9" s="111" t="s">
        <v>69</v>
      </c>
      <c r="Q9" s="111" t="s">
        <v>69</v>
      </c>
      <c r="R9" s="111" t="s">
        <v>69</v>
      </c>
      <c r="S9" s="111" t="s">
        <v>69</v>
      </c>
      <c r="T9" s="111" t="s">
        <v>69</v>
      </c>
      <c r="U9" s="112" t="s">
        <v>69</v>
      </c>
      <c r="V9" s="113"/>
      <c r="W9" s="113"/>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5"/>
      <c r="AY9" s="115"/>
    </row>
    <row r="10" spans="1:51">
      <c r="A10" s="314"/>
      <c r="B10" s="111" t="s">
        <v>70</v>
      </c>
      <c r="C10" s="117" t="s">
        <v>79</v>
      </c>
      <c r="D10" s="112" t="str">
        <f>C5</f>
        <v xml:space="preserve">Permintaan Informasi </v>
      </c>
      <c r="E10" s="110" t="s">
        <v>69</v>
      </c>
      <c r="F10" s="118">
        <v>0</v>
      </c>
      <c r="G10" s="118">
        <v>0</v>
      </c>
      <c r="H10" s="118">
        <v>0</v>
      </c>
      <c r="I10" s="118">
        <v>0</v>
      </c>
      <c r="J10" s="118">
        <v>0</v>
      </c>
      <c r="K10" s="118">
        <v>0</v>
      </c>
      <c r="L10" s="118">
        <v>0</v>
      </c>
      <c r="M10" s="118">
        <v>0</v>
      </c>
      <c r="N10" s="118">
        <v>0</v>
      </c>
      <c r="O10" s="118">
        <v>0</v>
      </c>
      <c r="P10" s="118">
        <v>0</v>
      </c>
      <c r="Q10" s="118">
        <v>0</v>
      </c>
      <c r="R10" s="118">
        <v>0</v>
      </c>
      <c r="S10" s="118">
        <v>0</v>
      </c>
      <c r="T10" s="118">
        <v>0</v>
      </c>
      <c r="U10" s="118">
        <v>0</v>
      </c>
      <c r="V10" s="118">
        <v>0</v>
      </c>
      <c r="W10" s="118">
        <v>0</v>
      </c>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5"/>
      <c r="AY10" s="115"/>
    </row>
    <row r="11" spans="1:51">
      <c r="A11" s="314"/>
      <c r="B11" s="111" t="s">
        <v>69</v>
      </c>
      <c r="C11" s="117" t="s">
        <v>69</v>
      </c>
      <c r="D11" s="112" t="str">
        <f>C6</f>
        <v xml:space="preserve">Request </v>
      </c>
      <c r="E11" s="110" t="s">
        <v>69</v>
      </c>
      <c r="F11" s="118">
        <v>0</v>
      </c>
      <c r="G11" s="118">
        <v>0</v>
      </c>
      <c r="H11" s="118">
        <v>0</v>
      </c>
      <c r="I11" s="118">
        <v>0</v>
      </c>
      <c r="J11" s="118">
        <v>0</v>
      </c>
      <c r="K11" s="118">
        <v>0</v>
      </c>
      <c r="L11" s="118">
        <v>0</v>
      </c>
      <c r="M11" s="118">
        <v>0</v>
      </c>
      <c r="N11" s="118">
        <v>0</v>
      </c>
      <c r="O11" s="118">
        <v>0</v>
      </c>
      <c r="P11" s="118">
        <v>0</v>
      </c>
      <c r="Q11" s="118">
        <v>0</v>
      </c>
      <c r="R11" s="118">
        <v>0</v>
      </c>
      <c r="S11" s="118">
        <v>0</v>
      </c>
      <c r="T11" s="118">
        <v>0</v>
      </c>
      <c r="U11" s="118">
        <v>0</v>
      </c>
      <c r="V11" s="118">
        <v>0</v>
      </c>
      <c r="W11" s="118">
        <v>0</v>
      </c>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5"/>
      <c r="AY11" s="115"/>
    </row>
    <row r="12" spans="1:51">
      <c r="A12" s="314"/>
      <c r="B12" s="111" t="s">
        <v>69</v>
      </c>
      <c r="C12" s="117" t="s">
        <v>69</v>
      </c>
      <c r="D12" s="112" t="str">
        <f>C7</f>
        <v xml:space="preserve">Keluhan </v>
      </c>
      <c r="E12" s="110" t="s">
        <v>69</v>
      </c>
      <c r="F12" s="118">
        <v>0</v>
      </c>
      <c r="G12" s="118">
        <v>0</v>
      </c>
      <c r="H12" s="118">
        <v>0</v>
      </c>
      <c r="I12" s="118">
        <v>0</v>
      </c>
      <c r="J12" s="118">
        <v>0</v>
      </c>
      <c r="K12" s="118">
        <v>0</v>
      </c>
      <c r="L12" s="118">
        <v>0</v>
      </c>
      <c r="M12" s="118">
        <v>0</v>
      </c>
      <c r="N12" s="118">
        <v>0</v>
      </c>
      <c r="O12" s="118">
        <v>0</v>
      </c>
      <c r="P12" s="118">
        <v>0</v>
      </c>
      <c r="Q12" s="118">
        <v>0</v>
      </c>
      <c r="R12" s="118">
        <v>0</v>
      </c>
      <c r="S12" s="118">
        <v>0</v>
      </c>
      <c r="T12" s="118">
        <v>0</v>
      </c>
      <c r="U12" s="118">
        <v>0</v>
      </c>
      <c r="V12" s="118">
        <v>0</v>
      </c>
      <c r="W12" s="118">
        <v>0</v>
      </c>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5"/>
      <c r="AY12" s="115"/>
    </row>
    <row r="13" spans="1:51">
      <c r="A13" s="314"/>
      <c r="B13" s="111" t="s">
        <v>69</v>
      </c>
      <c r="C13" s="117" t="s">
        <v>69</v>
      </c>
      <c r="D13" s="112" t="str">
        <f>C8</f>
        <v>Apresiasi</v>
      </c>
      <c r="E13" s="110" t="s">
        <v>69</v>
      </c>
      <c r="F13" s="118">
        <v>0</v>
      </c>
      <c r="G13" s="118">
        <v>0</v>
      </c>
      <c r="H13" s="118">
        <v>0</v>
      </c>
      <c r="I13" s="118">
        <v>0</v>
      </c>
      <c r="J13" s="118">
        <v>0</v>
      </c>
      <c r="K13" s="118">
        <v>0</v>
      </c>
      <c r="L13" s="118">
        <v>0</v>
      </c>
      <c r="M13" s="118">
        <v>0</v>
      </c>
      <c r="N13" s="118">
        <v>0</v>
      </c>
      <c r="O13" s="118">
        <v>0</v>
      </c>
      <c r="P13" s="118">
        <v>0</v>
      </c>
      <c r="Q13" s="118">
        <v>0</v>
      </c>
      <c r="R13" s="118">
        <v>0</v>
      </c>
      <c r="S13" s="118">
        <v>0</v>
      </c>
      <c r="T13" s="118">
        <v>0</v>
      </c>
      <c r="U13" s="118">
        <v>0</v>
      </c>
      <c r="V13" s="118">
        <v>0</v>
      </c>
      <c r="W13" s="118">
        <v>0</v>
      </c>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5"/>
      <c r="AY13" s="115"/>
    </row>
    <row r="14" spans="1:51" ht="28.5" customHeight="1">
      <c r="A14" s="314"/>
      <c r="B14" s="111" t="s">
        <v>73</v>
      </c>
      <c r="C14" s="120" t="s">
        <v>80</v>
      </c>
      <c r="D14" s="112" t="str">
        <f>C5</f>
        <v xml:space="preserve">Permintaan Informasi </v>
      </c>
      <c r="E14" s="110" t="s">
        <v>69</v>
      </c>
      <c r="F14" s="118">
        <v>0</v>
      </c>
      <c r="G14" s="118">
        <v>0</v>
      </c>
      <c r="H14" s="118">
        <v>0</v>
      </c>
      <c r="I14" s="118">
        <v>0</v>
      </c>
      <c r="J14" s="118">
        <v>0</v>
      </c>
      <c r="K14" s="118">
        <v>0</v>
      </c>
      <c r="L14" s="118">
        <v>0</v>
      </c>
      <c r="M14" s="118">
        <v>0</v>
      </c>
      <c r="N14" s="118">
        <v>0</v>
      </c>
      <c r="O14" s="118">
        <v>0</v>
      </c>
      <c r="P14" s="118">
        <v>0</v>
      </c>
      <c r="Q14" s="118">
        <v>0</v>
      </c>
      <c r="R14" s="118">
        <v>0</v>
      </c>
      <c r="S14" s="118">
        <v>0</v>
      </c>
      <c r="T14" s="118">
        <v>0</v>
      </c>
      <c r="U14" s="118">
        <v>0</v>
      </c>
      <c r="V14" s="118">
        <v>0</v>
      </c>
      <c r="W14" s="118">
        <v>0</v>
      </c>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5"/>
      <c r="AY14" s="115"/>
    </row>
    <row r="15" spans="1:51">
      <c r="A15" s="314"/>
      <c r="B15" s="111" t="s">
        <v>69</v>
      </c>
      <c r="C15" s="117" t="s">
        <v>69</v>
      </c>
      <c r="D15" s="112" t="s">
        <v>81</v>
      </c>
      <c r="E15" s="110" t="s">
        <v>69</v>
      </c>
      <c r="F15" s="118">
        <v>0</v>
      </c>
      <c r="G15" s="118">
        <v>0</v>
      </c>
      <c r="H15" s="118">
        <v>0</v>
      </c>
      <c r="I15" s="118">
        <v>0</v>
      </c>
      <c r="J15" s="118">
        <v>0</v>
      </c>
      <c r="K15" s="118">
        <v>0</v>
      </c>
      <c r="L15" s="118">
        <v>0</v>
      </c>
      <c r="M15" s="118">
        <v>0</v>
      </c>
      <c r="N15" s="118">
        <v>0</v>
      </c>
      <c r="O15" s="118">
        <v>0</v>
      </c>
      <c r="P15" s="118">
        <v>0</v>
      </c>
      <c r="Q15" s="118">
        <v>0</v>
      </c>
      <c r="R15" s="118">
        <v>0</v>
      </c>
      <c r="S15" s="118">
        <v>0</v>
      </c>
      <c r="T15" s="118">
        <v>0</v>
      </c>
      <c r="U15" s="118">
        <v>0</v>
      </c>
      <c r="V15" s="118">
        <v>0</v>
      </c>
      <c r="W15" s="118">
        <v>0</v>
      </c>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5"/>
      <c r="AY15" s="115"/>
    </row>
    <row r="16" spans="1:51">
      <c r="A16" s="314"/>
      <c r="B16" s="111" t="s">
        <v>69</v>
      </c>
      <c r="C16" s="117" t="s">
        <v>69</v>
      </c>
      <c r="D16" s="112" t="str">
        <f>C7</f>
        <v xml:space="preserve">Keluhan </v>
      </c>
      <c r="E16" s="110" t="s">
        <v>69</v>
      </c>
      <c r="F16" s="118">
        <v>0</v>
      </c>
      <c r="G16" s="118">
        <v>0</v>
      </c>
      <c r="H16" s="118">
        <v>0</v>
      </c>
      <c r="I16" s="118">
        <v>0</v>
      </c>
      <c r="J16" s="118">
        <v>3</v>
      </c>
      <c r="K16" s="118">
        <v>0</v>
      </c>
      <c r="L16" s="118">
        <v>0</v>
      </c>
      <c r="M16" s="118">
        <v>1</v>
      </c>
      <c r="N16" s="118">
        <v>0</v>
      </c>
      <c r="O16" s="118">
        <v>0</v>
      </c>
      <c r="P16" s="118">
        <v>1</v>
      </c>
      <c r="Q16" s="118">
        <v>0</v>
      </c>
      <c r="R16" s="118">
        <v>1</v>
      </c>
      <c r="S16" s="118">
        <v>0</v>
      </c>
      <c r="T16" s="118">
        <v>0</v>
      </c>
      <c r="U16" s="118">
        <v>0</v>
      </c>
      <c r="V16" s="118">
        <v>0</v>
      </c>
      <c r="W16" s="118">
        <v>0</v>
      </c>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5"/>
      <c r="AY16" s="115"/>
    </row>
    <row r="17" spans="1:51">
      <c r="A17" s="314"/>
      <c r="B17" s="111" t="s">
        <v>69</v>
      </c>
      <c r="C17" s="117" t="s">
        <v>69</v>
      </c>
      <c r="D17" s="112" t="str">
        <f>C8</f>
        <v>Apresiasi</v>
      </c>
      <c r="E17" s="110" t="s">
        <v>69</v>
      </c>
      <c r="F17" s="118">
        <v>0</v>
      </c>
      <c r="G17" s="118">
        <v>0</v>
      </c>
      <c r="H17" s="118">
        <v>0</v>
      </c>
      <c r="I17" s="118">
        <v>0</v>
      </c>
      <c r="J17" s="118">
        <v>0</v>
      </c>
      <c r="K17" s="118">
        <v>0</v>
      </c>
      <c r="L17" s="118">
        <v>0</v>
      </c>
      <c r="M17" s="118">
        <v>0</v>
      </c>
      <c r="N17" s="118">
        <v>0</v>
      </c>
      <c r="O17" s="118">
        <v>0</v>
      </c>
      <c r="P17" s="118">
        <v>0</v>
      </c>
      <c r="Q17" s="118">
        <v>0</v>
      </c>
      <c r="R17" s="118">
        <v>0</v>
      </c>
      <c r="S17" s="118">
        <v>0</v>
      </c>
      <c r="T17" s="118">
        <v>0</v>
      </c>
      <c r="U17" s="118">
        <v>0</v>
      </c>
      <c r="V17" s="118">
        <v>0</v>
      </c>
      <c r="W17" s="118">
        <v>0</v>
      </c>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5"/>
      <c r="AY17" s="115"/>
    </row>
    <row r="18" spans="1:51">
      <c r="A18" s="314"/>
      <c r="B18" s="112" t="s">
        <v>75</v>
      </c>
      <c r="C18" s="119" t="s">
        <v>82</v>
      </c>
      <c r="D18" s="112" t="str">
        <f>C5</f>
        <v xml:space="preserve">Permintaan Informasi </v>
      </c>
      <c r="E18" s="110" t="s">
        <v>69</v>
      </c>
      <c r="F18" s="118">
        <v>0</v>
      </c>
      <c r="G18" s="118">
        <v>0</v>
      </c>
      <c r="H18" s="118">
        <v>0</v>
      </c>
      <c r="I18" s="118">
        <v>0</v>
      </c>
      <c r="J18" s="118">
        <v>0</v>
      </c>
      <c r="K18" s="118">
        <v>0</v>
      </c>
      <c r="L18" s="118">
        <v>0</v>
      </c>
      <c r="M18" s="118">
        <v>0</v>
      </c>
      <c r="N18" s="118">
        <v>0</v>
      </c>
      <c r="O18" s="118">
        <v>0</v>
      </c>
      <c r="P18" s="118">
        <v>0</v>
      </c>
      <c r="Q18" s="118">
        <v>0</v>
      </c>
      <c r="R18" s="118">
        <v>0</v>
      </c>
      <c r="S18" s="118">
        <v>0</v>
      </c>
      <c r="T18" s="118">
        <v>0</v>
      </c>
      <c r="U18" s="118">
        <v>0</v>
      </c>
      <c r="V18" s="118">
        <v>0</v>
      </c>
      <c r="W18" s="118">
        <v>0</v>
      </c>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5"/>
      <c r="AY18" s="115"/>
    </row>
    <row r="19" spans="1:51">
      <c r="A19" s="314"/>
      <c r="B19" s="111" t="s">
        <v>69</v>
      </c>
      <c r="C19" s="117" t="s">
        <v>69</v>
      </c>
      <c r="D19" s="112" t="str">
        <f>C6</f>
        <v xml:space="preserve">Request </v>
      </c>
      <c r="E19" s="110" t="s">
        <v>69</v>
      </c>
      <c r="F19" s="118">
        <v>0</v>
      </c>
      <c r="G19" s="118">
        <v>0</v>
      </c>
      <c r="H19" s="118">
        <v>0</v>
      </c>
      <c r="I19" s="118">
        <v>0</v>
      </c>
      <c r="J19" s="118">
        <v>0</v>
      </c>
      <c r="K19" s="118">
        <v>0</v>
      </c>
      <c r="L19" s="118">
        <v>0</v>
      </c>
      <c r="M19" s="118">
        <v>0</v>
      </c>
      <c r="N19" s="118">
        <v>0</v>
      </c>
      <c r="O19" s="118">
        <v>0</v>
      </c>
      <c r="P19" s="118">
        <v>0</v>
      </c>
      <c r="Q19" s="118">
        <v>0</v>
      </c>
      <c r="R19" s="118">
        <v>0</v>
      </c>
      <c r="S19" s="118">
        <v>0</v>
      </c>
      <c r="T19" s="118">
        <v>0</v>
      </c>
      <c r="U19" s="118">
        <v>0</v>
      </c>
      <c r="V19" s="118">
        <v>0</v>
      </c>
      <c r="W19" s="118">
        <v>0</v>
      </c>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5"/>
      <c r="AY19" s="115"/>
    </row>
    <row r="20" spans="1:51">
      <c r="A20" s="314"/>
      <c r="B20" s="111" t="s">
        <v>69</v>
      </c>
      <c r="C20" s="117" t="s">
        <v>69</v>
      </c>
      <c r="D20" s="112" t="str">
        <f>C7</f>
        <v xml:space="preserve">Keluhan </v>
      </c>
      <c r="E20" s="110" t="s">
        <v>69</v>
      </c>
      <c r="F20" s="118">
        <v>0</v>
      </c>
      <c r="G20" s="118">
        <v>0</v>
      </c>
      <c r="H20" s="118">
        <v>0</v>
      </c>
      <c r="I20" s="118">
        <v>0</v>
      </c>
      <c r="J20" s="118">
        <v>0</v>
      </c>
      <c r="K20" s="118">
        <v>0</v>
      </c>
      <c r="L20" s="118">
        <v>0</v>
      </c>
      <c r="M20" s="118">
        <v>0</v>
      </c>
      <c r="N20" s="118">
        <v>0</v>
      </c>
      <c r="O20" s="118">
        <v>0</v>
      </c>
      <c r="P20" s="118">
        <v>0</v>
      </c>
      <c r="Q20" s="118">
        <v>0</v>
      </c>
      <c r="R20" s="118">
        <v>0</v>
      </c>
      <c r="S20" s="118">
        <v>0</v>
      </c>
      <c r="T20" s="118">
        <v>0</v>
      </c>
      <c r="U20" s="118">
        <v>0</v>
      </c>
      <c r="V20" s="118">
        <v>0</v>
      </c>
      <c r="W20" s="118">
        <v>0</v>
      </c>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5"/>
      <c r="AY20" s="115"/>
    </row>
    <row r="21" spans="1:51">
      <c r="A21" s="314"/>
      <c r="B21" s="111" t="s">
        <v>69</v>
      </c>
      <c r="C21" s="117" t="s">
        <v>69</v>
      </c>
      <c r="D21" s="112" t="str">
        <f>C8</f>
        <v>Apresiasi</v>
      </c>
      <c r="E21" s="110" t="s">
        <v>69</v>
      </c>
      <c r="F21" s="118">
        <v>0</v>
      </c>
      <c r="G21" s="118">
        <v>0</v>
      </c>
      <c r="H21" s="118">
        <v>0</v>
      </c>
      <c r="I21" s="118">
        <v>0</v>
      </c>
      <c r="J21" s="118">
        <v>0</v>
      </c>
      <c r="K21" s="118">
        <v>0</v>
      </c>
      <c r="L21" s="118">
        <v>0</v>
      </c>
      <c r="M21" s="118">
        <v>0</v>
      </c>
      <c r="N21" s="118">
        <v>0</v>
      </c>
      <c r="O21" s="118">
        <v>0</v>
      </c>
      <c r="P21" s="118">
        <v>0</v>
      </c>
      <c r="Q21" s="118">
        <v>0</v>
      </c>
      <c r="R21" s="118">
        <v>0</v>
      </c>
      <c r="S21" s="118">
        <v>0</v>
      </c>
      <c r="T21" s="118">
        <v>0</v>
      </c>
      <c r="U21" s="118">
        <v>0</v>
      </c>
      <c r="V21" s="118">
        <v>0</v>
      </c>
      <c r="W21" s="118">
        <v>0</v>
      </c>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5"/>
      <c r="AY21" s="115"/>
    </row>
    <row r="22" spans="1:51">
      <c r="A22" s="314"/>
      <c r="B22" s="111" t="s">
        <v>77</v>
      </c>
      <c r="C22" s="117" t="s">
        <v>83</v>
      </c>
      <c r="D22" s="112" t="str">
        <f>D10</f>
        <v xml:space="preserve">Permintaan Informasi </v>
      </c>
      <c r="E22" s="110" t="s">
        <v>69</v>
      </c>
      <c r="F22" s="118">
        <v>0</v>
      </c>
      <c r="G22" s="118">
        <v>0</v>
      </c>
      <c r="H22" s="118">
        <v>0</v>
      </c>
      <c r="I22" s="118">
        <v>0</v>
      </c>
      <c r="J22" s="118">
        <v>0</v>
      </c>
      <c r="K22" s="118">
        <v>0</v>
      </c>
      <c r="L22" s="118">
        <v>0</v>
      </c>
      <c r="M22" s="118">
        <v>0</v>
      </c>
      <c r="N22" s="118">
        <v>0</v>
      </c>
      <c r="O22" s="118">
        <v>0</v>
      </c>
      <c r="P22" s="118">
        <v>0</v>
      </c>
      <c r="Q22" s="118">
        <v>0</v>
      </c>
      <c r="R22" s="118">
        <v>0</v>
      </c>
      <c r="S22" s="118">
        <v>0</v>
      </c>
      <c r="T22" s="118">
        <v>0</v>
      </c>
      <c r="U22" s="118">
        <v>0</v>
      </c>
      <c r="V22" s="118">
        <v>0</v>
      </c>
      <c r="W22" s="118">
        <v>0</v>
      </c>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5"/>
      <c r="AY22" s="115"/>
    </row>
    <row r="23" spans="1:51">
      <c r="A23" s="314"/>
      <c r="B23" s="111" t="s">
        <v>69</v>
      </c>
      <c r="C23" s="111" t="s">
        <v>69</v>
      </c>
      <c r="D23" s="112" t="str">
        <f>D11</f>
        <v xml:space="preserve">Request </v>
      </c>
      <c r="E23" s="110" t="s">
        <v>69</v>
      </c>
      <c r="F23" s="118">
        <v>0</v>
      </c>
      <c r="G23" s="118">
        <v>0</v>
      </c>
      <c r="H23" s="118">
        <v>0</v>
      </c>
      <c r="I23" s="118">
        <v>0</v>
      </c>
      <c r="J23" s="118">
        <v>0</v>
      </c>
      <c r="K23" s="118">
        <v>0</v>
      </c>
      <c r="L23" s="118">
        <v>0</v>
      </c>
      <c r="M23" s="118">
        <v>0</v>
      </c>
      <c r="N23" s="118">
        <v>0</v>
      </c>
      <c r="O23" s="118">
        <v>0</v>
      </c>
      <c r="P23" s="118">
        <v>0</v>
      </c>
      <c r="Q23" s="118">
        <v>0</v>
      </c>
      <c r="R23" s="118">
        <v>0</v>
      </c>
      <c r="S23" s="118">
        <v>0</v>
      </c>
      <c r="T23" s="118">
        <v>0</v>
      </c>
      <c r="U23" s="118">
        <v>0</v>
      </c>
      <c r="V23" s="118">
        <v>0</v>
      </c>
      <c r="W23" s="118">
        <v>0</v>
      </c>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5"/>
      <c r="AY23" s="115"/>
    </row>
    <row r="24" spans="1:51">
      <c r="A24" s="314"/>
      <c r="B24" s="111" t="s">
        <v>69</v>
      </c>
      <c r="C24" s="111" t="s">
        <v>69</v>
      </c>
      <c r="D24" s="112" t="str">
        <f>D12</f>
        <v xml:space="preserve">Keluhan </v>
      </c>
      <c r="E24" s="110" t="s">
        <v>69</v>
      </c>
      <c r="F24" s="118">
        <v>0</v>
      </c>
      <c r="G24" s="118">
        <v>0</v>
      </c>
      <c r="H24" s="118">
        <v>0</v>
      </c>
      <c r="I24" s="118">
        <v>0</v>
      </c>
      <c r="J24" s="118">
        <v>0</v>
      </c>
      <c r="K24" s="118">
        <v>0</v>
      </c>
      <c r="L24" s="118">
        <v>0</v>
      </c>
      <c r="M24" s="118">
        <v>0</v>
      </c>
      <c r="N24" s="118">
        <v>0</v>
      </c>
      <c r="O24" s="118">
        <v>0</v>
      </c>
      <c r="P24" s="118">
        <v>0</v>
      </c>
      <c r="Q24" s="118">
        <v>0</v>
      </c>
      <c r="R24" s="118">
        <v>0</v>
      </c>
      <c r="S24" s="118">
        <v>0</v>
      </c>
      <c r="T24" s="118">
        <v>0</v>
      </c>
      <c r="U24" s="118">
        <v>0</v>
      </c>
      <c r="V24" s="118">
        <v>0</v>
      </c>
      <c r="W24" s="118">
        <v>0</v>
      </c>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5"/>
      <c r="AY24" s="115"/>
    </row>
    <row r="25" spans="1:51">
      <c r="A25" s="314"/>
      <c r="B25" s="111" t="s">
        <v>69</v>
      </c>
      <c r="C25" s="111" t="s">
        <v>69</v>
      </c>
      <c r="D25" s="112" t="str">
        <f>D13</f>
        <v>Apresiasi</v>
      </c>
      <c r="E25" s="110" t="s">
        <v>69</v>
      </c>
      <c r="F25" s="118">
        <v>0</v>
      </c>
      <c r="G25" s="118">
        <v>0</v>
      </c>
      <c r="H25" s="118">
        <v>0</v>
      </c>
      <c r="I25" s="118">
        <v>0</v>
      </c>
      <c r="J25" s="118">
        <v>0</v>
      </c>
      <c r="K25" s="118">
        <v>0</v>
      </c>
      <c r="L25" s="118">
        <v>0</v>
      </c>
      <c r="M25" s="118">
        <v>0</v>
      </c>
      <c r="N25" s="118">
        <v>0</v>
      </c>
      <c r="O25" s="118">
        <v>0</v>
      </c>
      <c r="P25" s="118">
        <v>0</v>
      </c>
      <c r="Q25" s="118">
        <v>0</v>
      </c>
      <c r="R25" s="118">
        <v>0</v>
      </c>
      <c r="S25" s="118">
        <v>0</v>
      </c>
      <c r="T25" s="118">
        <v>0</v>
      </c>
      <c r="U25" s="118">
        <v>0</v>
      </c>
      <c r="V25" s="118">
        <v>0</v>
      </c>
      <c r="W25" s="118">
        <v>0</v>
      </c>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5"/>
      <c r="AY25" s="115"/>
    </row>
    <row r="26" spans="1:51">
      <c r="A26" s="314"/>
      <c r="B26" s="111" t="s">
        <v>84</v>
      </c>
      <c r="C26" s="117" t="s">
        <v>85</v>
      </c>
      <c r="D26" s="112" t="str">
        <f>D10</f>
        <v xml:space="preserve">Permintaan Informasi </v>
      </c>
      <c r="E26" s="110" t="s">
        <v>69</v>
      </c>
      <c r="F26" s="118">
        <v>0</v>
      </c>
      <c r="G26" s="118">
        <v>0</v>
      </c>
      <c r="H26" s="118">
        <v>0</v>
      </c>
      <c r="I26" s="118">
        <v>0</v>
      </c>
      <c r="J26" s="118">
        <v>0</v>
      </c>
      <c r="K26" s="118">
        <v>0</v>
      </c>
      <c r="L26" s="118">
        <v>0</v>
      </c>
      <c r="M26" s="118">
        <v>0</v>
      </c>
      <c r="N26" s="118">
        <v>0</v>
      </c>
      <c r="O26" s="118">
        <v>0</v>
      </c>
      <c r="P26" s="118">
        <v>0</v>
      </c>
      <c r="Q26" s="118">
        <v>0</v>
      </c>
      <c r="R26" s="118">
        <v>0</v>
      </c>
      <c r="S26" s="118">
        <v>0</v>
      </c>
      <c r="T26" s="118">
        <v>0</v>
      </c>
      <c r="U26" s="118">
        <v>0</v>
      </c>
      <c r="V26" s="118">
        <v>0</v>
      </c>
      <c r="W26" s="118">
        <v>0</v>
      </c>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5"/>
      <c r="AY26" s="115"/>
    </row>
    <row r="27" spans="1:51">
      <c r="A27" s="314"/>
      <c r="B27" s="121" t="s">
        <v>69</v>
      </c>
      <c r="C27" s="122" t="s">
        <v>69</v>
      </c>
      <c r="D27" s="112" t="str">
        <f>D11</f>
        <v xml:space="preserve">Request </v>
      </c>
      <c r="E27" s="110" t="s">
        <v>69</v>
      </c>
      <c r="F27" s="118">
        <v>0</v>
      </c>
      <c r="G27" s="118">
        <v>0</v>
      </c>
      <c r="H27" s="118">
        <v>0</v>
      </c>
      <c r="I27" s="118">
        <v>0</v>
      </c>
      <c r="J27" s="118">
        <v>0</v>
      </c>
      <c r="K27" s="118">
        <v>0</v>
      </c>
      <c r="L27" s="118">
        <v>0</v>
      </c>
      <c r="M27" s="118">
        <v>0</v>
      </c>
      <c r="N27" s="118">
        <v>0</v>
      </c>
      <c r="O27" s="118">
        <v>0</v>
      </c>
      <c r="P27" s="118">
        <v>0</v>
      </c>
      <c r="Q27" s="118">
        <v>0</v>
      </c>
      <c r="R27" s="118">
        <v>0</v>
      </c>
      <c r="S27" s="118">
        <v>0</v>
      </c>
      <c r="T27" s="118">
        <v>0</v>
      </c>
      <c r="U27" s="118">
        <v>0</v>
      </c>
      <c r="V27" s="118">
        <v>0</v>
      </c>
      <c r="W27" s="118">
        <v>0</v>
      </c>
      <c r="X27" s="114" t="s">
        <v>69</v>
      </c>
      <c r="Y27" s="114" t="s">
        <v>69</v>
      </c>
      <c r="Z27" s="114" t="s">
        <v>69</v>
      </c>
      <c r="AA27" s="114" t="s">
        <v>69</v>
      </c>
      <c r="AB27" s="114" t="s">
        <v>69</v>
      </c>
      <c r="AC27" s="114" t="s">
        <v>69</v>
      </c>
      <c r="AD27" s="114" t="s">
        <v>69</v>
      </c>
      <c r="AE27" s="114" t="s">
        <v>69</v>
      </c>
      <c r="AF27" s="114" t="s">
        <v>69</v>
      </c>
      <c r="AG27" s="114" t="s">
        <v>69</v>
      </c>
      <c r="AH27" s="114" t="s">
        <v>69</v>
      </c>
      <c r="AI27" s="114" t="s">
        <v>69</v>
      </c>
      <c r="AJ27" s="114" t="s">
        <v>69</v>
      </c>
      <c r="AK27" s="114" t="s">
        <v>69</v>
      </c>
      <c r="AL27" s="114" t="s">
        <v>69</v>
      </c>
      <c r="AM27" s="114" t="s">
        <v>69</v>
      </c>
      <c r="AN27" s="114" t="s">
        <v>69</v>
      </c>
      <c r="AO27" s="114" t="s">
        <v>69</v>
      </c>
      <c r="AP27" s="114" t="s">
        <v>69</v>
      </c>
      <c r="AQ27" s="114" t="s">
        <v>69</v>
      </c>
      <c r="AR27" s="114" t="s">
        <v>69</v>
      </c>
      <c r="AS27" s="114" t="s">
        <v>69</v>
      </c>
      <c r="AT27" s="114" t="s">
        <v>69</v>
      </c>
      <c r="AU27" s="114" t="s">
        <v>69</v>
      </c>
      <c r="AV27" s="114" t="s">
        <v>69</v>
      </c>
      <c r="AW27" s="114" t="s">
        <v>69</v>
      </c>
      <c r="AX27" s="115"/>
      <c r="AY27" s="115"/>
    </row>
    <row r="28" spans="1:51">
      <c r="A28" s="314"/>
      <c r="B28" s="121" t="s">
        <v>69</v>
      </c>
      <c r="C28" s="122" t="s">
        <v>69</v>
      </c>
      <c r="D28" s="112" t="str">
        <f>D12</f>
        <v xml:space="preserve">Keluhan </v>
      </c>
      <c r="E28" s="110" t="s">
        <v>69</v>
      </c>
      <c r="F28" s="118">
        <v>0</v>
      </c>
      <c r="G28" s="118">
        <v>0</v>
      </c>
      <c r="H28" s="118">
        <v>0</v>
      </c>
      <c r="I28" s="118">
        <v>0</v>
      </c>
      <c r="J28" s="118">
        <v>0</v>
      </c>
      <c r="K28" s="118">
        <v>0</v>
      </c>
      <c r="L28" s="118">
        <v>0</v>
      </c>
      <c r="M28" s="118">
        <v>0</v>
      </c>
      <c r="N28" s="118">
        <v>0</v>
      </c>
      <c r="O28" s="118">
        <v>0</v>
      </c>
      <c r="P28" s="118">
        <v>0</v>
      </c>
      <c r="Q28" s="118">
        <v>0</v>
      </c>
      <c r="R28" s="118">
        <v>0</v>
      </c>
      <c r="S28" s="118">
        <v>0</v>
      </c>
      <c r="T28" s="118">
        <v>0</v>
      </c>
      <c r="U28" s="118">
        <v>0</v>
      </c>
      <c r="V28" s="118">
        <v>0</v>
      </c>
      <c r="W28" s="118">
        <v>0</v>
      </c>
      <c r="X28" s="114" t="s">
        <v>69</v>
      </c>
      <c r="Y28" s="114" t="s">
        <v>69</v>
      </c>
      <c r="Z28" s="114" t="s">
        <v>69</v>
      </c>
      <c r="AA28" s="114" t="s">
        <v>69</v>
      </c>
      <c r="AB28" s="114" t="s">
        <v>69</v>
      </c>
      <c r="AC28" s="114" t="s">
        <v>69</v>
      </c>
      <c r="AD28" s="114" t="s">
        <v>69</v>
      </c>
      <c r="AE28" s="114" t="s">
        <v>69</v>
      </c>
      <c r="AF28" s="114" t="s">
        <v>69</v>
      </c>
      <c r="AG28" s="114" t="s">
        <v>69</v>
      </c>
      <c r="AH28" s="114" t="s">
        <v>69</v>
      </c>
      <c r="AI28" s="114" t="s">
        <v>69</v>
      </c>
      <c r="AJ28" s="114" t="s">
        <v>69</v>
      </c>
      <c r="AK28" s="114" t="s">
        <v>69</v>
      </c>
      <c r="AL28" s="114" t="s">
        <v>69</v>
      </c>
      <c r="AM28" s="114" t="s">
        <v>69</v>
      </c>
      <c r="AN28" s="114" t="s">
        <v>69</v>
      </c>
      <c r="AO28" s="114" t="s">
        <v>69</v>
      </c>
      <c r="AP28" s="114" t="s">
        <v>69</v>
      </c>
      <c r="AQ28" s="114" t="s">
        <v>69</v>
      </c>
      <c r="AR28" s="114" t="s">
        <v>69</v>
      </c>
      <c r="AS28" s="114" t="s">
        <v>69</v>
      </c>
      <c r="AT28" s="114" t="s">
        <v>69</v>
      </c>
      <c r="AU28" s="114" t="s">
        <v>69</v>
      </c>
      <c r="AV28" s="114" t="s">
        <v>69</v>
      </c>
      <c r="AW28" s="114" t="s">
        <v>69</v>
      </c>
      <c r="AX28" s="115"/>
      <c r="AY28" s="115"/>
    </row>
    <row r="29" spans="1:51">
      <c r="A29" s="314"/>
      <c r="B29" s="121" t="s">
        <v>69</v>
      </c>
      <c r="C29" s="122" t="s">
        <v>69</v>
      </c>
      <c r="D29" s="112" t="str">
        <f>D13</f>
        <v>Apresiasi</v>
      </c>
      <c r="E29" s="110" t="s">
        <v>69</v>
      </c>
      <c r="F29" s="118">
        <v>0</v>
      </c>
      <c r="G29" s="118">
        <v>0</v>
      </c>
      <c r="H29" s="118">
        <v>0</v>
      </c>
      <c r="I29" s="118">
        <v>0</v>
      </c>
      <c r="J29" s="118">
        <v>0</v>
      </c>
      <c r="K29" s="118">
        <v>0</v>
      </c>
      <c r="L29" s="118">
        <v>0</v>
      </c>
      <c r="M29" s="118">
        <v>0</v>
      </c>
      <c r="N29" s="118">
        <v>0</v>
      </c>
      <c r="O29" s="118">
        <v>0</v>
      </c>
      <c r="P29" s="118">
        <v>0</v>
      </c>
      <c r="Q29" s="118">
        <v>0</v>
      </c>
      <c r="R29" s="118">
        <v>0</v>
      </c>
      <c r="S29" s="118">
        <v>0</v>
      </c>
      <c r="T29" s="118">
        <v>0</v>
      </c>
      <c r="U29" s="118">
        <v>0</v>
      </c>
      <c r="V29" s="118">
        <v>0</v>
      </c>
      <c r="W29" s="118">
        <v>0</v>
      </c>
      <c r="X29" s="114" t="s">
        <v>69</v>
      </c>
      <c r="Y29" s="114" t="s">
        <v>69</v>
      </c>
      <c r="Z29" s="114" t="s">
        <v>69</v>
      </c>
      <c r="AA29" s="114" t="s">
        <v>69</v>
      </c>
      <c r="AB29" s="114" t="s">
        <v>69</v>
      </c>
      <c r="AC29" s="114" t="s">
        <v>69</v>
      </c>
      <c r="AD29" s="114" t="s">
        <v>69</v>
      </c>
      <c r="AE29" s="114" t="s">
        <v>69</v>
      </c>
      <c r="AF29" s="114" t="s">
        <v>69</v>
      </c>
      <c r="AG29" s="114" t="s">
        <v>69</v>
      </c>
      <c r="AH29" s="114" t="s">
        <v>69</v>
      </c>
      <c r="AI29" s="114" t="s">
        <v>69</v>
      </c>
      <c r="AJ29" s="114" t="s">
        <v>69</v>
      </c>
      <c r="AK29" s="114" t="s">
        <v>69</v>
      </c>
      <c r="AL29" s="114" t="s">
        <v>69</v>
      </c>
      <c r="AM29" s="114" t="s">
        <v>69</v>
      </c>
      <c r="AN29" s="114" t="s">
        <v>69</v>
      </c>
      <c r="AO29" s="114" t="s">
        <v>69</v>
      </c>
      <c r="AP29" s="114" t="s">
        <v>69</v>
      </c>
      <c r="AQ29" s="114" t="s">
        <v>69</v>
      </c>
      <c r="AR29" s="114" t="s">
        <v>69</v>
      </c>
      <c r="AS29" s="114" t="s">
        <v>69</v>
      </c>
      <c r="AT29" s="114" t="s">
        <v>69</v>
      </c>
      <c r="AU29" s="114" t="s">
        <v>69</v>
      </c>
      <c r="AV29" s="114" t="s">
        <v>69</v>
      </c>
      <c r="AW29" s="114" t="s">
        <v>69</v>
      </c>
      <c r="AX29" s="115"/>
      <c r="AY29" s="115"/>
    </row>
    <row r="30" spans="1:51">
      <c r="A30" s="314"/>
      <c r="B30" s="121" t="s">
        <v>86</v>
      </c>
      <c r="C30" s="122" t="s">
        <v>87</v>
      </c>
      <c r="D30" s="123" t="str">
        <f>D26</f>
        <v xml:space="preserve">Permintaan Informasi </v>
      </c>
      <c r="E30" s="110" t="s">
        <v>69</v>
      </c>
      <c r="F30" s="118">
        <v>0</v>
      </c>
      <c r="G30" s="118">
        <v>0</v>
      </c>
      <c r="H30" s="118">
        <v>0</v>
      </c>
      <c r="I30" s="118">
        <v>0</v>
      </c>
      <c r="J30" s="118">
        <v>0</v>
      </c>
      <c r="K30" s="118">
        <v>0</v>
      </c>
      <c r="L30" s="118">
        <v>0</v>
      </c>
      <c r="M30" s="118">
        <v>0</v>
      </c>
      <c r="N30" s="118">
        <v>0</v>
      </c>
      <c r="O30" s="118">
        <v>0</v>
      </c>
      <c r="P30" s="118">
        <v>0</v>
      </c>
      <c r="Q30" s="118">
        <v>0</v>
      </c>
      <c r="R30" s="118">
        <v>0</v>
      </c>
      <c r="S30" s="118">
        <v>0</v>
      </c>
      <c r="T30" s="118">
        <v>0</v>
      </c>
      <c r="U30" s="118">
        <v>0</v>
      </c>
      <c r="V30" s="118">
        <v>0</v>
      </c>
      <c r="W30" s="118">
        <v>0</v>
      </c>
      <c r="X30" s="114" t="s">
        <v>69</v>
      </c>
      <c r="Y30" s="114" t="s">
        <v>69</v>
      </c>
      <c r="Z30" s="114" t="s">
        <v>69</v>
      </c>
      <c r="AA30" s="114" t="s">
        <v>69</v>
      </c>
      <c r="AB30" s="114" t="s">
        <v>69</v>
      </c>
      <c r="AC30" s="114" t="s">
        <v>69</v>
      </c>
      <c r="AD30" s="114" t="s">
        <v>69</v>
      </c>
      <c r="AE30" s="114" t="s">
        <v>69</v>
      </c>
      <c r="AF30" s="114" t="s">
        <v>69</v>
      </c>
      <c r="AG30" s="114" t="s">
        <v>69</v>
      </c>
      <c r="AH30" s="114" t="s">
        <v>69</v>
      </c>
      <c r="AI30" s="114" t="s">
        <v>69</v>
      </c>
      <c r="AJ30" s="114" t="s">
        <v>69</v>
      </c>
      <c r="AK30" s="114" t="s">
        <v>69</v>
      </c>
      <c r="AL30" s="114" t="s">
        <v>69</v>
      </c>
      <c r="AM30" s="114" t="s">
        <v>69</v>
      </c>
      <c r="AN30" s="114" t="s">
        <v>69</v>
      </c>
      <c r="AO30" s="114" t="s">
        <v>69</v>
      </c>
      <c r="AP30" s="114" t="s">
        <v>69</v>
      </c>
      <c r="AQ30" s="114" t="s">
        <v>69</v>
      </c>
      <c r="AR30" s="114" t="s">
        <v>69</v>
      </c>
      <c r="AS30" s="114" t="s">
        <v>69</v>
      </c>
      <c r="AT30" s="114" t="s">
        <v>69</v>
      </c>
      <c r="AU30" s="114" t="s">
        <v>69</v>
      </c>
      <c r="AV30" s="114" t="s">
        <v>69</v>
      </c>
      <c r="AW30" s="114" t="s">
        <v>69</v>
      </c>
      <c r="AX30" s="115"/>
      <c r="AY30" s="115"/>
    </row>
    <row r="31" spans="1:51">
      <c r="A31" s="314"/>
      <c r="B31" s="121" t="s">
        <v>69</v>
      </c>
      <c r="C31" s="122" t="s">
        <v>69</v>
      </c>
      <c r="D31" s="123" t="str">
        <f>D27</f>
        <v xml:space="preserve">Request </v>
      </c>
      <c r="E31" s="110" t="s">
        <v>69</v>
      </c>
      <c r="F31" s="118">
        <v>0</v>
      </c>
      <c r="G31" s="118">
        <v>0</v>
      </c>
      <c r="H31" s="118">
        <v>0</v>
      </c>
      <c r="I31" s="118">
        <v>0</v>
      </c>
      <c r="J31" s="118">
        <v>0</v>
      </c>
      <c r="K31" s="118">
        <v>0</v>
      </c>
      <c r="L31" s="118">
        <v>0</v>
      </c>
      <c r="M31" s="118">
        <v>0</v>
      </c>
      <c r="N31" s="118">
        <v>0</v>
      </c>
      <c r="O31" s="118">
        <v>0</v>
      </c>
      <c r="P31" s="118">
        <v>0</v>
      </c>
      <c r="Q31" s="118">
        <v>0</v>
      </c>
      <c r="R31" s="118">
        <v>0</v>
      </c>
      <c r="S31" s="118">
        <v>0</v>
      </c>
      <c r="T31" s="118">
        <v>0</v>
      </c>
      <c r="U31" s="118">
        <v>0</v>
      </c>
      <c r="V31" s="118">
        <v>0</v>
      </c>
      <c r="W31" s="118">
        <v>0</v>
      </c>
      <c r="X31" s="114" t="s">
        <v>69</v>
      </c>
      <c r="Y31" s="114" t="s">
        <v>69</v>
      </c>
      <c r="Z31" s="114" t="s">
        <v>69</v>
      </c>
      <c r="AA31" s="114" t="s">
        <v>69</v>
      </c>
      <c r="AB31" s="114" t="s">
        <v>69</v>
      </c>
      <c r="AC31" s="114" t="s">
        <v>69</v>
      </c>
      <c r="AD31" s="114" t="s">
        <v>69</v>
      </c>
      <c r="AE31" s="114" t="s">
        <v>69</v>
      </c>
      <c r="AF31" s="114" t="s">
        <v>69</v>
      </c>
      <c r="AG31" s="114" t="s">
        <v>69</v>
      </c>
      <c r="AH31" s="114" t="s">
        <v>69</v>
      </c>
      <c r="AI31" s="114" t="s">
        <v>69</v>
      </c>
      <c r="AJ31" s="114" t="s">
        <v>69</v>
      </c>
      <c r="AK31" s="114" t="s">
        <v>69</v>
      </c>
      <c r="AL31" s="114" t="s">
        <v>69</v>
      </c>
      <c r="AM31" s="114" t="s">
        <v>69</v>
      </c>
      <c r="AN31" s="114" t="s">
        <v>69</v>
      </c>
      <c r="AO31" s="114" t="s">
        <v>69</v>
      </c>
      <c r="AP31" s="114" t="s">
        <v>69</v>
      </c>
      <c r="AQ31" s="114" t="s">
        <v>69</v>
      </c>
      <c r="AR31" s="114" t="s">
        <v>69</v>
      </c>
      <c r="AS31" s="114" t="s">
        <v>69</v>
      </c>
      <c r="AT31" s="114" t="s">
        <v>69</v>
      </c>
      <c r="AU31" s="114" t="s">
        <v>69</v>
      </c>
      <c r="AV31" s="114" t="s">
        <v>69</v>
      </c>
      <c r="AW31" s="114" t="s">
        <v>69</v>
      </c>
      <c r="AX31" s="115"/>
      <c r="AY31" s="115"/>
    </row>
    <row r="32" spans="1:51">
      <c r="A32" s="314"/>
      <c r="B32" s="121" t="s">
        <v>69</v>
      </c>
      <c r="C32" s="122" t="s">
        <v>69</v>
      </c>
      <c r="D32" s="123" t="str">
        <f>D28</f>
        <v xml:space="preserve">Keluhan </v>
      </c>
      <c r="E32" s="110" t="s">
        <v>69</v>
      </c>
      <c r="F32" s="118">
        <v>0</v>
      </c>
      <c r="G32" s="118">
        <v>0</v>
      </c>
      <c r="H32" s="118">
        <v>0</v>
      </c>
      <c r="I32" s="118">
        <v>0</v>
      </c>
      <c r="J32" s="118">
        <v>0</v>
      </c>
      <c r="K32" s="118">
        <v>0</v>
      </c>
      <c r="L32" s="118">
        <v>0</v>
      </c>
      <c r="M32" s="118">
        <v>0</v>
      </c>
      <c r="N32" s="118">
        <v>0</v>
      </c>
      <c r="O32" s="118">
        <v>0</v>
      </c>
      <c r="P32" s="118">
        <v>0</v>
      </c>
      <c r="Q32" s="118">
        <v>0</v>
      </c>
      <c r="R32" s="118">
        <v>0</v>
      </c>
      <c r="S32" s="118">
        <v>0</v>
      </c>
      <c r="T32" s="118">
        <v>0</v>
      </c>
      <c r="U32" s="118">
        <v>0</v>
      </c>
      <c r="V32" s="118">
        <v>0</v>
      </c>
      <c r="W32" s="118">
        <v>0</v>
      </c>
      <c r="X32" s="114" t="s">
        <v>69</v>
      </c>
      <c r="Y32" s="114" t="s">
        <v>69</v>
      </c>
      <c r="Z32" s="114" t="s">
        <v>69</v>
      </c>
      <c r="AA32" s="114" t="s">
        <v>69</v>
      </c>
      <c r="AB32" s="114" t="s">
        <v>69</v>
      </c>
      <c r="AC32" s="114" t="s">
        <v>69</v>
      </c>
      <c r="AD32" s="114" t="s">
        <v>69</v>
      </c>
      <c r="AE32" s="114" t="s">
        <v>69</v>
      </c>
      <c r="AF32" s="114" t="s">
        <v>69</v>
      </c>
      <c r="AG32" s="114" t="s">
        <v>69</v>
      </c>
      <c r="AH32" s="114" t="s">
        <v>69</v>
      </c>
      <c r="AI32" s="114" t="s">
        <v>69</v>
      </c>
      <c r="AJ32" s="114" t="s">
        <v>69</v>
      </c>
      <c r="AK32" s="114" t="s">
        <v>69</v>
      </c>
      <c r="AL32" s="114" t="s">
        <v>69</v>
      </c>
      <c r="AM32" s="114" t="s">
        <v>69</v>
      </c>
      <c r="AN32" s="114" t="s">
        <v>69</v>
      </c>
      <c r="AO32" s="114" t="s">
        <v>69</v>
      </c>
      <c r="AP32" s="114" t="s">
        <v>69</v>
      </c>
      <c r="AQ32" s="114" t="s">
        <v>69</v>
      </c>
      <c r="AR32" s="114" t="s">
        <v>69</v>
      </c>
      <c r="AS32" s="114" t="s">
        <v>69</v>
      </c>
      <c r="AT32" s="114" t="s">
        <v>69</v>
      </c>
      <c r="AU32" s="114" t="s">
        <v>69</v>
      </c>
      <c r="AV32" s="114" t="s">
        <v>69</v>
      </c>
      <c r="AW32" s="114" t="s">
        <v>69</v>
      </c>
      <c r="AX32" s="115"/>
      <c r="AY32" s="115"/>
    </row>
    <row r="33" spans="1:51">
      <c r="A33" s="314"/>
      <c r="B33" s="121" t="s">
        <v>69</v>
      </c>
      <c r="C33" s="122" t="s">
        <v>69</v>
      </c>
      <c r="D33" s="123" t="s">
        <v>88</v>
      </c>
      <c r="E33" s="110" t="s">
        <v>69</v>
      </c>
      <c r="F33" s="118">
        <v>0</v>
      </c>
      <c r="G33" s="118">
        <v>0</v>
      </c>
      <c r="H33" s="118">
        <v>0</v>
      </c>
      <c r="I33" s="118">
        <v>0</v>
      </c>
      <c r="J33" s="118">
        <v>0</v>
      </c>
      <c r="K33" s="118">
        <v>0</v>
      </c>
      <c r="L33" s="118">
        <v>0</v>
      </c>
      <c r="M33" s="118">
        <v>0</v>
      </c>
      <c r="N33" s="118">
        <v>0</v>
      </c>
      <c r="O33" s="118">
        <v>0</v>
      </c>
      <c r="P33" s="118">
        <v>0</v>
      </c>
      <c r="Q33" s="118">
        <v>0</v>
      </c>
      <c r="R33" s="118">
        <v>0</v>
      </c>
      <c r="S33" s="118">
        <v>0</v>
      </c>
      <c r="T33" s="118">
        <v>0</v>
      </c>
      <c r="U33" s="118">
        <v>0</v>
      </c>
      <c r="V33" s="118">
        <v>0</v>
      </c>
      <c r="W33" s="118">
        <v>0</v>
      </c>
      <c r="X33" s="114" t="s">
        <v>69</v>
      </c>
      <c r="Y33" s="114" t="s">
        <v>69</v>
      </c>
      <c r="Z33" s="114" t="s">
        <v>69</v>
      </c>
      <c r="AA33" s="114" t="s">
        <v>69</v>
      </c>
      <c r="AB33" s="114" t="s">
        <v>69</v>
      </c>
      <c r="AC33" s="114" t="s">
        <v>69</v>
      </c>
      <c r="AD33" s="114" t="s">
        <v>69</v>
      </c>
      <c r="AE33" s="114" t="s">
        <v>69</v>
      </c>
      <c r="AF33" s="114" t="s">
        <v>69</v>
      </c>
      <c r="AG33" s="114" t="s">
        <v>69</v>
      </c>
      <c r="AH33" s="114" t="s">
        <v>69</v>
      </c>
      <c r="AI33" s="114" t="s">
        <v>69</v>
      </c>
      <c r="AJ33" s="114" t="s">
        <v>69</v>
      </c>
      <c r="AK33" s="114" t="s">
        <v>69</v>
      </c>
      <c r="AL33" s="114" t="s">
        <v>69</v>
      </c>
      <c r="AM33" s="114" t="s">
        <v>69</v>
      </c>
      <c r="AN33" s="114" t="s">
        <v>69</v>
      </c>
      <c r="AO33" s="114" t="s">
        <v>69</v>
      </c>
      <c r="AP33" s="114" t="s">
        <v>69</v>
      </c>
      <c r="AQ33" s="114" t="s">
        <v>69</v>
      </c>
      <c r="AR33" s="114" t="s">
        <v>69</v>
      </c>
      <c r="AS33" s="114" t="s">
        <v>69</v>
      </c>
      <c r="AT33" s="114" t="s">
        <v>69</v>
      </c>
      <c r="AU33" s="114" t="s">
        <v>69</v>
      </c>
      <c r="AV33" s="114" t="s">
        <v>69</v>
      </c>
      <c r="AW33" s="114" t="s">
        <v>69</v>
      </c>
      <c r="AX33" s="115"/>
      <c r="AY33" s="115"/>
    </row>
    <row r="34" spans="1:51">
      <c r="A34" s="314"/>
      <c r="B34" s="121" t="s">
        <v>89</v>
      </c>
      <c r="C34" s="122" t="s">
        <v>90</v>
      </c>
      <c r="D34" s="123" t="str">
        <f>D30</f>
        <v xml:space="preserve">Permintaan Informasi </v>
      </c>
      <c r="E34" s="110" t="s">
        <v>69</v>
      </c>
      <c r="F34" s="118">
        <v>0</v>
      </c>
      <c r="G34" s="118">
        <v>0</v>
      </c>
      <c r="H34" s="118">
        <v>0</v>
      </c>
      <c r="I34" s="118">
        <v>0</v>
      </c>
      <c r="J34" s="118">
        <v>0</v>
      </c>
      <c r="K34" s="118">
        <v>0</v>
      </c>
      <c r="L34" s="118">
        <v>0</v>
      </c>
      <c r="M34" s="118">
        <v>0</v>
      </c>
      <c r="N34" s="118">
        <v>0</v>
      </c>
      <c r="O34" s="118">
        <v>0</v>
      </c>
      <c r="P34" s="118">
        <v>0</v>
      </c>
      <c r="Q34" s="118">
        <v>0</v>
      </c>
      <c r="R34" s="118">
        <v>0</v>
      </c>
      <c r="S34" s="118">
        <v>0</v>
      </c>
      <c r="T34" s="118">
        <v>0</v>
      </c>
      <c r="U34" s="118">
        <v>0</v>
      </c>
      <c r="V34" s="118">
        <v>0</v>
      </c>
      <c r="W34" s="118">
        <v>0</v>
      </c>
      <c r="X34" s="114" t="s">
        <v>69</v>
      </c>
      <c r="Y34" s="114" t="s">
        <v>69</v>
      </c>
      <c r="Z34" s="114" t="s">
        <v>69</v>
      </c>
      <c r="AA34" s="114" t="s">
        <v>69</v>
      </c>
      <c r="AB34" s="114" t="s">
        <v>69</v>
      </c>
      <c r="AC34" s="114" t="s">
        <v>69</v>
      </c>
      <c r="AD34" s="114" t="s">
        <v>69</v>
      </c>
      <c r="AE34" s="114" t="s">
        <v>69</v>
      </c>
      <c r="AF34" s="114" t="s">
        <v>69</v>
      </c>
      <c r="AG34" s="114" t="s">
        <v>69</v>
      </c>
      <c r="AH34" s="114" t="s">
        <v>69</v>
      </c>
      <c r="AI34" s="114" t="s">
        <v>69</v>
      </c>
      <c r="AJ34" s="114" t="s">
        <v>69</v>
      </c>
      <c r="AK34" s="114" t="s">
        <v>69</v>
      </c>
      <c r="AL34" s="114" t="s">
        <v>69</v>
      </c>
      <c r="AM34" s="114" t="s">
        <v>69</v>
      </c>
      <c r="AN34" s="114" t="s">
        <v>69</v>
      </c>
      <c r="AO34" s="114" t="s">
        <v>69</v>
      </c>
      <c r="AP34" s="114" t="s">
        <v>69</v>
      </c>
      <c r="AQ34" s="114" t="s">
        <v>69</v>
      </c>
      <c r="AR34" s="114" t="s">
        <v>69</v>
      </c>
      <c r="AS34" s="114" t="s">
        <v>69</v>
      </c>
      <c r="AT34" s="114" t="s">
        <v>69</v>
      </c>
      <c r="AU34" s="114" t="s">
        <v>69</v>
      </c>
      <c r="AV34" s="114" t="s">
        <v>69</v>
      </c>
      <c r="AW34" s="114" t="s">
        <v>69</v>
      </c>
      <c r="AX34" s="115"/>
      <c r="AY34" s="115"/>
    </row>
    <row r="35" spans="1:51">
      <c r="A35" s="314"/>
      <c r="B35" s="121" t="s">
        <v>69</v>
      </c>
      <c r="C35" s="122" t="s">
        <v>69</v>
      </c>
      <c r="D35" s="123" t="str">
        <f>D31</f>
        <v xml:space="preserve">Request </v>
      </c>
      <c r="E35" s="110" t="s">
        <v>69</v>
      </c>
      <c r="F35" s="118">
        <v>0</v>
      </c>
      <c r="G35" s="118">
        <v>0</v>
      </c>
      <c r="H35" s="118">
        <v>0</v>
      </c>
      <c r="I35" s="118">
        <v>0</v>
      </c>
      <c r="J35" s="118">
        <v>0</v>
      </c>
      <c r="K35" s="118">
        <v>0</v>
      </c>
      <c r="L35" s="118">
        <v>0</v>
      </c>
      <c r="M35" s="118">
        <v>0</v>
      </c>
      <c r="N35" s="118">
        <v>0</v>
      </c>
      <c r="O35" s="118">
        <v>0</v>
      </c>
      <c r="P35" s="118">
        <v>0</v>
      </c>
      <c r="Q35" s="118">
        <v>0</v>
      </c>
      <c r="R35" s="118">
        <v>0</v>
      </c>
      <c r="S35" s="118">
        <v>0</v>
      </c>
      <c r="T35" s="118">
        <v>0</v>
      </c>
      <c r="U35" s="118">
        <v>0</v>
      </c>
      <c r="V35" s="118">
        <v>0</v>
      </c>
      <c r="W35" s="118">
        <v>0</v>
      </c>
      <c r="X35" s="114" t="s">
        <v>69</v>
      </c>
      <c r="Y35" s="114" t="s">
        <v>69</v>
      </c>
      <c r="Z35" s="114" t="s">
        <v>69</v>
      </c>
      <c r="AA35" s="114" t="s">
        <v>69</v>
      </c>
      <c r="AB35" s="114" t="s">
        <v>69</v>
      </c>
      <c r="AC35" s="114" t="s">
        <v>69</v>
      </c>
      <c r="AD35" s="114" t="s">
        <v>69</v>
      </c>
      <c r="AE35" s="114" t="s">
        <v>69</v>
      </c>
      <c r="AF35" s="114" t="s">
        <v>69</v>
      </c>
      <c r="AG35" s="114" t="s">
        <v>69</v>
      </c>
      <c r="AH35" s="114" t="s">
        <v>69</v>
      </c>
      <c r="AI35" s="114" t="s">
        <v>69</v>
      </c>
      <c r="AJ35" s="114" t="s">
        <v>69</v>
      </c>
      <c r="AK35" s="114" t="s">
        <v>69</v>
      </c>
      <c r="AL35" s="114" t="s">
        <v>69</v>
      </c>
      <c r="AM35" s="114" t="s">
        <v>69</v>
      </c>
      <c r="AN35" s="114" t="s">
        <v>69</v>
      </c>
      <c r="AO35" s="114" t="s">
        <v>69</v>
      </c>
      <c r="AP35" s="114" t="s">
        <v>69</v>
      </c>
      <c r="AQ35" s="114" t="s">
        <v>69</v>
      </c>
      <c r="AR35" s="114" t="s">
        <v>69</v>
      </c>
      <c r="AS35" s="114" t="s">
        <v>69</v>
      </c>
      <c r="AT35" s="114" t="s">
        <v>69</v>
      </c>
      <c r="AU35" s="114" t="s">
        <v>69</v>
      </c>
      <c r="AV35" s="114" t="s">
        <v>69</v>
      </c>
      <c r="AW35" s="114" t="s">
        <v>69</v>
      </c>
      <c r="AX35" s="115"/>
      <c r="AY35" s="115"/>
    </row>
    <row r="36" spans="1:51">
      <c r="A36" s="314"/>
      <c r="B36" s="121" t="s">
        <v>69</v>
      </c>
      <c r="C36" s="122" t="s">
        <v>69</v>
      </c>
      <c r="D36" s="123" t="str">
        <f>D32</f>
        <v xml:space="preserve">Keluhan </v>
      </c>
      <c r="E36" s="110" t="s">
        <v>69</v>
      </c>
      <c r="F36" s="118">
        <v>0</v>
      </c>
      <c r="G36" s="118">
        <v>0</v>
      </c>
      <c r="H36" s="118">
        <v>0</v>
      </c>
      <c r="I36" s="118">
        <v>0</v>
      </c>
      <c r="J36" s="118">
        <v>0</v>
      </c>
      <c r="K36" s="118">
        <v>0</v>
      </c>
      <c r="L36" s="118">
        <v>0</v>
      </c>
      <c r="M36" s="118">
        <v>0</v>
      </c>
      <c r="N36" s="118">
        <v>0</v>
      </c>
      <c r="O36" s="118">
        <v>0</v>
      </c>
      <c r="P36" s="118">
        <v>0</v>
      </c>
      <c r="Q36" s="118">
        <v>0</v>
      </c>
      <c r="R36" s="118">
        <v>0</v>
      </c>
      <c r="S36" s="118">
        <v>0</v>
      </c>
      <c r="T36" s="118">
        <v>0</v>
      </c>
      <c r="U36" s="118">
        <v>0</v>
      </c>
      <c r="V36" s="118">
        <v>0</v>
      </c>
      <c r="W36" s="118">
        <v>0</v>
      </c>
      <c r="X36" s="114" t="s">
        <v>69</v>
      </c>
      <c r="Y36" s="114" t="s">
        <v>69</v>
      </c>
      <c r="Z36" s="114" t="s">
        <v>69</v>
      </c>
      <c r="AA36" s="114" t="s">
        <v>69</v>
      </c>
      <c r="AB36" s="114" t="s">
        <v>69</v>
      </c>
      <c r="AC36" s="114" t="s">
        <v>69</v>
      </c>
      <c r="AD36" s="114" t="s">
        <v>69</v>
      </c>
      <c r="AE36" s="114" t="s">
        <v>69</v>
      </c>
      <c r="AF36" s="114" t="s">
        <v>69</v>
      </c>
      <c r="AG36" s="114" t="s">
        <v>69</v>
      </c>
      <c r="AH36" s="114" t="s">
        <v>69</v>
      </c>
      <c r="AI36" s="114" t="s">
        <v>69</v>
      </c>
      <c r="AJ36" s="114" t="s">
        <v>69</v>
      </c>
      <c r="AK36" s="114" t="s">
        <v>69</v>
      </c>
      <c r="AL36" s="114" t="s">
        <v>69</v>
      </c>
      <c r="AM36" s="114" t="s">
        <v>69</v>
      </c>
      <c r="AN36" s="114" t="s">
        <v>69</v>
      </c>
      <c r="AO36" s="114" t="s">
        <v>69</v>
      </c>
      <c r="AP36" s="114" t="s">
        <v>69</v>
      </c>
      <c r="AQ36" s="114" t="s">
        <v>69</v>
      </c>
      <c r="AR36" s="114" t="s">
        <v>69</v>
      </c>
      <c r="AS36" s="114" t="s">
        <v>69</v>
      </c>
      <c r="AT36" s="114" t="s">
        <v>69</v>
      </c>
      <c r="AU36" s="114" t="s">
        <v>69</v>
      </c>
      <c r="AV36" s="114" t="s">
        <v>69</v>
      </c>
      <c r="AW36" s="114" t="s">
        <v>69</v>
      </c>
      <c r="AX36" s="115"/>
      <c r="AY36" s="115"/>
    </row>
    <row r="37" spans="1:51">
      <c r="A37" s="314"/>
      <c r="B37" s="121" t="s">
        <v>69</v>
      </c>
      <c r="C37" s="122" t="s">
        <v>69</v>
      </c>
      <c r="D37" s="123" t="str">
        <f>D33</f>
        <v>Apresiasi</v>
      </c>
      <c r="E37" s="110" t="s">
        <v>69</v>
      </c>
      <c r="F37" s="118">
        <v>0</v>
      </c>
      <c r="G37" s="118">
        <v>0</v>
      </c>
      <c r="H37" s="118">
        <v>0</v>
      </c>
      <c r="I37" s="118">
        <v>0</v>
      </c>
      <c r="J37" s="118">
        <v>0</v>
      </c>
      <c r="K37" s="118">
        <v>0</v>
      </c>
      <c r="L37" s="118">
        <v>0</v>
      </c>
      <c r="M37" s="118">
        <v>0</v>
      </c>
      <c r="N37" s="118">
        <v>0</v>
      </c>
      <c r="O37" s="118">
        <v>0</v>
      </c>
      <c r="P37" s="118">
        <v>0</v>
      </c>
      <c r="Q37" s="118">
        <v>0</v>
      </c>
      <c r="R37" s="118">
        <v>0</v>
      </c>
      <c r="S37" s="118">
        <v>0</v>
      </c>
      <c r="T37" s="118">
        <v>0</v>
      </c>
      <c r="U37" s="118">
        <v>0</v>
      </c>
      <c r="V37" s="118">
        <v>0</v>
      </c>
      <c r="W37" s="118">
        <v>0</v>
      </c>
      <c r="X37" s="114" t="s">
        <v>69</v>
      </c>
      <c r="Y37" s="114" t="s">
        <v>69</v>
      </c>
      <c r="Z37" s="114" t="s">
        <v>69</v>
      </c>
      <c r="AA37" s="114" t="s">
        <v>69</v>
      </c>
      <c r="AB37" s="114" t="s">
        <v>69</v>
      </c>
      <c r="AC37" s="114" t="s">
        <v>69</v>
      </c>
      <c r="AD37" s="114" t="s">
        <v>69</v>
      </c>
      <c r="AE37" s="114" t="s">
        <v>69</v>
      </c>
      <c r="AF37" s="114" t="s">
        <v>69</v>
      </c>
      <c r="AG37" s="114" t="s">
        <v>69</v>
      </c>
      <c r="AH37" s="114" t="s">
        <v>69</v>
      </c>
      <c r="AI37" s="114" t="s">
        <v>69</v>
      </c>
      <c r="AJ37" s="114" t="s">
        <v>69</v>
      </c>
      <c r="AK37" s="114" t="s">
        <v>69</v>
      </c>
      <c r="AL37" s="114" t="s">
        <v>69</v>
      </c>
      <c r="AM37" s="114" t="s">
        <v>69</v>
      </c>
      <c r="AN37" s="114" t="s">
        <v>69</v>
      </c>
      <c r="AO37" s="114" t="s">
        <v>69</v>
      </c>
      <c r="AP37" s="114" t="s">
        <v>69</v>
      </c>
      <c r="AQ37" s="114" t="s">
        <v>69</v>
      </c>
      <c r="AR37" s="114" t="s">
        <v>69</v>
      </c>
      <c r="AS37" s="114" t="s">
        <v>69</v>
      </c>
      <c r="AT37" s="114" t="s">
        <v>69</v>
      </c>
      <c r="AU37" s="114" t="s">
        <v>69</v>
      </c>
      <c r="AV37" s="114" t="s">
        <v>69</v>
      </c>
      <c r="AW37" s="114" t="s">
        <v>69</v>
      </c>
      <c r="AX37" s="115"/>
      <c r="AY37" s="115"/>
    </row>
    <row r="38" spans="1:51">
      <c r="A38" s="314"/>
      <c r="B38" s="111" t="s">
        <v>91</v>
      </c>
      <c r="C38" s="117" t="s">
        <v>92</v>
      </c>
      <c r="D38" s="112" t="str">
        <f>D34</f>
        <v xml:space="preserve">Permintaan Informasi </v>
      </c>
      <c r="E38" s="110" t="s">
        <v>69</v>
      </c>
      <c r="F38" s="118">
        <v>2</v>
      </c>
      <c r="G38" s="118">
        <v>1</v>
      </c>
      <c r="H38" s="118">
        <v>3</v>
      </c>
      <c r="I38" s="118">
        <v>3</v>
      </c>
      <c r="J38" s="118">
        <v>2</v>
      </c>
      <c r="K38" s="118">
        <v>0</v>
      </c>
      <c r="L38" s="118">
        <v>11</v>
      </c>
      <c r="M38" s="118">
        <v>10</v>
      </c>
      <c r="N38" s="118">
        <v>3</v>
      </c>
      <c r="O38" s="118">
        <v>0</v>
      </c>
      <c r="P38" s="118">
        <v>1</v>
      </c>
      <c r="Q38" s="118">
        <v>0</v>
      </c>
      <c r="R38" s="118">
        <v>2</v>
      </c>
      <c r="S38" s="118">
        <v>2</v>
      </c>
      <c r="T38" s="118">
        <v>1</v>
      </c>
      <c r="U38" s="118">
        <v>5</v>
      </c>
      <c r="V38" s="118">
        <v>6</v>
      </c>
      <c r="W38" s="118">
        <v>5</v>
      </c>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5"/>
      <c r="AY38" s="115"/>
    </row>
    <row r="39" spans="1:51">
      <c r="A39" s="314"/>
      <c r="B39" s="111" t="s">
        <v>69</v>
      </c>
      <c r="C39" s="111" t="s">
        <v>69</v>
      </c>
      <c r="D39" s="112" t="str">
        <f>D35</f>
        <v xml:space="preserve">Request </v>
      </c>
      <c r="E39" s="110" t="s">
        <v>69</v>
      </c>
      <c r="F39" s="118">
        <v>0</v>
      </c>
      <c r="G39" s="118">
        <v>0</v>
      </c>
      <c r="H39" s="118">
        <v>0</v>
      </c>
      <c r="I39" s="118">
        <v>0</v>
      </c>
      <c r="J39" s="118">
        <v>0</v>
      </c>
      <c r="K39" s="118">
        <v>0</v>
      </c>
      <c r="L39" s="118">
        <v>0</v>
      </c>
      <c r="M39" s="118">
        <v>0</v>
      </c>
      <c r="N39" s="118">
        <v>0</v>
      </c>
      <c r="O39" s="118">
        <v>0</v>
      </c>
      <c r="P39" s="118">
        <v>0</v>
      </c>
      <c r="Q39" s="118">
        <v>0</v>
      </c>
      <c r="R39" s="118">
        <v>0</v>
      </c>
      <c r="S39" s="118">
        <v>0</v>
      </c>
      <c r="T39" s="118">
        <v>0</v>
      </c>
      <c r="U39" s="118">
        <v>0</v>
      </c>
      <c r="V39" s="118">
        <v>0</v>
      </c>
      <c r="W39" s="118">
        <v>0</v>
      </c>
      <c r="X39" s="114" t="s">
        <v>69</v>
      </c>
      <c r="Y39" s="114" t="s">
        <v>69</v>
      </c>
      <c r="Z39" s="114" t="s">
        <v>69</v>
      </c>
      <c r="AA39" s="114" t="s">
        <v>69</v>
      </c>
      <c r="AB39" s="114" t="s">
        <v>69</v>
      </c>
      <c r="AC39" s="114" t="s">
        <v>69</v>
      </c>
      <c r="AD39" s="114" t="s">
        <v>69</v>
      </c>
      <c r="AE39" s="114" t="s">
        <v>69</v>
      </c>
      <c r="AF39" s="114" t="s">
        <v>69</v>
      </c>
      <c r="AG39" s="114" t="s">
        <v>69</v>
      </c>
      <c r="AH39" s="114" t="s">
        <v>69</v>
      </c>
      <c r="AI39" s="114" t="s">
        <v>69</v>
      </c>
      <c r="AJ39" s="114" t="s">
        <v>69</v>
      </c>
      <c r="AK39" s="114" t="s">
        <v>69</v>
      </c>
      <c r="AL39" s="114" t="s">
        <v>69</v>
      </c>
      <c r="AM39" s="114" t="s">
        <v>69</v>
      </c>
      <c r="AN39" s="114" t="s">
        <v>69</v>
      </c>
      <c r="AO39" s="114" t="s">
        <v>69</v>
      </c>
      <c r="AP39" s="114" t="s">
        <v>69</v>
      </c>
      <c r="AQ39" s="114" t="s">
        <v>69</v>
      </c>
      <c r="AR39" s="114" t="s">
        <v>69</v>
      </c>
      <c r="AS39" s="114" t="s">
        <v>69</v>
      </c>
      <c r="AT39" s="114" t="s">
        <v>69</v>
      </c>
      <c r="AU39" s="114" t="s">
        <v>69</v>
      </c>
      <c r="AV39" s="114" t="s">
        <v>69</v>
      </c>
      <c r="AW39" s="114" t="s">
        <v>69</v>
      </c>
      <c r="AX39" s="115"/>
      <c r="AY39" s="115"/>
    </row>
    <row r="40" spans="1:51">
      <c r="A40" s="314"/>
      <c r="B40" s="111" t="s">
        <v>69</v>
      </c>
      <c r="C40" s="111" t="s">
        <v>69</v>
      </c>
      <c r="D40" s="112" t="str">
        <f>D36</f>
        <v xml:space="preserve">Keluhan </v>
      </c>
      <c r="E40" s="110" t="s">
        <v>69</v>
      </c>
      <c r="F40" s="118">
        <v>0</v>
      </c>
      <c r="G40" s="118">
        <v>0</v>
      </c>
      <c r="H40" s="118">
        <v>0</v>
      </c>
      <c r="I40" s="118">
        <v>1</v>
      </c>
      <c r="J40" s="118">
        <v>0</v>
      </c>
      <c r="K40" s="118">
        <v>0</v>
      </c>
      <c r="L40" s="118">
        <v>0</v>
      </c>
      <c r="M40" s="118">
        <v>0</v>
      </c>
      <c r="N40" s="118">
        <v>0</v>
      </c>
      <c r="O40" s="118">
        <v>0</v>
      </c>
      <c r="P40" s="118">
        <v>0</v>
      </c>
      <c r="Q40" s="118">
        <v>0</v>
      </c>
      <c r="R40" s="118">
        <v>0</v>
      </c>
      <c r="S40" s="118">
        <v>0</v>
      </c>
      <c r="T40" s="118">
        <v>0</v>
      </c>
      <c r="U40" s="118">
        <v>0</v>
      </c>
      <c r="V40" s="118">
        <v>0</v>
      </c>
      <c r="W40" s="118">
        <v>0</v>
      </c>
      <c r="X40" s="114"/>
      <c r="Y40" s="114"/>
      <c r="Z40" s="114"/>
      <c r="AA40" s="114"/>
      <c r="AB40" s="114"/>
      <c r="AC40" s="114"/>
      <c r="AD40" s="114"/>
      <c r="AE40" s="114"/>
      <c r="AF40" s="114"/>
      <c r="AG40" s="114"/>
      <c r="AH40" s="114"/>
      <c r="AI40" s="114"/>
      <c r="AJ40" s="114"/>
      <c r="AK40" s="114"/>
      <c r="AL40" s="114"/>
      <c r="AM40" s="114"/>
      <c r="AN40" s="114"/>
      <c r="AO40" s="114"/>
      <c r="AP40" s="114"/>
      <c r="AQ40" s="114"/>
      <c r="AR40" s="114"/>
      <c r="AS40" s="114"/>
      <c r="AT40" s="114"/>
      <c r="AU40" s="114"/>
      <c r="AV40" s="114"/>
      <c r="AW40" s="114"/>
      <c r="AX40" s="115"/>
      <c r="AY40" s="115"/>
    </row>
    <row r="41" spans="1:51">
      <c r="A41" s="314"/>
      <c r="B41" s="111" t="s">
        <v>69</v>
      </c>
      <c r="C41" s="111" t="s">
        <v>69</v>
      </c>
      <c r="D41" s="112" t="str">
        <f>D37</f>
        <v>Apresiasi</v>
      </c>
      <c r="E41" s="110" t="s">
        <v>69</v>
      </c>
      <c r="F41" s="118">
        <v>0</v>
      </c>
      <c r="G41" s="118">
        <v>0</v>
      </c>
      <c r="H41" s="118">
        <v>0</v>
      </c>
      <c r="I41" s="118">
        <v>0</v>
      </c>
      <c r="J41" s="118">
        <v>0</v>
      </c>
      <c r="K41" s="118">
        <v>0</v>
      </c>
      <c r="L41" s="118">
        <v>0</v>
      </c>
      <c r="M41" s="118">
        <v>0</v>
      </c>
      <c r="N41" s="118">
        <v>0</v>
      </c>
      <c r="O41" s="118">
        <v>0</v>
      </c>
      <c r="P41" s="118">
        <v>0</v>
      </c>
      <c r="Q41" s="118">
        <v>0</v>
      </c>
      <c r="R41" s="118">
        <v>0</v>
      </c>
      <c r="S41" s="118">
        <v>0</v>
      </c>
      <c r="T41" s="118"/>
      <c r="U41" s="118">
        <v>1</v>
      </c>
      <c r="V41" s="118">
        <v>0</v>
      </c>
      <c r="W41" s="118">
        <v>0</v>
      </c>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4"/>
      <c r="AX41" s="115"/>
      <c r="AY41" s="115"/>
    </row>
    <row r="42" spans="1:51">
      <c r="A42" s="314"/>
      <c r="B42" s="112" t="s">
        <v>93</v>
      </c>
      <c r="C42" s="124" t="s">
        <v>94</v>
      </c>
      <c r="D42" s="112" t="str">
        <f>D38</f>
        <v xml:space="preserve">Permintaan Informasi </v>
      </c>
      <c r="E42" s="110" t="s">
        <v>69</v>
      </c>
      <c r="F42" s="118">
        <v>0</v>
      </c>
      <c r="G42" s="118">
        <v>0</v>
      </c>
      <c r="H42" s="118">
        <v>0</v>
      </c>
      <c r="I42" s="118">
        <v>0</v>
      </c>
      <c r="J42" s="118">
        <v>0</v>
      </c>
      <c r="K42" s="118">
        <v>0</v>
      </c>
      <c r="L42" s="118">
        <v>0</v>
      </c>
      <c r="M42" s="118">
        <v>0</v>
      </c>
      <c r="N42" s="118">
        <v>0</v>
      </c>
      <c r="O42" s="118">
        <v>0</v>
      </c>
      <c r="P42" s="118">
        <v>0</v>
      </c>
      <c r="Q42" s="118">
        <v>0</v>
      </c>
      <c r="R42" s="118">
        <v>0</v>
      </c>
      <c r="S42" s="118">
        <v>0</v>
      </c>
      <c r="T42" s="118">
        <v>0</v>
      </c>
      <c r="U42" s="118">
        <v>0</v>
      </c>
      <c r="V42" s="118">
        <v>0</v>
      </c>
      <c r="W42" s="118">
        <v>0</v>
      </c>
      <c r="X42" s="114"/>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114"/>
      <c r="AX42" s="115"/>
      <c r="AY42" s="115"/>
    </row>
    <row r="43" spans="1:51">
      <c r="A43" s="314"/>
      <c r="B43" s="123" t="s">
        <v>69</v>
      </c>
      <c r="C43" s="125" t="s">
        <v>69</v>
      </c>
      <c r="D43" s="112" t="str">
        <f>D39</f>
        <v xml:space="preserve">Request </v>
      </c>
      <c r="E43" s="110" t="s">
        <v>69</v>
      </c>
      <c r="F43" s="118">
        <v>0</v>
      </c>
      <c r="G43" s="118">
        <v>0</v>
      </c>
      <c r="H43" s="118">
        <v>0</v>
      </c>
      <c r="I43" s="118">
        <v>0</v>
      </c>
      <c r="J43" s="118">
        <v>0</v>
      </c>
      <c r="K43" s="118">
        <v>0</v>
      </c>
      <c r="L43" s="118">
        <v>0</v>
      </c>
      <c r="M43" s="118">
        <v>0</v>
      </c>
      <c r="N43" s="118">
        <v>0</v>
      </c>
      <c r="O43" s="118">
        <v>0</v>
      </c>
      <c r="P43" s="118">
        <v>0</v>
      </c>
      <c r="Q43" s="118">
        <v>0</v>
      </c>
      <c r="R43" s="118">
        <v>0</v>
      </c>
      <c r="S43" s="118">
        <v>0</v>
      </c>
      <c r="T43" s="118">
        <v>0</v>
      </c>
      <c r="U43" s="118">
        <v>0</v>
      </c>
      <c r="V43" s="118">
        <v>0</v>
      </c>
      <c r="W43" s="118">
        <v>0</v>
      </c>
      <c r="X43" s="114" t="s">
        <v>69</v>
      </c>
      <c r="Y43" s="114" t="s">
        <v>69</v>
      </c>
      <c r="Z43" s="114" t="s">
        <v>69</v>
      </c>
      <c r="AA43" s="114" t="s">
        <v>69</v>
      </c>
      <c r="AB43" s="114" t="s">
        <v>69</v>
      </c>
      <c r="AC43" s="114" t="s">
        <v>69</v>
      </c>
      <c r="AD43" s="114" t="s">
        <v>69</v>
      </c>
      <c r="AE43" s="114" t="s">
        <v>69</v>
      </c>
      <c r="AF43" s="114" t="s">
        <v>69</v>
      </c>
      <c r="AG43" s="114" t="s">
        <v>69</v>
      </c>
      <c r="AH43" s="114" t="s">
        <v>69</v>
      </c>
      <c r="AI43" s="114" t="s">
        <v>69</v>
      </c>
      <c r="AJ43" s="114" t="s">
        <v>69</v>
      </c>
      <c r="AK43" s="114" t="s">
        <v>69</v>
      </c>
      <c r="AL43" s="114" t="s">
        <v>69</v>
      </c>
      <c r="AM43" s="114" t="s">
        <v>69</v>
      </c>
      <c r="AN43" s="114" t="s">
        <v>69</v>
      </c>
      <c r="AO43" s="114" t="s">
        <v>69</v>
      </c>
      <c r="AP43" s="114" t="s">
        <v>69</v>
      </c>
      <c r="AQ43" s="114" t="s">
        <v>69</v>
      </c>
      <c r="AR43" s="114" t="s">
        <v>69</v>
      </c>
      <c r="AS43" s="114" t="s">
        <v>69</v>
      </c>
      <c r="AT43" s="114" t="s">
        <v>69</v>
      </c>
      <c r="AU43" s="114" t="s">
        <v>69</v>
      </c>
      <c r="AV43" s="114" t="s">
        <v>69</v>
      </c>
      <c r="AW43" s="114" t="s">
        <v>69</v>
      </c>
      <c r="AX43" s="115"/>
      <c r="AY43" s="115"/>
    </row>
    <row r="44" spans="1:51">
      <c r="A44" s="314"/>
      <c r="B44" s="112" t="s">
        <v>69</v>
      </c>
      <c r="C44" s="126" t="s">
        <v>69</v>
      </c>
      <c r="D44" s="112" t="str">
        <f>D40</f>
        <v xml:space="preserve">Keluhan </v>
      </c>
      <c r="E44" s="110" t="s">
        <v>69</v>
      </c>
      <c r="F44" s="118">
        <v>0</v>
      </c>
      <c r="G44" s="118">
        <v>0</v>
      </c>
      <c r="H44" s="118">
        <v>0</v>
      </c>
      <c r="I44" s="118">
        <v>0</v>
      </c>
      <c r="J44" s="118">
        <v>0</v>
      </c>
      <c r="K44" s="118">
        <v>0</v>
      </c>
      <c r="L44" s="118">
        <v>0</v>
      </c>
      <c r="M44" s="118">
        <v>0</v>
      </c>
      <c r="N44" s="118">
        <v>0</v>
      </c>
      <c r="O44" s="118">
        <v>0</v>
      </c>
      <c r="P44" s="118">
        <v>0</v>
      </c>
      <c r="Q44" s="118">
        <v>0</v>
      </c>
      <c r="R44" s="118">
        <v>0</v>
      </c>
      <c r="S44" s="118">
        <v>0</v>
      </c>
      <c r="T44" s="118">
        <v>0</v>
      </c>
      <c r="U44" s="118">
        <v>0</v>
      </c>
      <c r="V44" s="118">
        <v>0</v>
      </c>
      <c r="W44" s="118">
        <v>0</v>
      </c>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s="115"/>
      <c r="AY44" s="115"/>
    </row>
    <row r="45" spans="1:51">
      <c r="A45" s="314"/>
      <c r="B45" s="112" t="s">
        <v>69</v>
      </c>
      <c r="C45" s="126" t="s">
        <v>69</v>
      </c>
      <c r="D45" s="112" t="str">
        <f>D41</f>
        <v>Apresiasi</v>
      </c>
      <c r="E45" s="110" t="s">
        <v>69</v>
      </c>
      <c r="F45" s="118">
        <v>0</v>
      </c>
      <c r="G45" s="118">
        <v>0</v>
      </c>
      <c r="H45" s="118">
        <v>0</v>
      </c>
      <c r="I45" s="118">
        <v>0</v>
      </c>
      <c r="J45" s="118">
        <v>0</v>
      </c>
      <c r="K45" s="118">
        <v>0</v>
      </c>
      <c r="L45" s="118">
        <v>0</v>
      </c>
      <c r="M45" s="118">
        <v>0</v>
      </c>
      <c r="N45" s="118">
        <v>0</v>
      </c>
      <c r="O45" s="118">
        <v>0</v>
      </c>
      <c r="P45" s="118">
        <v>0</v>
      </c>
      <c r="Q45" s="118">
        <v>0</v>
      </c>
      <c r="R45" s="118">
        <v>0</v>
      </c>
      <c r="S45" s="118">
        <v>0</v>
      </c>
      <c r="T45" s="118">
        <v>0</v>
      </c>
      <c r="U45" s="118">
        <v>0</v>
      </c>
      <c r="V45" s="118">
        <v>0</v>
      </c>
      <c r="W45" s="118">
        <v>0</v>
      </c>
      <c r="X45" s="114"/>
      <c r="Y45" s="114"/>
      <c r="Z45" s="114"/>
      <c r="AA45" s="114"/>
      <c r="AB45" s="114"/>
      <c r="AC45" s="114"/>
      <c r="AD45" s="114"/>
      <c r="AE45" s="114"/>
      <c r="AF45" s="114"/>
      <c r="AG45" s="114"/>
      <c r="AH45" s="114"/>
      <c r="AI45" s="114"/>
      <c r="AJ45" s="114"/>
      <c r="AK45" s="114"/>
      <c r="AL45" s="114"/>
      <c r="AM45" s="114"/>
      <c r="AN45" s="114"/>
      <c r="AO45" s="114"/>
      <c r="AP45" s="114"/>
      <c r="AQ45" s="114"/>
      <c r="AR45" s="114"/>
      <c r="AS45" s="114"/>
      <c r="AT45" s="114"/>
      <c r="AU45" s="114"/>
      <c r="AV45" s="114"/>
      <c r="AW45" s="114"/>
      <c r="AX45" s="115"/>
      <c r="AY45" s="115"/>
    </row>
    <row r="46" spans="1:51">
      <c r="A46" s="314"/>
      <c r="B46" s="112" t="s">
        <v>95</v>
      </c>
      <c r="C46" s="124" t="s">
        <v>96</v>
      </c>
      <c r="D46" s="112" t="str">
        <f>D42</f>
        <v xml:space="preserve">Permintaan Informasi </v>
      </c>
      <c r="E46" s="110" t="s">
        <v>69</v>
      </c>
      <c r="F46" s="118">
        <v>0</v>
      </c>
      <c r="G46" s="118">
        <v>0</v>
      </c>
      <c r="H46" s="118">
        <v>0</v>
      </c>
      <c r="I46" s="118">
        <v>0</v>
      </c>
      <c r="J46" s="118">
        <v>0</v>
      </c>
      <c r="K46" s="118">
        <v>0</v>
      </c>
      <c r="L46" s="118">
        <v>0</v>
      </c>
      <c r="M46" s="118">
        <v>0</v>
      </c>
      <c r="N46" s="118">
        <v>0</v>
      </c>
      <c r="O46" s="118">
        <v>0</v>
      </c>
      <c r="P46" s="118">
        <v>0</v>
      </c>
      <c r="Q46" s="118">
        <v>0</v>
      </c>
      <c r="R46" s="118">
        <v>0</v>
      </c>
      <c r="S46" s="118">
        <v>0</v>
      </c>
      <c r="T46" s="118">
        <v>0</v>
      </c>
      <c r="U46" s="118">
        <v>0</v>
      </c>
      <c r="V46" s="118">
        <v>0</v>
      </c>
      <c r="W46" s="118">
        <f>'statistik The Nusa Dua'!W46+'statistik The Mandalika'!W45+'statistik The Golo Mori'!W50+'statistik MGPA'!W45+'statistik INU'!W45</f>
        <v>0</v>
      </c>
      <c r="X46" s="114"/>
      <c r="Y46" s="114"/>
      <c r="Z46" s="114"/>
      <c r="AA46" s="114"/>
      <c r="AB46" s="114"/>
      <c r="AC46" s="114"/>
      <c r="AD46" s="114"/>
      <c r="AE46" s="114"/>
      <c r="AF46" s="114"/>
      <c r="AG46" s="114"/>
      <c r="AH46" s="114"/>
      <c r="AI46" s="114"/>
      <c r="AJ46" s="114"/>
      <c r="AK46" s="114"/>
      <c r="AL46" s="114"/>
      <c r="AM46" s="114"/>
      <c r="AN46" s="114"/>
      <c r="AO46" s="114"/>
      <c r="AP46" s="114"/>
      <c r="AQ46" s="114"/>
      <c r="AR46" s="114"/>
      <c r="AS46" s="114"/>
      <c r="AT46" s="114"/>
      <c r="AU46" s="114"/>
      <c r="AV46" s="114"/>
      <c r="AW46" s="114"/>
      <c r="AX46" s="115"/>
      <c r="AY46" s="115"/>
    </row>
    <row r="47" spans="1:51">
      <c r="A47" s="314"/>
      <c r="B47" s="123" t="s">
        <v>69</v>
      </c>
      <c r="C47" s="125" t="s">
        <v>69</v>
      </c>
      <c r="D47" s="112" t="str">
        <f>D43</f>
        <v xml:space="preserve">Request </v>
      </c>
      <c r="E47" s="110" t="s">
        <v>69</v>
      </c>
      <c r="F47" s="118">
        <v>0</v>
      </c>
      <c r="G47" s="118">
        <v>0</v>
      </c>
      <c r="H47" s="118">
        <v>0</v>
      </c>
      <c r="I47" s="118">
        <v>0</v>
      </c>
      <c r="J47" s="118">
        <v>0</v>
      </c>
      <c r="K47" s="118">
        <v>0</v>
      </c>
      <c r="L47" s="118">
        <v>0</v>
      </c>
      <c r="M47" s="118">
        <v>0</v>
      </c>
      <c r="N47" s="118">
        <v>0</v>
      </c>
      <c r="O47" s="118">
        <v>0</v>
      </c>
      <c r="P47" s="118">
        <v>0</v>
      </c>
      <c r="Q47" s="118">
        <v>0</v>
      </c>
      <c r="R47" s="118">
        <v>0</v>
      </c>
      <c r="S47" s="118">
        <v>0</v>
      </c>
      <c r="T47" s="118">
        <v>0</v>
      </c>
      <c r="U47" s="118">
        <v>0</v>
      </c>
      <c r="V47" s="118">
        <v>0</v>
      </c>
      <c r="W47" s="118">
        <v>0</v>
      </c>
      <c r="X47" s="114" t="s">
        <v>69</v>
      </c>
      <c r="Y47" s="114" t="s">
        <v>69</v>
      </c>
      <c r="Z47" s="114" t="s">
        <v>69</v>
      </c>
      <c r="AA47" s="114" t="s">
        <v>69</v>
      </c>
      <c r="AB47" s="114" t="s">
        <v>69</v>
      </c>
      <c r="AC47" s="114" t="s">
        <v>69</v>
      </c>
      <c r="AD47" s="114" t="s">
        <v>69</v>
      </c>
      <c r="AE47" s="114" t="s">
        <v>69</v>
      </c>
      <c r="AF47" s="114" t="s">
        <v>69</v>
      </c>
      <c r="AG47" s="114" t="s">
        <v>69</v>
      </c>
      <c r="AH47" s="114" t="s">
        <v>69</v>
      </c>
      <c r="AI47" s="114" t="s">
        <v>69</v>
      </c>
      <c r="AJ47" s="114" t="s">
        <v>69</v>
      </c>
      <c r="AK47" s="114" t="s">
        <v>69</v>
      </c>
      <c r="AL47" s="114" t="s">
        <v>69</v>
      </c>
      <c r="AM47" s="114" t="s">
        <v>69</v>
      </c>
      <c r="AN47" s="114" t="s">
        <v>69</v>
      </c>
      <c r="AO47" s="114" t="s">
        <v>69</v>
      </c>
      <c r="AP47" s="114" t="s">
        <v>69</v>
      </c>
      <c r="AQ47" s="114" t="s">
        <v>69</v>
      </c>
      <c r="AR47" s="114" t="s">
        <v>69</v>
      </c>
      <c r="AS47" s="114" t="s">
        <v>69</v>
      </c>
      <c r="AT47" s="114" t="s">
        <v>69</v>
      </c>
      <c r="AU47" s="114" t="s">
        <v>69</v>
      </c>
      <c r="AV47" s="114" t="s">
        <v>69</v>
      </c>
      <c r="AW47" s="114" t="s">
        <v>69</v>
      </c>
      <c r="AX47" s="115"/>
      <c r="AY47" s="115"/>
    </row>
    <row r="48" spans="1:51">
      <c r="A48" s="314"/>
      <c r="B48" s="112" t="s">
        <v>69</v>
      </c>
      <c r="C48" s="126" t="s">
        <v>69</v>
      </c>
      <c r="D48" s="112" t="str">
        <f>D44</f>
        <v xml:space="preserve">Keluhan </v>
      </c>
      <c r="E48" s="110" t="s">
        <v>69</v>
      </c>
      <c r="F48" s="118">
        <v>0</v>
      </c>
      <c r="G48" s="118">
        <v>0</v>
      </c>
      <c r="H48" s="118">
        <v>0</v>
      </c>
      <c r="I48" s="118">
        <v>1</v>
      </c>
      <c r="J48" s="118">
        <v>0</v>
      </c>
      <c r="K48" s="118">
        <v>0</v>
      </c>
      <c r="L48" s="118">
        <v>1</v>
      </c>
      <c r="M48" s="118">
        <v>0</v>
      </c>
      <c r="N48" s="118">
        <v>0</v>
      </c>
      <c r="O48" s="118">
        <v>1</v>
      </c>
      <c r="P48" s="118">
        <v>0</v>
      </c>
      <c r="Q48" s="118">
        <v>0</v>
      </c>
      <c r="R48" s="118">
        <v>1</v>
      </c>
      <c r="S48" s="118">
        <v>0</v>
      </c>
      <c r="T48" s="118">
        <v>0</v>
      </c>
      <c r="U48" s="118">
        <v>0</v>
      </c>
      <c r="V48" s="118">
        <v>1</v>
      </c>
      <c r="W48" s="118">
        <v>1</v>
      </c>
      <c r="X48" s="114"/>
      <c r="Y48" s="114"/>
      <c r="Z48" s="114"/>
      <c r="AA48" s="114"/>
      <c r="AB48" s="114"/>
      <c r="AC48" s="114"/>
      <c r="AD48" s="114"/>
      <c r="AE48" s="114"/>
      <c r="AF48" s="114"/>
      <c r="AG48" s="114"/>
      <c r="AH48" s="114"/>
      <c r="AI48" s="114"/>
      <c r="AJ48" s="114"/>
      <c r="AK48" s="114"/>
      <c r="AL48" s="114"/>
      <c r="AM48" s="114"/>
      <c r="AN48" s="114"/>
      <c r="AO48" s="114"/>
      <c r="AP48" s="114"/>
      <c r="AQ48" s="114"/>
      <c r="AR48" s="114"/>
      <c r="AS48" s="114"/>
      <c r="AT48" s="114"/>
      <c r="AU48" s="114"/>
      <c r="AV48" s="114"/>
      <c r="AW48" s="114"/>
      <c r="AX48" s="115"/>
      <c r="AY48" s="115"/>
    </row>
    <row r="49" spans="1:51">
      <c r="A49" s="314"/>
      <c r="B49" s="123" t="s">
        <v>69</v>
      </c>
      <c r="C49" s="125" t="s">
        <v>69</v>
      </c>
      <c r="D49" s="112" t="s">
        <v>88</v>
      </c>
      <c r="E49" s="110" t="s">
        <v>69</v>
      </c>
      <c r="F49" s="118">
        <v>1</v>
      </c>
      <c r="G49" s="118">
        <v>4</v>
      </c>
      <c r="H49" s="118">
        <v>0</v>
      </c>
      <c r="I49" s="118">
        <v>1</v>
      </c>
      <c r="J49" s="118">
        <v>1</v>
      </c>
      <c r="K49" s="118">
        <v>0</v>
      </c>
      <c r="L49" s="118">
        <v>2</v>
      </c>
      <c r="M49" s="118">
        <v>2</v>
      </c>
      <c r="N49" s="118">
        <v>0</v>
      </c>
      <c r="O49" s="118">
        <v>3</v>
      </c>
      <c r="P49" s="118">
        <v>10</v>
      </c>
      <c r="Q49" s="118">
        <v>2</v>
      </c>
      <c r="R49" s="118">
        <v>1</v>
      </c>
      <c r="S49" s="118">
        <v>0</v>
      </c>
      <c r="T49" s="118">
        <v>2</v>
      </c>
      <c r="U49" s="118">
        <v>2</v>
      </c>
      <c r="V49" s="118">
        <v>3</v>
      </c>
      <c r="W49" s="118">
        <v>6</v>
      </c>
      <c r="X49" s="114" t="s">
        <v>69</v>
      </c>
      <c r="Y49" s="114" t="s">
        <v>69</v>
      </c>
      <c r="Z49" s="114" t="s">
        <v>69</v>
      </c>
      <c r="AA49" s="114" t="s">
        <v>69</v>
      </c>
      <c r="AB49" s="114" t="s">
        <v>69</v>
      </c>
      <c r="AC49" s="114" t="s">
        <v>69</v>
      </c>
      <c r="AD49" s="114" t="s">
        <v>69</v>
      </c>
      <c r="AE49" s="114" t="s">
        <v>69</v>
      </c>
      <c r="AF49" s="114" t="s">
        <v>69</v>
      </c>
      <c r="AG49" s="114" t="s">
        <v>69</v>
      </c>
      <c r="AH49" s="114" t="s">
        <v>69</v>
      </c>
      <c r="AI49" s="114" t="s">
        <v>69</v>
      </c>
      <c r="AJ49" s="114" t="s">
        <v>69</v>
      </c>
      <c r="AK49" s="114" t="s">
        <v>69</v>
      </c>
      <c r="AL49" s="114" t="s">
        <v>69</v>
      </c>
      <c r="AM49" s="114" t="s">
        <v>69</v>
      </c>
      <c r="AN49" s="114" t="s">
        <v>69</v>
      </c>
      <c r="AO49" s="114" t="s">
        <v>69</v>
      </c>
      <c r="AP49" s="114" t="s">
        <v>69</v>
      </c>
      <c r="AQ49" s="114" t="s">
        <v>69</v>
      </c>
      <c r="AR49" s="114" t="s">
        <v>69</v>
      </c>
      <c r="AS49" s="114" t="s">
        <v>69</v>
      </c>
      <c r="AT49" s="114" t="s">
        <v>69</v>
      </c>
      <c r="AU49" s="114" t="s">
        <v>69</v>
      </c>
      <c r="AV49" s="114" t="s">
        <v>69</v>
      </c>
      <c r="AW49" s="114" t="s">
        <v>69</v>
      </c>
      <c r="AX49" s="115"/>
      <c r="AY49" s="115"/>
    </row>
    <row r="50" spans="1:51" ht="48" customHeight="1">
      <c r="A50" s="314"/>
      <c r="B50" s="317" t="s">
        <v>97</v>
      </c>
      <c r="C50" s="317"/>
      <c r="D50" s="317"/>
      <c r="E50" s="110" t="s">
        <v>98</v>
      </c>
      <c r="F50" s="111" t="s">
        <v>69</v>
      </c>
      <c r="G50" s="127" t="s">
        <v>69</v>
      </c>
      <c r="H50" s="128" t="s">
        <v>69</v>
      </c>
      <c r="I50" s="113" t="s">
        <v>69</v>
      </c>
      <c r="J50" s="111" t="s">
        <v>69</v>
      </c>
      <c r="K50" s="127" t="s">
        <v>69</v>
      </c>
      <c r="L50" s="111" t="s">
        <v>69</v>
      </c>
      <c r="M50" s="111" t="s">
        <v>69</v>
      </c>
      <c r="N50" s="127" t="s">
        <v>69</v>
      </c>
      <c r="O50" s="127" t="s">
        <v>69</v>
      </c>
      <c r="P50" s="127" t="s">
        <v>69</v>
      </c>
      <c r="Q50" s="127" t="s">
        <v>69</v>
      </c>
      <c r="R50" s="127" t="s">
        <v>69</v>
      </c>
      <c r="S50" s="127" t="s">
        <v>69</v>
      </c>
      <c r="T50" s="127" t="s">
        <v>69</v>
      </c>
      <c r="U50" s="128" t="s">
        <v>69</v>
      </c>
      <c r="V50" s="129" t="s">
        <v>69</v>
      </c>
      <c r="W50" s="129"/>
      <c r="X50" s="130"/>
      <c r="Y50" s="130"/>
      <c r="Z50" s="130"/>
      <c r="AA50" s="130"/>
      <c r="AB50" s="130"/>
      <c r="AC50" s="130"/>
      <c r="AD50" s="130"/>
      <c r="AE50" s="130"/>
      <c r="AF50" s="130"/>
      <c r="AG50" s="130"/>
      <c r="AH50" s="130"/>
      <c r="AI50" s="130"/>
      <c r="AJ50" s="130"/>
      <c r="AK50" s="130" t="s">
        <v>69</v>
      </c>
      <c r="AL50" s="130" t="s">
        <v>69</v>
      </c>
      <c r="AM50" s="130" t="s">
        <v>69</v>
      </c>
      <c r="AN50" s="130" t="s">
        <v>69</v>
      </c>
      <c r="AO50" s="130" t="s">
        <v>69</v>
      </c>
      <c r="AP50" s="130" t="s">
        <v>69</v>
      </c>
      <c r="AQ50" s="130" t="s">
        <v>69</v>
      </c>
      <c r="AR50" s="130" t="s">
        <v>69</v>
      </c>
      <c r="AS50" s="130" t="s">
        <v>69</v>
      </c>
      <c r="AT50" s="130" t="s">
        <v>69</v>
      </c>
      <c r="AU50" s="130" t="s">
        <v>69</v>
      </c>
      <c r="AV50" s="130" t="s">
        <v>69</v>
      </c>
      <c r="AW50" s="130" t="s">
        <v>69</v>
      </c>
      <c r="AX50" s="115"/>
      <c r="AY50" s="115"/>
    </row>
    <row r="51" spans="1:51" ht="24.75">
      <c r="A51" s="314"/>
      <c r="B51" s="111" t="s">
        <v>70</v>
      </c>
      <c r="C51" s="316" t="s">
        <v>99</v>
      </c>
      <c r="D51" s="316"/>
      <c r="E51" s="154" t="s">
        <v>100</v>
      </c>
      <c r="F51" s="131">
        <v>0</v>
      </c>
      <c r="G51" s="131">
        <v>0</v>
      </c>
      <c r="H51" s="128">
        <v>0</v>
      </c>
      <c r="I51" s="182">
        <v>1</v>
      </c>
      <c r="J51" s="182">
        <v>0</v>
      </c>
      <c r="K51" s="127">
        <v>0</v>
      </c>
      <c r="L51" s="131">
        <v>1</v>
      </c>
      <c r="M51" s="131">
        <v>1</v>
      </c>
      <c r="N51" s="127">
        <v>0</v>
      </c>
      <c r="O51" s="183">
        <v>1</v>
      </c>
      <c r="P51" s="183">
        <v>0</v>
      </c>
      <c r="Q51" s="183">
        <v>0</v>
      </c>
      <c r="R51" s="127">
        <v>0</v>
      </c>
      <c r="S51" s="127">
        <v>0</v>
      </c>
      <c r="T51" s="127">
        <v>0</v>
      </c>
      <c r="U51" s="128">
        <v>0</v>
      </c>
      <c r="V51" s="184">
        <v>1</v>
      </c>
      <c r="W51" s="184">
        <v>1</v>
      </c>
      <c r="X51" s="130"/>
      <c r="Y51" s="130"/>
      <c r="Z51" s="130"/>
      <c r="AA51" s="130"/>
      <c r="AB51" s="130"/>
      <c r="AC51" s="130"/>
      <c r="AD51" s="130"/>
      <c r="AE51" s="130"/>
      <c r="AF51" s="130"/>
      <c r="AG51" s="130"/>
      <c r="AH51" s="130"/>
      <c r="AI51" s="130"/>
      <c r="AJ51" s="130"/>
      <c r="AK51" s="130" t="s">
        <v>69</v>
      </c>
      <c r="AL51" s="130" t="s">
        <v>69</v>
      </c>
      <c r="AM51" s="130" t="s">
        <v>69</v>
      </c>
      <c r="AN51" s="130" t="s">
        <v>69</v>
      </c>
      <c r="AO51" s="130" t="s">
        <v>69</v>
      </c>
      <c r="AP51" s="130" t="s">
        <v>69</v>
      </c>
      <c r="AQ51" s="130" t="s">
        <v>69</v>
      </c>
      <c r="AR51" s="130" t="s">
        <v>69</v>
      </c>
      <c r="AS51" s="130" t="s">
        <v>69</v>
      </c>
      <c r="AT51" s="130" t="s">
        <v>69</v>
      </c>
      <c r="AU51" s="130" t="s">
        <v>69</v>
      </c>
      <c r="AV51" s="130" t="s">
        <v>69</v>
      </c>
      <c r="AW51" s="130" t="s">
        <v>69</v>
      </c>
      <c r="AX51" s="115"/>
      <c r="AY51" s="115"/>
    </row>
    <row r="52" spans="1:51" ht="17.25">
      <c r="A52" s="314"/>
      <c r="B52" s="111" t="s">
        <v>73</v>
      </c>
      <c r="C52" s="132" t="s">
        <v>101</v>
      </c>
      <c r="D52" s="133" t="s">
        <v>69</v>
      </c>
      <c r="E52" s="154" t="s">
        <v>69</v>
      </c>
      <c r="F52" s="131">
        <v>0</v>
      </c>
      <c r="G52" s="183">
        <v>0</v>
      </c>
      <c r="H52" s="185">
        <v>0</v>
      </c>
      <c r="I52" s="182">
        <v>0</v>
      </c>
      <c r="J52" s="131">
        <v>0</v>
      </c>
      <c r="K52" s="183">
        <v>0</v>
      </c>
      <c r="L52" s="131">
        <v>0</v>
      </c>
      <c r="M52" s="131">
        <v>0</v>
      </c>
      <c r="N52" s="183">
        <v>0</v>
      </c>
      <c r="O52" s="183">
        <v>0</v>
      </c>
      <c r="P52" s="183">
        <v>0</v>
      </c>
      <c r="Q52" s="183">
        <v>0</v>
      </c>
      <c r="R52" s="183">
        <v>0</v>
      </c>
      <c r="S52" s="183">
        <v>0</v>
      </c>
      <c r="T52" s="183">
        <v>0</v>
      </c>
      <c r="U52" s="185">
        <v>0</v>
      </c>
      <c r="V52" s="184">
        <v>0</v>
      </c>
      <c r="W52" s="184">
        <v>0</v>
      </c>
      <c r="X52" s="130"/>
      <c r="Y52" s="130"/>
      <c r="Z52" s="130"/>
      <c r="AA52" s="130"/>
      <c r="AB52" s="130"/>
      <c r="AC52" s="130"/>
      <c r="AD52" s="130"/>
      <c r="AE52" s="130"/>
      <c r="AF52" s="130"/>
      <c r="AG52" s="130"/>
      <c r="AH52" s="130"/>
      <c r="AI52" s="130"/>
      <c r="AJ52" s="130"/>
      <c r="AK52" s="130" t="s">
        <v>69</v>
      </c>
      <c r="AL52" s="130" t="s">
        <v>69</v>
      </c>
      <c r="AM52" s="130" t="s">
        <v>69</v>
      </c>
      <c r="AN52" s="130" t="s">
        <v>69</v>
      </c>
      <c r="AO52" s="130" t="s">
        <v>69</v>
      </c>
      <c r="AP52" s="130" t="s">
        <v>69</v>
      </c>
      <c r="AQ52" s="130" t="s">
        <v>69</v>
      </c>
      <c r="AR52" s="130" t="s">
        <v>69</v>
      </c>
      <c r="AS52" s="130" t="s">
        <v>69</v>
      </c>
      <c r="AT52" s="130" t="s">
        <v>69</v>
      </c>
      <c r="AU52" s="130" t="s">
        <v>69</v>
      </c>
      <c r="AV52" s="130" t="s">
        <v>69</v>
      </c>
      <c r="AW52" s="130" t="s">
        <v>69</v>
      </c>
      <c r="AX52" s="115"/>
      <c r="AY52" s="115"/>
    </row>
    <row r="53" spans="1:51" ht="17.25">
      <c r="A53" s="314"/>
      <c r="B53" s="111" t="s">
        <v>75</v>
      </c>
      <c r="C53" s="316" t="s">
        <v>102</v>
      </c>
      <c r="D53" s="316"/>
      <c r="E53" s="156" t="s">
        <v>69</v>
      </c>
      <c r="F53" s="183">
        <v>0</v>
      </c>
      <c r="G53" s="183">
        <v>0</v>
      </c>
      <c r="H53" s="185">
        <v>0</v>
      </c>
      <c r="I53" s="182">
        <v>1</v>
      </c>
      <c r="J53" s="131">
        <v>0</v>
      </c>
      <c r="K53" s="183">
        <v>0</v>
      </c>
      <c r="L53" s="131">
        <v>2</v>
      </c>
      <c r="M53" s="183">
        <v>2</v>
      </c>
      <c r="N53" s="183">
        <v>0</v>
      </c>
      <c r="O53" s="183">
        <v>1</v>
      </c>
      <c r="P53" s="183">
        <v>0</v>
      </c>
      <c r="Q53" s="183">
        <v>0</v>
      </c>
      <c r="R53" s="183">
        <v>0</v>
      </c>
      <c r="S53" s="183">
        <v>0</v>
      </c>
      <c r="T53" s="183">
        <v>0</v>
      </c>
      <c r="U53" s="185">
        <v>0</v>
      </c>
      <c r="V53" s="184">
        <v>1</v>
      </c>
      <c r="W53" s="184">
        <v>1</v>
      </c>
      <c r="X53" s="130"/>
      <c r="Y53" s="130"/>
      <c r="Z53" s="130"/>
      <c r="AA53" s="130"/>
      <c r="AB53" s="130"/>
      <c r="AC53" s="130"/>
      <c r="AD53" s="130"/>
      <c r="AE53" s="130"/>
      <c r="AF53" s="130"/>
      <c r="AG53" s="130"/>
      <c r="AH53" s="130"/>
      <c r="AI53" s="130"/>
      <c r="AJ53" s="130"/>
      <c r="AK53" s="130" t="s">
        <v>69</v>
      </c>
      <c r="AL53" s="130" t="s">
        <v>69</v>
      </c>
      <c r="AM53" s="130" t="s">
        <v>69</v>
      </c>
      <c r="AN53" s="130" t="s">
        <v>69</v>
      </c>
      <c r="AO53" s="130" t="s">
        <v>69</v>
      </c>
      <c r="AP53" s="130" t="s">
        <v>69</v>
      </c>
      <c r="AQ53" s="130" t="s">
        <v>69</v>
      </c>
      <c r="AR53" s="130" t="s">
        <v>69</v>
      </c>
      <c r="AS53" s="130" t="s">
        <v>69</v>
      </c>
      <c r="AT53" s="130" t="s">
        <v>69</v>
      </c>
      <c r="AU53" s="130" t="s">
        <v>69</v>
      </c>
      <c r="AV53" s="130" t="s">
        <v>69</v>
      </c>
      <c r="AW53" s="130" t="s">
        <v>69</v>
      </c>
      <c r="AX53" s="115"/>
      <c r="AY53" s="115"/>
    </row>
    <row r="54" spans="1:51">
      <c r="A54" s="314"/>
      <c r="B54" s="111" t="s">
        <v>77</v>
      </c>
      <c r="C54" s="316" t="s">
        <v>103</v>
      </c>
      <c r="D54" s="316"/>
      <c r="E54" s="156" t="s">
        <v>69</v>
      </c>
      <c r="F54" s="131">
        <v>0</v>
      </c>
      <c r="G54" s="131">
        <v>0</v>
      </c>
      <c r="H54" s="131">
        <v>0</v>
      </c>
      <c r="I54" s="131">
        <v>0</v>
      </c>
      <c r="J54" s="131">
        <v>0</v>
      </c>
      <c r="K54" s="131">
        <v>0</v>
      </c>
      <c r="L54" s="131">
        <v>0</v>
      </c>
      <c r="M54" s="131">
        <v>0</v>
      </c>
      <c r="N54" s="131">
        <v>0</v>
      </c>
      <c r="O54" s="131">
        <v>0</v>
      </c>
      <c r="P54" s="131">
        <v>0</v>
      </c>
      <c r="Q54" s="131">
        <v>0</v>
      </c>
      <c r="R54" s="131">
        <v>0</v>
      </c>
      <c r="S54" s="131">
        <v>0</v>
      </c>
      <c r="T54" s="131">
        <v>0</v>
      </c>
      <c r="U54" s="186">
        <v>0</v>
      </c>
      <c r="V54" s="187">
        <v>0</v>
      </c>
      <c r="W54" s="187">
        <v>0</v>
      </c>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5"/>
      <c r="AY54" s="115"/>
    </row>
    <row r="55" spans="1:51">
      <c r="A55" s="314"/>
      <c r="B55" s="134" t="s">
        <v>84</v>
      </c>
      <c r="C55" s="324" t="s">
        <v>104</v>
      </c>
      <c r="D55" s="324"/>
      <c r="E55" s="157" t="s">
        <v>69</v>
      </c>
      <c r="F55" s="131">
        <v>0</v>
      </c>
      <c r="G55" s="131">
        <v>0</v>
      </c>
      <c r="H55" s="131">
        <v>0</v>
      </c>
      <c r="I55" s="131">
        <v>0</v>
      </c>
      <c r="J55" s="131">
        <v>0</v>
      </c>
      <c r="K55" s="131">
        <v>0</v>
      </c>
      <c r="L55" s="131">
        <v>0</v>
      </c>
      <c r="M55" s="131">
        <v>0</v>
      </c>
      <c r="N55" s="131">
        <v>0</v>
      </c>
      <c r="O55" s="131">
        <v>0</v>
      </c>
      <c r="P55" s="131">
        <v>0</v>
      </c>
      <c r="Q55" s="131">
        <v>0</v>
      </c>
      <c r="R55" s="131">
        <v>0</v>
      </c>
      <c r="S55" s="131">
        <v>0</v>
      </c>
      <c r="T55" s="131">
        <v>0</v>
      </c>
      <c r="U55" s="131">
        <v>0</v>
      </c>
      <c r="V55" s="131">
        <v>0</v>
      </c>
      <c r="W55" s="131">
        <v>0</v>
      </c>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5"/>
      <c r="AY55" s="115"/>
    </row>
    <row r="56" spans="1:51" ht="33.75" customHeight="1">
      <c r="A56" s="314"/>
      <c r="B56" s="326" t="s">
        <v>105</v>
      </c>
      <c r="C56" s="326"/>
      <c r="D56" s="327"/>
      <c r="E56" s="136" t="s">
        <v>106</v>
      </c>
      <c r="F56" s="134" t="s">
        <v>69</v>
      </c>
      <c r="G56" s="134" t="s">
        <v>69</v>
      </c>
      <c r="H56" s="134" t="s">
        <v>69</v>
      </c>
      <c r="I56" s="134" t="s">
        <v>69</v>
      </c>
      <c r="J56" s="134" t="s">
        <v>69</v>
      </c>
      <c r="K56" s="134" t="s">
        <v>69</v>
      </c>
      <c r="L56" s="134" t="s">
        <v>69</v>
      </c>
      <c r="M56" s="134" t="s">
        <v>69</v>
      </c>
      <c r="N56" s="134" t="s">
        <v>69</v>
      </c>
      <c r="O56" s="134" t="s">
        <v>69</v>
      </c>
      <c r="P56" s="134" t="s">
        <v>69</v>
      </c>
      <c r="Q56" s="134" t="s">
        <v>69</v>
      </c>
      <c r="R56" s="134" t="s">
        <v>69</v>
      </c>
      <c r="S56" s="134" t="s">
        <v>69</v>
      </c>
      <c r="T56" s="134" t="s">
        <v>69</v>
      </c>
      <c r="U56" s="114" t="s">
        <v>69</v>
      </c>
      <c r="V56" s="119"/>
      <c r="W56" s="119"/>
      <c r="X56" s="114"/>
      <c r="Y56" s="114"/>
      <c r="Z56" s="114"/>
      <c r="AA56" s="114"/>
      <c r="AB56" s="114"/>
      <c r="AC56" s="114"/>
      <c r="AD56" s="114"/>
      <c r="AE56" s="114"/>
      <c r="AF56" s="114"/>
      <c r="AG56" s="114"/>
      <c r="AH56" s="114"/>
      <c r="AI56" s="114"/>
      <c r="AJ56" s="114"/>
      <c r="AK56" s="114"/>
      <c r="AL56" s="114"/>
      <c r="AM56" s="114"/>
      <c r="AN56" s="114"/>
      <c r="AO56" s="114"/>
      <c r="AP56" s="114"/>
      <c r="AQ56" s="114"/>
      <c r="AR56" s="114"/>
      <c r="AS56" s="114"/>
      <c r="AT56" s="114"/>
      <c r="AU56" s="114"/>
      <c r="AV56" s="114"/>
      <c r="AW56" s="114"/>
      <c r="AX56" s="115"/>
      <c r="AY56" s="115"/>
    </row>
    <row r="57" spans="1:51">
      <c r="A57" s="314"/>
      <c r="B57" s="137" t="s">
        <v>70</v>
      </c>
      <c r="C57" s="328" t="s">
        <v>79</v>
      </c>
      <c r="D57" s="329"/>
      <c r="E57" s="330" t="s">
        <v>107</v>
      </c>
      <c r="F57" s="138" t="s">
        <v>38</v>
      </c>
      <c r="G57" s="138" t="s">
        <v>38</v>
      </c>
      <c r="H57" s="138" t="s">
        <v>38</v>
      </c>
      <c r="I57" s="138" t="s">
        <v>38</v>
      </c>
      <c r="J57" s="138" t="s">
        <v>38</v>
      </c>
      <c r="K57" s="138" t="s">
        <v>38</v>
      </c>
      <c r="L57" s="138" t="s">
        <v>38</v>
      </c>
      <c r="M57" s="138" t="s">
        <v>38</v>
      </c>
      <c r="N57" s="138" t="s">
        <v>38</v>
      </c>
      <c r="O57" s="138" t="s">
        <v>38</v>
      </c>
      <c r="P57" s="138" t="s">
        <v>38</v>
      </c>
      <c r="Q57" s="138" t="s">
        <v>38</v>
      </c>
      <c r="R57" s="138" t="s">
        <v>38</v>
      </c>
      <c r="S57" s="138" t="s">
        <v>38</v>
      </c>
      <c r="T57" s="138" t="s">
        <v>38</v>
      </c>
      <c r="U57" s="138" t="s">
        <v>38</v>
      </c>
      <c r="V57" s="138" t="s">
        <v>38</v>
      </c>
      <c r="W57" s="138" t="s">
        <v>38</v>
      </c>
      <c r="X57" s="114"/>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c r="AV57" s="114"/>
      <c r="AW57" s="114"/>
      <c r="AX57" s="115"/>
      <c r="AY57" s="115"/>
    </row>
    <row r="58" spans="1:51">
      <c r="A58" s="314"/>
      <c r="B58" s="137" t="s">
        <v>73</v>
      </c>
      <c r="C58" s="328" t="s">
        <v>80</v>
      </c>
      <c r="D58" s="329"/>
      <c r="E58" s="330"/>
      <c r="F58" s="138" t="s">
        <v>38</v>
      </c>
      <c r="G58" s="138" t="s">
        <v>38</v>
      </c>
      <c r="H58" s="138" t="s">
        <v>38</v>
      </c>
      <c r="I58" s="138" t="s">
        <v>38</v>
      </c>
      <c r="J58" s="138" t="s">
        <v>38</v>
      </c>
      <c r="K58" s="138" t="s">
        <v>38</v>
      </c>
      <c r="L58" s="138" t="s">
        <v>38</v>
      </c>
      <c r="M58" s="138" t="s">
        <v>38</v>
      </c>
      <c r="N58" s="138" t="s">
        <v>38</v>
      </c>
      <c r="O58" s="138" t="s">
        <v>38</v>
      </c>
      <c r="P58" s="138" t="s">
        <v>38</v>
      </c>
      <c r="Q58" s="138" t="s">
        <v>38</v>
      </c>
      <c r="R58" s="138" t="s">
        <v>38</v>
      </c>
      <c r="S58" s="138" t="s">
        <v>38</v>
      </c>
      <c r="T58" s="138" t="s">
        <v>38</v>
      </c>
      <c r="U58" s="138" t="s">
        <v>38</v>
      </c>
      <c r="V58" s="138" t="s">
        <v>38</v>
      </c>
      <c r="W58" s="138" t="s">
        <v>38</v>
      </c>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5"/>
      <c r="AY58" s="115"/>
    </row>
    <row r="59" spans="1:51">
      <c r="A59" s="314"/>
      <c r="B59" s="137" t="s">
        <v>75</v>
      </c>
      <c r="C59" s="328" t="s">
        <v>82</v>
      </c>
      <c r="D59" s="329"/>
      <c r="E59" s="330"/>
      <c r="F59" s="138" t="s">
        <v>38</v>
      </c>
      <c r="G59" s="138" t="s">
        <v>38</v>
      </c>
      <c r="H59" s="138" t="s">
        <v>38</v>
      </c>
      <c r="I59" s="138" t="s">
        <v>38</v>
      </c>
      <c r="J59" s="138" t="s">
        <v>38</v>
      </c>
      <c r="K59" s="138" t="s">
        <v>38</v>
      </c>
      <c r="L59" s="138" t="s">
        <v>38</v>
      </c>
      <c r="M59" s="138" t="s">
        <v>38</v>
      </c>
      <c r="N59" s="138" t="s">
        <v>38</v>
      </c>
      <c r="O59" s="138" t="s">
        <v>38</v>
      </c>
      <c r="P59" s="138" t="s">
        <v>38</v>
      </c>
      <c r="Q59" s="138" t="s">
        <v>38</v>
      </c>
      <c r="R59" s="138" t="s">
        <v>38</v>
      </c>
      <c r="S59" s="138" t="s">
        <v>38</v>
      </c>
      <c r="T59" s="138" t="s">
        <v>38</v>
      </c>
      <c r="U59" s="138" t="s">
        <v>38</v>
      </c>
      <c r="V59" s="138" t="s">
        <v>38</v>
      </c>
      <c r="W59" s="138" t="s">
        <v>38</v>
      </c>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5"/>
      <c r="AY59" s="115"/>
    </row>
    <row r="60" spans="1:51">
      <c r="A60" s="314"/>
      <c r="B60" s="137" t="s">
        <v>77</v>
      </c>
      <c r="C60" s="328" t="s">
        <v>83</v>
      </c>
      <c r="D60" s="329"/>
      <c r="E60" s="330"/>
      <c r="F60" s="138" t="s">
        <v>38</v>
      </c>
      <c r="G60" s="138" t="s">
        <v>38</v>
      </c>
      <c r="H60" s="138" t="s">
        <v>38</v>
      </c>
      <c r="I60" s="138" t="s">
        <v>38</v>
      </c>
      <c r="J60" s="138" t="s">
        <v>38</v>
      </c>
      <c r="K60" s="138" t="s">
        <v>38</v>
      </c>
      <c r="L60" s="138" t="s">
        <v>38</v>
      </c>
      <c r="M60" s="138" t="s">
        <v>38</v>
      </c>
      <c r="N60" s="138" t="s">
        <v>38</v>
      </c>
      <c r="O60" s="138" t="s">
        <v>38</v>
      </c>
      <c r="P60" s="138" t="s">
        <v>38</v>
      </c>
      <c r="Q60" s="138" t="s">
        <v>38</v>
      </c>
      <c r="R60" s="138" t="s">
        <v>38</v>
      </c>
      <c r="S60" s="138" t="s">
        <v>38</v>
      </c>
      <c r="T60" s="138" t="s">
        <v>38</v>
      </c>
      <c r="U60" s="138" t="s">
        <v>38</v>
      </c>
      <c r="V60" s="138" t="s">
        <v>38</v>
      </c>
      <c r="W60" s="138" t="s">
        <v>38</v>
      </c>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5"/>
      <c r="AY60" s="115"/>
    </row>
    <row r="61" spans="1:51">
      <c r="A61" s="314"/>
      <c r="B61" s="137" t="s">
        <v>84</v>
      </c>
      <c r="C61" s="328" t="s">
        <v>85</v>
      </c>
      <c r="D61" s="329"/>
      <c r="E61" s="330"/>
      <c r="F61" s="138" t="s">
        <v>38</v>
      </c>
      <c r="G61" s="138" t="s">
        <v>38</v>
      </c>
      <c r="H61" s="138" t="s">
        <v>38</v>
      </c>
      <c r="I61" s="138" t="s">
        <v>38</v>
      </c>
      <c r="J61" s="138" t="s">
        <v>38</v>
      </c>
      <c r="K61" s="138" t="s">
        <v>38</v>
      </c>
      <c r="L61" s="138" t="s">
        <v>38</v>
      </c>
      <c r="M61" s="138" t="s">
        <v>38</v>
      </c>
      <c r="N61" s="138" t="s">
        <v>38</v>
      </c>
      <c r="O61" s="138" t="s">
        <v>38</v>
      </c>
      <c r="P61" s="138" t="s">
        <v>38</v>
      </c>
      <c r="Q61" s="138" t="s">
        <v>38</v>
      </c>
      <c r="R61" s="138" t="s">
        <v>38</v>
      </c>
      <c r="S61" s="138" t="s">
        <v>38</v>
      </c>
      <c r="T61" s="138" t="s">
        <v>38</v>
      </c>
      <c r="U61" s="138" t="s">
        <v>38</v>
      </c>
      <c r="V61" s="138" t="s">
        <v>38</v>
      </c>
      <c r="W61" s="138" t="s">
        <v>38</v>
      </c>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4"/>
      <c r="AX61" s="115"/>
      <c r="AY61" s="115"/>
    </row>
    <row r="62" spans="1:51">
      <c r="A62" s="314"/>
      <c r="B62" s="137" t="s">
        <v>86</v>
      </c>
      <c r="C62" s="328" t="s">
        <v>87</v>
      </c>
      <c r="D62" s="329"/>
      <c r="E62" s="330"/>
      <c r="F62" s="138" t="s">
        <v>38</v>
      </c>
      <c r="G62" s="138" t="s">
        <v>38</v>
      </c>
      <c r="H62" s="138" t="s">
        <v>38</v>
      </c>
      <c r="I62" s="138" t="s">
        <v>38</v>
      </c>
      <c r="J62" s="138" t="s">
        <v>38</v>
      </c>
      <c r="K62" s="138" t="s">
        <v>38</v>
      </c>
      <c r="L62" s="138" t="s">
        <v>38</v>
      </c>
      <c r="M62" s="138" t="s">
        <v>38</v>
      </c>
      <c r="N62" s="138" t="s">
        <v>38</v>
      </c>
      <c r="O62" s="138" t="s">
        <v>38</v>
      </c>
      <c r="P62" s="138" t="s">
        <v>38</v>
      </c>
      <c r="Q62" s="138" t="s">
        <v>38</v>
      </c>
      <c r="R62" s="138" t="s">
        <v>38</v>
      </c>
      <c r="S62" s="138" t="s">
        <v>38</v>
      </c>
      <c r="T62" s="138" t="s">
        <v>38</v>
      </c>
      <c r="U62" s="138" t="s">
        <v>38</v>
      </c>
      <c r="V62" s="138" t="s">
        <v>38</v>
      </c>
      <c r="W62" s="138" t="s">
        <v>38</v>
      </c>
      <c r="X62" s="114"/>
      <c r="Y62" s="114"/>
      <c r="Z62" s="114"/>
      <c r="AA62" s="114"/>
      <c r="AB62" s="114"/>
      <c r="AC62" s="114"/>
      <c r="AD62" s="114"/>
      <c r="AE62" s="114"/>
      <c r="AF62" s="114"/>
      <c r="AG62" s="114"/>
      <c r="AH62" s="114"/>
      <c r="AI62" s="114"/>
      <c r="AJ62" s="114"/>
      <c r="AK62" s="114"/>
      <c r="AL62" s="114"/>
      <c r="AM62" s="114"/>
      <c r="AN62" s="114"/>
      <c r="AO62" s="114"/>
      <c r="AP62" s="114"/>
      <c r="AQ62" s="114"/>
      <c r="AR62" s="114"/>
      <c r="AS62" s="114"/>
      <c r="AT62" s="114"/>
      <c r="AU62" s="114"/>
      <c r="AV62" s="114"/>
      <c r="AW62" s="114"/>
      <c r="AX62" s="115"/>
      <c r="AY62" s="115"/>
    </row>
    <row r="63" spans="1:51">
      <c r="A63" s="314"/>
      <c r="B63" s="137" t="s">
        <v>89</v>
      </c>
      <c r="C63" s="328" t="s">
        <v>90</v>
      </c>
      <c r="D63" s="329"/>
      <c r="E63" s="330"/>
      <c r="F63" s="138" t="s">
        <v>38</v>
      </c>
      <c r="G63" s="138" t="s">
        <v>38</v>
      </c>
      <c r="H63" s="138" t="s">
        <v>38</v>
      </c>
      <c r="I63" s="138" t="s">
        <v>38</v>
      </c>
      <c r="J63" s="138" t="s">
        <v>38</v>
      </c>
      <c r="K63" s="138" t="s">
        <v>38</v>
      </c>
      <c r="L63" s="138" t="s">
        <v>38</v>
      </c>
      <c r="M63" s="138" t="s">
        <v>38</v>
      </c>
      <c r="N63" s="138" t="s">
        <v>38</v>
      </c>
      <c r="O63" s="138" t="s">
        <v>38</v>
      </c>
      <c r="P63" s="138" t="s">
        <v>38</v>
      </c>
      <c r="Q63" s="138" t="s">
        <v>38</v>
      </c>
      <c r="R63" s="138" t="s">
        <v>38</v>
      </c>
      <c r="S63" s="138" t="s">
        <v>38</v>
      </c>
      <c r="T63" s="138" t="s">
        <v>38</v>
      </c>
      <c r="U63" s="138" t="s">
        <v>38</v>
      </c>
      <c r="V63" s="138" t="s">
        <v>38</v>
      </c>
      <c r="W63" s="138" t="s">
        <v>38</v>
      </c>
      <c r="X63" s="114"/>
      <c r="Y63" s="114"/>
      <c r="Z63" s="114"/>
      <c r="AA63" s="114"/>
      <c r="AB63" s="114"/>
      <c r="AC63" s="114"/>
      <c r="AD63" s="114"/>
      <c r="AE63" s="114"/>
      <c r="AF63" s="114"/>
      <c r="AG63" s="114"/>
      <c r="AH63" s="114"/>
      <c r="AI63" s="114"/>
      <c r="AJ63" s="114"/>
      <c r="AK63" s="114"/>
      <c r="AL63" s="114"/>
      <c r="AM63" s="114"/>
      <c r="AN63" s="114"/>
      <c r="AO63" s="114"/>
      <c r="AP63" s="114"/>
      <c r="AQ63" s="114"/>
      <c r="AR63" s="114"/>
      <c r="AS63" s="114"/>
      <c r="AT63" s="114"/>
      <c r="AU63" s="114"/>
      <c r="AV63" s="114"/>
      <c r="AW63" s="114"/>
      <c r="AX63" s="115"/>
      <c r="AY63" s="115"/>
    </row>
    <row r="64" spans="1:51">
      <c r="A64" s="314"/>
      <c r="B64" s="137" t="s">
        <v>91</v>
      </c>
      <c r="C64" s="328" t="s">
        <v>92</v>
      </c>
      <c r="D64" s="332"/>
      <c r="E64" s="330"/>
      <c r="F64" s="138" t="s">
        <v>38</v>
      </c>
      <c r="G64" s="138" t="s">
        <v>38</v>
      </c>
      <c r="H64" s="138" t="s">
        <v>38</v>
      </c>
      <c r="I64" s="138" t="s">
        <v>38</v>
      </c>
      <c r="J64" s="138" t="s">
        <v>38</v>
      </c>
      <c r="K64" s="138" t="s">
        <v>38</v>
      </c>
      <c r="L64" s="138" t="s">
        <v>38</v>
      </c>
      <c r="M64" s="138" t="s">
        <v>38</v>
      </c>
      <c r="N64" s="138" t="s">
        <v>38</v>
      </c>
      <c r="O64" s="138" t="s">
        <v>38</v>
      </c>
      <c r="P64" s="138" t="s">
        <v>38</v>
      </c>
      <c r="Q64" s="138" t="s">
        <v>38</v>
      </c>
      <c r="R64" s="138" t="s">
        <v>38</v>
      </c>
      <c r="S64" s="138" t="s">
        <v>38</v>
      </c>
      <c r="T64" s="138" t="s">
        <v>38</v>
      </c>
      <c r="U64" s="138" t="s">
        <v>38</v>
      </c>
      <c r="V64" s="138" t="s">
        <v>38</v>
      </c>
      <c r="W64" s="138" t="s">
        <v>38</v>
      </c>
      <c r="X64" s="114"/>
      <c r="Y64" s="114"/>
      <c r="Z64" s="114"/>
      <c r="AA64" s="114"/>
      <c r="AB64" s="114"/>
      <c r="AC64" s="114"/>
      <c r="AD64" s="114"/>
      <c r="AE64" s="114"/>
      <c r="AF64" s="114"/>
      <c r="AG64" s="114"/>
      <c r="AH64" s="114"/>
      <c r="AI64" s="114"/>
      <c r="AJ64" s="114"/>
      <c r="AK64" s="114"/>
      <c r="AL64" s="114"/>
      <c r="AM64" s="114"/>
      <c r="AN64" s="114"/>
      <c r="AO64" s="114"/>
      <c r="AP64" s="114"/>
      <c r="AQ64" s="114"/>
      <c r="AR64" s="114"/>
      <c r="AS64" s="114"/>
      <c r="AT64" s="114"/>
      <c r="AU64" s="114"/>
      <c r="AV64" s="114"/>
      <c r="AW64" s="114"/>
      <c r="AX64" s="115"/>
      <c r="AY64" s="115"/>
    </row>
    <row r="65" spans="1:51">
      <c r="A65" s="314"/>
      <c r="B65" s="137" t="s">
        <v>93</v>
      </c>
      <c r="C65" s="328" t="s">
        <v>94</v>
      </c>
      <c r="D65" s="332"/>
      <c r="E65" s="331"/>
      <c r="F65" s="138" t="s">
        <v>38</v>
      </c>
      <c r="G65" s="138" t="s">
        <v>38</v>
      </c>
      <c r="H65" s="138" t="s">
        <v>38</v>
      </c>
      <c r="I65" s="138" t="s">
        <v>38</v>
      </c>
      <c r="J65" s="138" t="s">
        <v>38</v>
      </c>
      <c r="K65" s="138" t="s">
        <v>38</v>
      </c>
      <c r="L65" s="138" t="s">
        <v>38</v>
      </c>
      <c r="M65" s="138" t="s">
        <v>38</v>
      </c>
      <c r="N65" s="138" t="s">
        <v>38</v>
      </c>
      <c r="O65" s="138" t="s">
        <v>38</v>
      </c>
      <c r="P65" s="138" t="s">
        <v>38</v>
      </c>
      <c r="Q65" s="138" t="s">
        <v>38</v>
      </c>
      <c r="R65" s="138" t="s">
        <v>38</v>
      </c>
      <c r="S65" s="138" t="s">
        <v>38</v>
      </c>
      <c r="T65" s="138" t="s">
        <v>38</v>
      </c>
      <c r="U65" s="138" t="s">
        <v>38</v>
      </c>
      <c r="V65" s="138" t="s">
        <v>38</v>
      </c>
      <c r="W65" s="138" t="s">
        <v>38</v>
      </c>
      <c r="X65" s="114"/>
      <c r="Y65" s="114"/>
      <c r="Z65" s="114"/>
      <c r="AA65" s="114"/>
      <c r="AB65" s="114"/>
      <c r="AC65" s="114"/>
      <c r="AD65" s="114"/>
      <c r="AE65" s="114"/>
      <c r="AF65" s="114"/>
      <c r="AG65" s="114"/>
      <c r="AH65" s="114"/>
      <c r="AI65" s="114"/>
      <c r="AJ65" s="114"/>
      <c r="AK65" s="114"/>
      <c r="AL65" s="114"/>
      <c r="AM65" s="114"/>
      <c r="AN65" s="114"/>
      <c r="AO65" s="114"/>
      <c r="AP65" s="114"/>
      <c r="AQ65" s="114"/>
      <c r="AR65" s="114"/>
      <c r="AS65" s="114"/>
      <c r="AT65" s="114"/>
      <c r="AU65" s="114"/>
      <c r="AV65" s="114"/>
      <c r="AW65" s="114"/>
      <c r="AX65" s="115"/>
      <c r="AY65" s="115"/>
    </row>
    <row r="66" spans="1:51">
      <c r="A66" s="314"/>
      <c r="B66" s="123" t="s">
        <v>69</v>
      </c>
      <c r="C66" s="125" t="s">
        <v>69</v>
      </c>
      <c r="D66" s="112" t="s">
        <v>88</v>
      </c>
      <c r="E66" s="110" t="s">
        <v>69</v>
      </c>
      <c r="F66" s="111" t="s">
        <v>69</v>
      </c>
      <c r="G66" s="111" t="s">
        <v>69</v>
      </c>
      <c r="H66" s="111" t="s">
        <v>69</v>
      </c>
      <c r="I66" s="111" t="s">
        <v>69</v>
      </c>
      <c r="J66" s="111" t="s">
        <v>69</v>
      </c>
      <c r="K66" s="111" t="s">
        <v>69</v>
      </c>
      <c r="L66" s="111" t="s">
        <v>69</v>
      </c>
      <c r="M66" s="111" t="s">
        <v>69</v>
      </c>
      <c r="N66" s="111" t="s">
        <v>69</v>
      </c>
      <c r="O66" s="111" t="s">
        <v>69</v>
      </c>
      <c r="P66" s="111" t="s">
        <v>69</v>
      </c>
      <c r="Q66" s="111" t="s">
        <v>69</v>
      </c>
      <c r="R66" s="111" t="s">
        <v>69</v>
      </c>
      <c r="S66" s="111" t="s">
        <v>69</v>
      </c>
      <c r="T66" s="111" t="s">
        <v>69</v>
      </c>
      <c r="U66" s="112" t="s">
        <v>69</v>
      </c>
      <c r="V66" s="119" t="s">
        <v>69</v>
      </c>
      <c r="W66" s="119" t="s">
        <v>69</v>
      </c>
      <c r="X66" s="114" t="s">
        <v>69</v>
      </c>
      <c r="Y66" s="114" t="s">
        <v>69</v>
      </c>
      <c r="Z66" s="114" t="s">
        <v>69</v>
      </c>
      <c r="AA66" s="114" t="s">
        <v>69</v>
      </c>
      <c r="AB66" s="114" t="s">
        <v>69</v>
      </c>
      <c r="AC66" s="114" t="s">
        <v>69</v>
      </c>
      <c r="AD66" s="114" t="s">
        <v>69</v>
      </c>
      <c r="AE66" s="114" t="s">
        <v>69</v>
      </c>
      <c r="AF66" s="114" t="s">
        <v>69</v>
      </c>
      <c r="AG66" s="114" t="s">
        <v>69</v>
      </c>
      <c r="AH66" s="114" t="s">
        <v>69</v>
      </c>
      <c r="AI66" s="114" t="s">
        <v>69</v>
      </c>
      <c r="AJ66" s="114" t="s">
        <v>69</v>
      </c>
      <c r="AK66" s="114" t="s">
        <v>69</v>
      </c>
      <c r="AL66" s="114" t="s">
        <v>69</v>
      </c>
      <c r="AM66" s="114" t="s">
        <v>69</v>
      </c>
      <c r="AN66" s="114" t="s">
        <v>69</v>
      </c>
      <c r="AO66" s="114" t="s">
        <v>69</v>
      </c>
      <c r="AP66" s="114" t="s">
        <v>69</v>
      </c>
      <c r="AQ66" s="114" t="s">
        <v>69</v>
      </c>
      <c r="AR66" s="114" t="s">
        <v>69</v>
      </c>
      <c r="AS66" s="114" t="s">
        <v>69</v>
      </c>
      <c r="AT66" s="114" t="s">
        <v>69</v>
      </c>
      <c r="AU66" s="114" t="s">
        <v>69</v>
      </c>
      <c r="AV66" s="114" t="s">
        <v>69</v>
      </c>
      <c r="AW66" s="114" t="s">
        <v>69</v>
      </c>
      <c r="AX66" s="115"/>
      <c r="AY66" s="115"/>
    </row>
    <row r="67" spans="1:51" s="145" customFormat="1" ht="16.5" customHeight="1">
      <c r="A67" s="450">
        <v>4</v>
      </c>
      <c r="B67" s="456" t="s">
        <v>78</v>
      </c>
      <c r="C67" s="457"/>
      <c r="D67" s="458"/>
      <c r="E67" s="429" t="e">
        <f>'statistik The Mandalika'!#REF!</f>
        <v>#REF!</v>
      </c>
      <c r="F67" s="420" t="s">
        <v>38</v>
      </c>
      <c r="G67" s="421"/>
      <c r="H67" s="421"/>
      <c r="I67" s="421"/>
      <c r="J67" s="421"/>
      <c r="K67" s="421"/>
      <c r="L67" s="421"/>
      <c r="M67" s="421"/>
      <c r="N67" s="421"/>
      <c r="O67" s="421"/>
      <c r="P67" s="421"/>
      <c r="Q67" s="421"/>
      <c r="R67" s="421"/>
      <c r="S67" s="421"/>
      <c r="T67" s="421"/>
      <c r="U67" s="421"/>
      <c r="V67" s="421"/>
      <c r="W67" s="422"/>
      <c r="X67" s="189"/>
      <c r="Y67" s="189"/>
      <c r="Z67" s="189"/>
      <c r="AA67" s="189"/>
      <c r="AB67" s="189"/>
      <c r="AC67" s="189"/>
    </row>
    <row r="68" spans="1:51" s="145" customFormat="1" ht="20.25" customHeight="1">
      <c r="A68" s="451"/>
      <c r="B68" s="190"/>
      <c r="C68" s="191" t="s">
        <v>82</v>
      </c>
      <c r="D68" s="188" t="s">
        <v>118</v>
      </c>
      <c r="E68" s="430"/>
      <c r="F68" s="192">
        <v>0</v>
      </c>
      <c r="G68" s="192">
        <v>0</v>
      </c>
      <c r="H68" s="192">
        <v>0</v>
      </c>
      <c r="I68" s="192">
        <v>0</v>
      </c>
      <c r="J68" s="192">
        <v>0</v>
      </c>
      <c r="K68" s="192">
        <v>0</v>
      </c>
      <c r="L68" s="192">
        <v>0</v>
      </c>
      <c r="M68" s="192">
        <v>0</v>
      </c>
      <c r="N68" s="192">
        <v>0</v>
      </c>
      <c r="O68" s="192">
        <v>0</v>
      </c>
      <c r="P68" s="192">
        <v>0</v>
      </c>
      <c r="Q68" s="192">
        <v>0</v>
      </c>
      <c r="R68" s="193">
        <v>0</v>
      </c>
      <c r="S68" s="193">
        <v>0</v>
      </c>
      <c r="T68" s="193">
        <v>0</v>
      </c>
      <c r="U68" s="193">
        <v>0</v>
      </c>
      <c r="V68" s="193">
        <v>0</v>
      </c>
      <c r="W68" s="193">
        <v>0</v>
      </c>
      <c r="X68" s="189"/>
      <c r="Y68" s="189"/>
      <c r="Z68" s="189"/>
      <c r="AA68" s="189"/>
      <c r="AB68" s="189"/>
      <c r="AC68" s="189"/>
    </row>
    <row r="69" spans="1:51" s="145" customFormat="1" ht="20.25" customHeight="1">
      <c r="A69" s="451"/>
      <c r="B69" s="190"/>
      <c r="C69" s="190"/>
      <c r="D69" s="188" t="s">
        <v>76</v>
      </c>
      <c r="E69" s="430"/>
      <c r="F69" s="192">
        <v>0</v>
      </c>
      <c r="G69" s="192">
        <v>0</v>
      </c>
      <c r="H69" s="192">
        <v>0</v>
      </c>
      <c r="I69" s="192">
        <v>0</v>
      </c>
      <c r="J69" s="192">
        <v>0</v>
      </c>
      <c r="K69" s="192">
        <v>0</v>
      </c>
      <c r="L69" s="192">
        <v>0</v>
      </c>
      <c r="M69" s="192">
        <v>0</v>
      </c>
      <c r="N69" s="192">
        <v>0</v>
      </c>
      <c r="O69" s="192">
        <v>0</v>
      </c>
      <c r="P69" s="192">
        <v>0</v>
      </c>
      <c r="Q69" s="192">
        <v>0</v>
      </c>
      <c r="R69" s="193">
        <v>0</v>
      </c>
      <c r="S69" s="193">
        <v>0</v>
      </c>
      <c r="T69" s="193">
        <v>0</v>
      </c>
      <c r="U69" s="193">
        <v>0</v>
      </c>
      <c r="V69" s="193">
        <v>0</v>
      </c>
      <c r="W69" s="193">
        <v>0</v>
      </c>
      <c r="X69" s="189"/>
      <c r="Y69" s="189"/>
      <c r="Z69" s="189"/>
      <c r="AA69" s="189"/>
      <c r="AB69" s="189"/>
      <c r="AC69" s="189"/>
    </row>
    <row r="70" spans="1:51" s="145" customFormat="1" ht="20.25" customHeight="1">
      <c r="A70" s="451"/>
      <c r="B70" s="190"/>
      <c r="C70" s="191" t="s">
        <v>180</v>
      </c>
      <c r="D70" s="188" t="s">
        <v>118</v>
      </c>
      <c r="E70" s="430"/>
      <c r="F70" s="192">
        <v>0</v>
      </c>
      <c r="G70" s="192">
        <v>0</v>
      </c>
      <c r="H70" s="192">
        <v>0</v>
      </c>
      <c r="I70" s="192">
        <v>0</v>
      </c>
      <c r="J70" s="192">
        <v>0</v>
      </c>
      <c r="K70" s="192">
        <v>0</v>
      </c>
      <c r="L70" s="192">
        <v>0</v>
      </c>
      <c r="M70" s="192">
        <v>0</v>
      </c>
      <c r="N70" s="192">
        <v>0</v>
      </c>
      <c r="O70" s="192">
        <v>0</v>
      </c>
      <c r="P70" s="192">
        <v>0</v>
      </c>
      <c r="Q70" s="192">
        <v>0</v>
      </c>
      <c r="R70" s="193">
        <v>0</v>
      </c>
      <c r="S70" s="193">
        <v>0</v>
      </c>
      <c r="T70" s="193">
        <v>0</v>
      </c>
      <c r="U70" s="193">
        <v>0</v>
      </c>
      <c r="V70" s="193">
        <v>0</v>
      </c>
      <c r="W70" s="193">
        <v>0</v>
      </c>
      <c r="X70" s="189"/>
      <c r="Y70" s="189"/>
      <c r="Z70" s="189"/>
      <c r="AA70" s="189"/>
      <c r="AB70" s="189"/>
      <c r="AC70" s="189"/>
    </row>
    <row r="71" spans="1:51" s="145" customFormat="1" ht="20.25" customHeight="1">
      <c r="A71" s="451"/>
      <c r="B71" s="190"/>
      <c r="C71" s="190"/>
      <c r="D71" s="188" t="s">
        <v>76</v>
      </c>
      <c r="E71" s="430"/>
      <c r="F71" s="192">
        <v>0</v>
      </c>
      <c r="G71" s="192">
        <v>0</v>
      </c>
      <c r="H71" s="192">
        <v>0</v>
      </c>
      <c r="I71" s="192">
        <v>0</v>
      </c>
      <c r="J71" s="192">
        <v>0</v>
      </c>
      <c r="K71" s="192">
        <v>0</v>
      </c>
      <c r="L71" s="192">
        <v>0</v>
      </c>
      <c r="M71" s="192">
        <v>0</v>
      </c>
      <c r="N71" s="192">
        <v>0</v>
      </c>
      <c r="O71" s="192">
        <v>0</v>
      </c>
      <c r="P71" s="192">
        <v>0</v>
      </c>
      <c r="Q71" s="192">
        <v>0</v>
      </c>
      <c r="R71" s="192">
        <v>0</v>
      </c>
      <c r="S71" s="192">
        <v>0</v>
      </c>
      <c r="T71" s="192">
        <v>0</v>
      </c>
      <c r="U71" s="192">
        <v>0</v>
      </c>
      <c r="V71" s="192">
        <v>0</v>
      </c>
      <c r="W71" s="192">
        <v>0</v>
      </c>
      <c r="X71" s="189"/>
      <c r="Y71" s="189"/>
      <c r="Z71" s="189"/>
      <c r="AA71" s="189"/>
      <c r="AB71" s="189"/>
      <c r="AC71" s="189"/>
    </row>
    <row r="72" spans="1:51" s="145" customFormat="1" ht="20.25" customHeight="1">
      <c r="A72" s="451"/>
      <c r="B72" s="190"/>
      <c r="C72" s="191" t="s">
        <v>181</v>
      </c>
      <c r="D72" s="188" t="s">
        <v>118</v>
      </c>
      <c r="E72" s="430"/>
      <c r="F72" s="192">
        <v>2</v>
      </c>
      <c r="G72" s="192">
        <v>0</v>
      </c>
      <c r="H72" s="192">
        <v>0</v>
      </c>
      <c r="I72" s="192">
        <v>0</v>
      </c>
      <c r="J72" s="192">
        <v>0</v>
      </c>
      <c r="K72" s="192">
        <v>0</v>
      </c>
      <c r="L72" s="192">
        <v>0</v>
      </c>
      <c r="M72" s="192">
        <v>0</v>
      </c>
      <c r="N72" s="192">
        <v>0</v>
      </c>
      <c r="O72" s="192">
        <v>0</v>
      </c>
      <c r="P72" s="192">
        <v>0</v>
      </c>
      <c r="Q72" s="192">
        <v>0</v>
      </c>
      <c r="R72" s="192">
        <v>0</v>
      </c>
      <c r="S72" s="192">
        <v>0</v>
      </c>
      <c r="T72" s="192">
        <v>0</v>
      </c>
      <c r="U72" s="192">
        <v>0</v>
      </c>
      <c r="V72" s="192">
        <v>0</v>
      </c>
      <c r="W72" s="192">
        <v>0</v>
      </c>
      <c r="X72" s="189"/>
      <c r="Y72" s="189"/>
      <c r="Z72" s="189"/>
      <c r="AA72" s="189"/>
      <c r="AB72" s="189"/>
      <c r="AC72" s="189"/>
    </row>
    <row r="73" spans="1:51" s="145" customFormat="1" ht="20.25" customHeight="1">
      <c r="A73" s="451"/>
      <c r="B73" s="190"/>
      <c r="C73" s="190"/>
      <c r="D73" s="188" t="s">
        <v>76</v>
      </c>
      <c r="E73" s="430"/>
      <c r="F73" s="192">
        <v>0</v>
      </c>
      <c r="G73" s="192">
        <v>0</v>
      </c>
      <c r="H73" s="192">
        <v>0</v>
      </c>
      <c r="I73" s="192">
        <v>0</v>
      </c>
      <c r="J73" s="192">
        <v>0</v>
      </c>
      <c r="K73" s="192">
        <v>0</v>
      </c>
      <c r="L73" s="192">
        <v>0</v>
      </c>
      <c r="M73" s="192">
        <v>0</v>
      </c>
      <c r="N73" s="192">
        <v>0</v>
      </c>
      <c r="O73" s="192">
        <v>0</v>
      </c>
      <c r="P73" s="192">
        <v>0</v>
      </c>
      <c r="Q73" s="192">
        <v>0</v>
      </c>
      <c r="R73" s="192">
        <v>0</v>
      </c>
      <c r="S73" s="192">
        <v>0</v>
      </c>
      <c r="T73" s="192">
        <v>0</v>
      </c>
      <c r="U73" s="192">
        <v>0</v>
      </c>
      <c r="V73" s="192">
        <v>0</v>
      </c>
      <c r="W73" s="192">
        <v>0</v>
      </c>
      <c r="X73" s="189"/>
      <c r="Y73" s="189"/>
      <c r="Z73" s="189"/>
      <c r="AA73" s="189"/>
      <c r="AB73" s="189"/>
      <c r="AC73" s="189"/>
    </row>
    <row r="74" spans="1:51" s="145" customFormat="1" ht="20.25" customHeight="1">
      <c r="A74" s="451"/>
      <c r="B74" s="190"/>
      <c r="C74" s="191" t="s">
        <v>182</v>
      </c>
      <c r="D74" s="188" t="s">
        <v>118</v>
      </c>
      <c r="E74" s="430"/>
      <c r="F74" s="408" t="s">
        <v>183</v>
      </c>
      <c r="G74" s="409"/>
      <c r="H74" s="409"/>
      <c r="I74" s="409"/>
      <c r="J74" s="409"/>
      <c r="K74" s="409"/>
      <c r="L74" s="409"/>
      <c r="M74" s="409"/>
      <c r="N74" s="409"/>
      <c r="O74" s="409"/>
      <c r="P74" s="409"/>
      <c r="Q74" s="409"/>
      <c r="R74" s="409"/>
      <c r="S74" s="409"/>
      <c r="T74" s="409"/>
      <c r="U74" s="409"/>
      <c r="V74" s="409"/>
      <c r="W74" s="410"/>
      <c r="X74" s="189"/>
      <c r="Y74" s="189"/>
      <c r="Z74" s="189"/>
      <c r="AA74" s="189"/>
      <c r="AB74" s="189"/>
      <c r="AC74" s="189"/>
    </row>
    <row r="75" spans="1:51" s="145" customFormat="1" ht="20.25" customHeight="1">
      <c r="A75" s="451"/>
      <c r="B75" s="194"/>
      <c r="C75" s="194"/>
      <c r="D75" s="195" t="s">
        <v>76</v>
      </c>
      <c r="E75" s="430"/>
      <c r="F75" s="411"/>
      <c r="G75" s="412"/>
      <c r="H75" s="412"/>
      <c r="I75" s="412"/>
      <c r="J75" s="412"/>
      <c r="K75" s="412"/>
      <c r="L75" s="412"/>
      <c r="M75" s="412"/>
      <c r="N75" s="412"/>
      <c r="O75" s="412"/>
      <c r="P75" s="412"/>
      <c r="Q75" s="412"/>
      <c r="R75" s="412"/>
      <c r="S75" s="412"/>
      <c r="T75" s="412"/>
      <c r="U75" s="412"/>
      <c r="V75" s="412"/>
      <c r="W75" s="413"/>
      <c r="X75" s="189"/>
      <c r="Y75" s="189"/>
      <c r="Z75" s="189"/>
      <c r="AA75" s="189"/>
      <c r="AB75" s="189"/>
      <c r="AC75" s="189"/>
    </row>
    <row r="76" spans="1:51" s="145" customFormat="1" ht="20.25" customHeight="1">
      <c r="A76" s="456"/>
      <c r="B76" s="196"/>
      <c r="C76" s="197" t="s">
        <v>96</v>
      </c>
      <c r="D76" s="196" t="s">
        <v>118</v>
      </c>
      <c r="E76" s="431"/>
      <c r="F76" s="188">
        <v>1</v>
      </c>
      <c r="G76" s="188">
        <v>4</v>
      </c>
      <c r="H76" s="188">
        <v>0</v>
      </c>
      <c r="I76" s="188">
        <v>1</v>
      </c>
      <c r="J76" s="188">
        <v>1</v>
      </c>
      <c r="K76" s="188">
        <v>0</v>
      </c>
      <c r="L76" s="188">
        <v>2</v>
      </c>
      <c r="M76" s="188">
        <v>2</v>
      </c>
      <c r="N76" s="188">
        <v>0</v>
      </c>
      <c r="O76" s="188">
        <v>3</v>
      </c>
      <c r="P76" s="188">
        <v>10</v>
      </c>
      <c r="Q76" s="188">
        <v>2</v>
      </c>
      <c r="R76" s="190">
        <v>1</v>
      </c>
      <c r="S76" s="190">
        <v>0</v>
      </c>
      <c r="T76" s="190">
        <v>2</v>
      </c>
      <c r="U76" s="190">
        <v>2</v>
      </c>
      <c r="V76" s="190">
        <v>3</v>
      </c>
      <c r="W76" s="190">
        <v>6</v>
      </c>
      <c r="X76" s="189"/>
      <c r="Y76" s="189"/>
      <c r="Z76" s="189"/>
      <c r="AA76" s="189"/>
      <c r="AB76" s="189"/>
      <c r="AC76" s="189"/>
    </row>
    <row r="77" spans="1:51" s="145" customFormat="1">
      <c r="A77" s="198"/>
      <c r="B77" s="196"/>
      <c r="C77" s="197"/>
      <c r="D77" s="196" t="s">
        <v>76</v>
      </c>
      <c r="E77" s="199"/>
      <c r="F77" s="188">
        <v>0</v>
      </c>
      <c r="G77" s="188">
        <v>0</v>
      </c>
      <c r="H77" s="188">
        <v>0</v>
      </c>
      <c r="I77" s="188">
        <v>0</v>
      </c>
      <c r="J77" s="188">
        <v>0</v>
      </c>
      <c r="K77" s="188">
        <v>0</v>
      </c>
      <c r="L77" s="188">
        <v>0</v>
      </c>
      <c r="M77" s="188">
        <v>0</v>
      </c>
      <c r="N77" s="188">
        <v>0</v>
      </c>
      <c r="O77" s="188">
        <v>0</v>
      </c>
      <c r="P77" s="188">
        <v>0</v>
      </c>
      <c r="Q77" s="188">
        <v>0</v>
      </c>
      <c r="R77" s="190">
        <v>1</v>
      </c>
      <c r="S77" s="190">
        <v>0</v>
      </c>
      <c r="T77" s="190">
        <v>0</v>
      </c>
      <c r="U77" s="190">
        <v>0</v>
      </c>
      <c r="V77" s="190">
        <v>1</v>
      </c>
      <c r="W77" s="190">
        <v>1</v>
      </c>
      <c r="X77" s="189"/>
      <c r="Y77" s="189"/>
      <c r="Z77" s="189"/>
      <c r="AA77" s="189"/>
      <c r="AB77" s="189"/>
      <c r="AC77" s="189"/>
    </row>
    <row r="78" spans="1:51" s="145" customFormat="1" ht="16.5" customHeight="1">
      <c r="A78" s="450">
        <v>5</v>
      </c>
      <c r="B78" s="445" t="s">
        <v>161</v>
      </c>
      <c r="C78" s="454"/>
      <c r="D78" s="446"/>
      <c r="E78" s="440" t="s">
        <v>184</v>
      </c>
      <c r="F78" s="190"/>
      <c r="G78" s="190"/>
      <c r="H78" s="190"/>
      <c r="I78" s="190"/>
      <c r="J78" s="190"/>
      <c r="K78" s="190"/>
      <c r="L78" s="190"/>
      <c r="M78" s="190"/>
      <c r="N78" s="190"/>
      <c r="O78" s="190"/>
      <c r="P78" s="190"/>
      <c r="Q78" s="190"/>
      <c r="R78" s="190"/>
      <c r="S78" s="190"/>
      <c r="T78" s="190"/>
      <c r="U78" s="190"/>
      <c r="V78" s="190"/>
      <c r="W78" s="190"/>
      <c r="X78" s="189"/>
      <c r="Y78" s="189"/>
      <c r="Z78" s="189"/>
      <c r="AA78" s="189"/>
      <c r="AB78" s="189"/>
      <c r="AC78" s="189"/>
    </row>
    <row r="79" spans="1:51" s="145" customFormat="1">
      <c r="A79" s="451"/>
      <c r="B79" s="190"/>
      <c r="C79" s="443" t="s">
        <v>162</v>
      </c>
      <c r="D79" s="444"/>
      <c r="E79" s="441"/>
      <c r="F79" s="188">
        <v>0</v>
      </c>
      <c r="G79" s="188">
        <v>0</v>
      </c>
      <c r="H79" s="188">
        <v>0</v>
      </c>
      <c r="I79" s="188">
        <v>1</v>
      </c>
      <c r="J79" s="188">
        <v>0</v>
      </c>
      <c r="K79" s="188">
        <v>0</v>
      </c>
      <c r="L79" s="188">
        <v>1</v>
      </c>
      <c r="M79" s="188">
        <v>0</v>
      </c>
      <c r="N79" s="188">
        <v>0</v>
      </c>
      <c r="O79" s="188">
        <v>1</v>
      </c>
      <c r="P79" s="188">
        <v>0</v>
      </c>
      <c r="Q79" s="188">
        <v>0</v>
      </c>
      <c r="R79" s="190">
        <v>0</v>
      </c>
      <c r="S79" s="190">
        <v>0</v>
      </c>
      <c r="T79" s="190">
        <v>0</v>
      </c>
      <c r="U79" s="190">
        <v>0</v>
      </c>
      <c r="V79" s="190">
        <v>0</v>
      </c>
      <c r="W79" s="190">
        <v>0</v>
      </c>
      <c r="X79" s="189"/>
      <c r="Y79" s="189"/>
      <c r="Z79" s="189"/>
      <c r="AA79" s="189"/>
      <c r="AB79" s="189"/>
      <c r="AC79" s="189"/>
    </row>
    <row r="80" spans="1:51" s="145" customFormat="1">
      <c r="A80" s="451"/>
      <c r="B80" s="190"/>
      <c r="C80" s="443" t="s">
        <v>163</v>
      </c>
      <c r="D80" s="444"/>
      <c r="E80" s="441"/>
      <c r="F80" s="188">
        <v>0</v>
      </c>
      <c r="G80" s="188">
        <v>0</v>
      </c>
      <c r="H80" s="188">
        <v>0</v>
      </c>
      <c r="I80" s="188">
        <v>0</v>
      </c>
      <c r="J80" s="188">
        <v>0</v>
      </c>
      <c r="K80" s="188">
        <v>0</v>
      </c>
      <c r="L80" s="188">
        <v>0</v>
      </c>
      <c r="M80" s="188">
        <v>0</v>
      </c>
      <c r="N80" s="188">
        <v>0</v>
      </c>
      <c r="O80" s="188">
        <v>0</v>
      </c>
      <c r="P80" s="188">
        <v>0</v>
      </c>
      <c r="Q80" s="188">
        <v>0</v>
      </c>
      <c r="R80" s="190">
        <v>0</v>
      </c>
      <c r="S80" s="190">
        <v>0</v>
      </c>
      <c r="T80" s="190">
        <v>0</v>
      </c>
      <c r="U80" s="190">
        <v>0</v>
      </c>
      <c r="V80" s="190">
        <v>0</v>
      </c>
      <c r="W80" s="190">
        <v>0</v>
      </c>
      <c r="X80" s="189"/>
      <c r="Y80" s="189"/>
      <c r="Z80" s="189"/>
      <c r="AA80" s="189"/>
      <c r="AB80" s="189"/>
      <c r="AC80" s="189"/>
    </row>
    <row r="81" spans="1:29" s="145" customFormat="1">
      <c r="A81" s="451"/>
      <c r="B81" s="190"/>
      <c r="C81" s="443" t="s">
        <v>164</v>
      </c>
      <c r="D81" s="444"/>
      <c r="E81" s="441"/>
      <c r="F81" s="188">
        <v>0</v>
      </c>
      <c r="G81" s="188">
        <v>0</v>
      </c>
      <c r="H81" s="188">
        <v>0</v>
      </c>
      <c r="I81" s="188">
        <v>0</v>
      </c>
      <c r="J81" s="188">
        <v>0</v>
      </c>
      <c r="K81" s="188">
        <v>0</v>
      </c>
      <c r="L81" s="188">
        <v>0</v>
      </c>
      <c r="M81" s="188">
        <v>0</v>
      </c>
      <c r="N81" s="188">
        <v>0</v>
      </c>
      <c r="O81" s="188">
        <v>0</v>
      </c>
      <c r="P81" s="188">
        <v>0</v>
      </c>
      <c r="Q81" s="188">
        <v>0</v>
      </c>
      <c r="R81" s="190">
        <v>0</v>
      </c>
      <c r="S81" s="190">
        <v>0</v>
      </c>
      <c r="T81" s="190">
        <v>0</v>
      </c>
      <c r="U81" s="190">
        <v>0</v>
      </c>
      <c r="V81" s="190">
        <v>0</v>
      </c>
      <c r="W81" s="190">
        <v>0</v>
      </c>
      <c r="X81" s="189"/>
      <c r="Y81" s="189"/>
      <c r="Z81" s="189"/>
      <c r="AA81" s="189"/>
      <c r="AB81" s="189"/>
      <c r="AC81" s="189"/>
    </row>
    <row r="82" spans="1:29" s="145" customFormat="1">
      <c r="A82" s="455"/>
      <c r="B82" s="190"/>
      <c r="C82" s="445" t="s">
        <v>104</v>
      </c>
      <c r="D82" s="446"/>
      <c r="E82" s="442"/>
      <c r="F82" s="188">
        <v>0</v>
      </c>
      <c r="G82" s="188">
        <v>0</v>
      </c>
      <c r="H82" s="188">
        <v>0</v>
      </c>
      <c r="I82" s="188">
        <v>0</v>
      </c>
      <c r="J82" s="188">
        <v>0</v>
      </c>
      <c r="K82" s="188">
        <v>0</v>
      </c>
      <c r="L82" s="188">
        <v>0</v>
      </c>
      <c r="M82" s="188">
        <v>0</v>
      </c>
      <c r="N82" s="188">
        <v>0</v>
      </c>
      <c r="O82" s="188">
        <v>0</v>
      </c>
      <c r="P82" s="188">
        <v>0</v>
      </c>
      <c r="Q82" s="188">
        <v>0</v>
      </c>
      <c r="R82" s="190">
        <v>0</v>
      </c>
      <c r="S82" s="190">
        <v>0</v>
      </c>
      <c r="T82" s="190">
        <v>0</v>
      </c>
      <c r="U82" s="190">
        <v>0</v>
      </c>
      <c r="V82" s="190">
        <v>0</v>
      </c>
      <c r="W82" s="190">
        <v>0</v>
      </c>
      <c r="X82" s="189"/>
      <c r="Y82" s="189"/>
      <c r="Z82" s="189"/>
      <c r="AA82" s="189"/>
      <c r="AB82" s="189"/>
      <c r="AC82" s="189"/>
    </row>
    <row r="83" spans="1:29" s="145" customFormat="1" ht="16.5" customHeight="1">
      <c r="A83" s="450">
        <v>6</v>
      </c>
      <c r="B83" s="445" t="s">
        <v>165</v>
      </c>
      <c r="C83" s="454"/>
      <c r="D83" s="446"/>
      <c r="E83" s="447" t="s">
        <v>185</v>
      </c>
      <c r="F83" s="190"/>
      <c r="G83" s="190"/>
      <c r="H83" s="190"/>
      <c r="I83" s="190"/>
      <c r="J83" s="190"/>
      <c r="K83" s="190"/>
      <c r="L83" s="190"/>
      <c r="M83" s="190"/>
      <c r="N83" s="190"/>
      <c r="O83" s="190"/>
      <c r="P83" s="190"/>
      <c r="Q83" s="190"/>
      <c r="R83" s="190"/>
      <c r="S83" s="190"/>
      <c r="T83" s="190"/>
      <c r="U83" s="190"/>
      <c r="V83" s="190"/>
      <c r="W83" s="190"/>
      <c r="X83" s="189"/>
      <c r="Y83" s="189"/>
      <c r="Z83" s="189"/>
      <c r="AA83" s="189"/>
      <c r="AB83" s="189"/>
      <c r="AC83" s="189"/>
    </row>
    <row r="84" spans="1:29" s="145" customFormat="1">
      <c r="A84" s="451"/>
      <c r="B84" s="190"/>
      <c r="C84" s="443" t="s">
        <v>167</v>
      </c>
      <c r="D84" s="444"/>
      <c r="E84" s="448"/>
      <c r="F84" s="188" t="s">
        <v>38</v>
      </c>
      <c r="G84" s="188" t="s">
        <v>38</v>
      </c>
      <c r="H84" s="188" t="s">
        <v>38</v>
      </c>
      <c r="I84" s="188" t="s">
        <v>38</v>
      </c>
      <c r="J84" s="188" t="s">
        <v>38</v>
      </c>
      <c r="K84" s="188" t="s">
        <v>38</v>
      </c>
      <c r="L84" s="188" t="s">
        <v>38</v>
      </c>
      <c r="M84" s="188" t="s">
        <v>38</v>
      </c>
      <c r="N84" s="188" t="s">
        <v>38</v>
      </c>
      <c r="O84" s="188" t="s">
        <v>38</v>
      </c>
      <c r="P84" s="188" t="s">
        <v>38</v>
      </c>
      <c r="Q84" s="188" t="s">
        <v>38</v>
      </c>
      <c r="R84" s="188" t="s">
        <v>38</v>
      </c>
      <c r="S84" s="188" t="s">
        <v>38</v>
      </c>
      <c r="T84" s="188" t="s">
        <v>38</v>
      </c>
      <c r="U84" s="188" t="s">
        <v>38</v>
      </c>
      <c r="V84" s="188" t="s">
        <v>38</v>
      </c>
      <c r="W84" s="188" t="s">
        <v>38</v>
      </c>
      <c r="X84" s="189"/>
      <c r="Y84" s="189"/>
      <c r="Z84" s="189"/>
      <c r="AA84" s="189"/>
      <c r="AB84" s="189"/>
      <c r="AC84" s="189"/>
    </row>
    <row r="85" spans="1:29" s="145" customFormat="1">
      <c r="A85" s="451"/>
      <c r="B85" s="190"/>
      <c r="C85" s="443" t="s">
        <v>168</v>
      </c>
      <c r="D85" s="444"/>
      <c r="E85" s="448"/>
      <c r="F85" s="188" t="s">
        <v>38</v>
      </c>
      <c r="G85" s="188" t="s">
        <v>38</v>
      </c>
      <c r="H85" s="188" t="s">
        <v>38</v>
      </c>
      <c r="I85" s="188" t="s">
        <v>38</v>
      </c>
      <c r="J85" s="188" t="s">
        <v>38</v>
      </c>
      <c r="K85" s="188" t="s">
        <v>38</v>
      </c>
      <c r="L85" s="188" t="s">
        <v>38</v>
      </c>
      <c r="M85" s="188" t="s">
        <v>162</v>
      </c>
      <c r="N85" s="188" t="s">
        <v>38</v>
      </c>
      <c r="O85" s="188" t="s">
        <v>38</v>
      </c>
      <c r="P85" s="188" t="s">
        <v>38</v>
      </c>
      <c r="Q85" s="188" t="s">
        <v>38</v>
      </c>
      <c r="R85" s="188" t="s">
        <v>38</v>
      </c>
      <c r="S85" s="188" t="s">
        <v>38</v>
      </c>
      <c r="T85" s="188" t="s">
        <v>38</v>
      </c>
      <c r="U85" s="188" t="s">
        <v>38</v>
      </c>
      <c r="V85" s="188" t="s">
        <v>38</v>
      </c>
      <c r="W85" s="188" t="s">
        <v>38</v>
      </c>
      <c r="X85" s="189"/>
      <c r="Y85" s="189"/>
      <c r="Z85" s="189"/>
      <c r="AA85" s="189"/>
      <c r="AB85" s="189"/>
      <c r="AC85" s="189"/>
    </row>
    <row r="86" spans="1:29" s="145" customFormat="1">
      <c r="A86" s="451"/>
      <c r="B86" s="190"/>
      <c r="C86" s="443" t="s">
        <v>169</v>
      </c>
      <c r="D86" s="444"/>
      <c r="E86" s="448"/>
      <c r="F86" s="188" t="s">
        <v>38</v>
      </c>
      <c r="G86" s="188" t="s">
        <v>38</v>
      </c>
      <c r="H86" s="188" t="s">
        <v>38</v>
      </c>
      <c r="I86" s="188" t="s">
        <v>38</v>
      </c>
      <c r="J86" s="188" t="s">
        <v>38</v>
      </c>
      <c r="K86" s="188" t="s">
        <v>38</v>
      </c>
      <c r="L86" s="188" t="s">
        <v>38</v>
      </c>
      <c r="M86" s="188" t="s">
        <v>38</v>
      </c>
      <c r="N86" s="188" t="s">
        <v>38</v>
      </c>
      <c r="O86" s="188" t="s">
        <v>38</v>
      </c>
      <c r="P86" s="188" t="s">
        <v>38</v>
      </c>
      <c r="Q86" s="188" t="s">
        <v>38</v>
      </c>
      <c r="R86" s="188" t="s">
        <v>38</v>
      </c>
      <c r="S86" s="188" t="s">
        <v>38</v>
      </c>
      <c r="T86" s="188" t="s">
        <v>38</v>
      </c>
      <c r="U86" s="188" t="s">
        <v>38</v>
      </c>
      <c r="V86" s="188" t="s">
        <v>38</v>
      </c>
      <c r="W86" s="188" t="s">
        <v>38</v>
      </c>
      <c r="X86" s="189"/>
      <c r="Y86" s="189"/>
      <c r="Z86" s="189"/>
      <c r="AA86" s="189"/>
      <c r="AB86" s="189"/>
      <c r="AC86" s="189"/>
    </row>
    <row r="87" spans="1:29" s="145" customFormat="1" ht="20.25" customHeight="1">
      <c r="A87" s="452"/>
      <c r="B87" s="190"/>
      <c r="C87" s="443" t="s">
        <v>170</v>
      </c>
      <c r="D87" s="444"/>
      <c r="E87" s="448"/>
      <c r="F87" s="188" t="s">
        <v>38</v>
      </c>
      <c r="G87" s="188" t="s">
        <v>38</v>
      </c>
      <c r="H87" s="188" t="s">
        <v>38</v>
      </c>
      <c r="I87" s="188" t="s">
        <v>162</v>
      </c>
      <c r="J87" s="188" t="s">
        <v>38</v>
      </c>
      <c r="K87" s="188" t="s">
        <v>38</v>
      </c>
      <c r="L87" s="188" t="s">
        <v>162</v>
      </c>
      <c r="M87" s="188" t="s">
        <v>38</v>
      </c>
      <c r="N87" s="188" t="s">
        <v>38</v>
      </c>
      <c r="O87" s="188" t="s">
        <v>162</v>
      </c>
      <c r="P87" s="188" t="s">
        <v>38</v>
      </c>
      <c r="Q87" s="188" t="s">
        <v>38</v>
      </c>
      <c r="R87" s="188" t="s">
        <v>38</v>
      </c>
      <c r="S87" s="188" t="s">
        <v>38</v>
      </c>
      <c r="T87" s="188" t="s">
        <v>38</v>
      </c>
      <c r="U87" s="188" t="s">
        <v>38</v>
      </c>
      <c r="V87" s="188" t="s">
        <v>162</v>
      </c>
      <c r="W87" s="188" t="s">
        <v>162</v>
      </c>
      <c r="X87" s="189"/>
      <c r="Y87" s="189"/>
      <c r="Z87" s="189"/>
      <c r="AA87" s="189"/>
      <c r="AB87" s="189"/>
      <c r="AC87" s="189"/>
    </row>
    <row r="88" spans="1:29" s="145" customFormat="1" ht="20.25" customHeight="1">
      <c r="A88" s="453"/>
      <c r="B88" s="190"/>
      <c r="C88" s="445" t="s">
        <v>104</v>
      </c>
      <c r="D88" s="446"/>
      <c r="E88" s="449"/>
      <c r="F88" s="188" t="s">
        <v>38</v>
      </c>
      <c r="G88" s="188" t="s">
        <v>38</v>
      </c>
      <c r="H88" s="188" t="s">
        <v>38</v>
      </c>
      <c r="I88" s="188" t="s">
        <v>162</v>
      </c>
      <c r="J88" s="188" t="s">
        <v>38</v>
      </c>
      <c r="K88" s="188" t="s">
        <v>38</v>
      </c>
      <c r="L88" s="188" t="s">
        <v>162</v>
      </c>
      <c r="M88" s="188" t="s">
        <v>38</v>
      </c>
      <c r="N88" s="188" t="s">
        <v>38</v>
      </c>
      <c r="O88" s="188" t="s">
        <v>162</v>
      </c>
      <c r="P88" s="188" t="s">
        <v>38</v>
      </c>
      <c r="Q88" s="188" t="s">
        <v>38</v>
      </c>
      <c r="R88" s="188" t="s">
        <v>38</v>
      </c>
      <c r="S88" s="188" t="s">
        <v>38</v>
      </c>
      <c r="T88" s="188" t="s">
        <v>38</v>
      </c>
      <c r="U88" s="188" t="s">
        <v>38</v>
      </c>
      <c r="V88" s="188" t="s">
        <v>38</v>
      </c>
      <c r="W88" s="188" t="s">
        <v>38</v>
      </c>
      <c r="X88" s="189"/>
      <c r="Y88" s="189"/>
      <c r="Z88" s="189"/>
      <c r="AA88" s="189"/>
      <c r="AB88" s="189"/>
      <c r="AC88" s="189"/>
    </row>
  </sheetData>
  <mergeCells count="48">
    <mergeCell ref="A83:A88"/>
    <mergeCell ref="B83:D83"/>
    <mergeCell ref="A78:A82"/>
    <mergeCell ref="B78:D78"/>
    <mergeCell ref="A67:A76"/>
    <mergeCell ref="B67:D67"/>
    <mergeCell ref="E83:E88"/>
    <mergeCell ref="C84:D84"/>
    <mergeCell ref="C85:D85"/>
    <mergeCell ref="C86:D86"/>
    <mergeCell ref="C87:D87"/>
    <mergeCell ref="C88:D88"/>
    <mergeCell ref="E78:E82"/>
    <mergeCell ref="C79:D79"/>
    <mergeCell ref="C80:D80"/>
    <mergeCell ref="C81:D81"/>
    <mergeCell ref="C82:D82"/>
    <mergeCell ref="E67:E76"/>
    <mergeCell ref="C5:D5"/>
    <mergeCell ref="C6:D6"/>
    <mergeCell ref="C7:D7"/>
    <mergeCell ref="C8:D8"/>
    <mergeCell ref="E4:E8"/>
    <mergeCell ref="C65:D65"/>
    <mergeCell ref="A4:A8"/>
    <mergeCell ref="A9:A66"/>
    <mergeCell ref="B9:D9"/>
    <mergeCell ref="B50:D50"/>
    <mergeCell ref="C51:D51"/>
    <mergeCell ref="C62:D62"/>
    <mergeCell ref="C63:D63"/>
    <mergeCell ref="C64:D64"/>
    <mergeCell ref="F74:W75"/>
    <mergeCell ref="B1:D1"/>
    <mergeCell ref="B2:D2"/>
    <mergeCell ref="B3:D3"/>
    <mergeCell ref="F67:W67"/>
    <mergeCell ref="C53:D53"/>
    <mergeCell ref="C54:D54"/>
    <mergeCell ref="C55:D55"/>
    <mergeCell ref="B56:D56"/>
    <mergeCell ref="C57:D57"/>
    <mergeCell ref="E57:E65"/>
    <mergeCell ref="C58:D58"/>
    <mergeCell ref="C59:D59"/>
    <mergeCell ref="C60:D60"/>
    <mergeCell ref="C61:D61"/>
    <mergeCell ref="B4:D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DD728-B43E-4378-9367-CBA749507966}">
  <sheetPr>
    <tabColor theme="4" tint="0.79998168889431442"/>
  </sheetPr>
  <dimension ref="A1:AY61"/>
  <sheetViews>
    <sheetView tabSelected="1" workbookViewId="0">
      <pane xSplit="5" topLeftCell="O31" activePane="topRight" state="frozen"/>
      <selection pane="topRight" activeCell="Q41" sqref="Q41"/>
    </sheetView>
  </sheetViews>
  <sheetFormatPr defaultRowHeight="16.5"/>
  <cols>
    <col min="1" max="2" width="9" style="93"/>
    <col min="3" max="3" width="23.5" style="93" customWidth="1"/>
    <col min="4" max="4" width="25.375" style="93" customWidth="1"/>
    <col min="5" max="5" width="26.25" style="213" customWidth="1"/>
    <col min="6" max="8" width="9.125" style="93" bestFit="1" customWidth="1"/>
    <col min="9" max="14" width="10" style="93" bestFit="1" customWidth="1"/>
    <col min="15" max="15" width="11" style="93" bestFit="1" customWidth="1"/>
    <col min="16" max="18" width="10" style="93" bestFit="1" customWidth="1"/>
    <col min="19" max="19" width="9.125" style="93" bestFit="1" customWidth="1"/>
    <col min="20" max="21" width="10" style="93" bestFit="1" customWidth="1"/>
    <col min="22" max="16384" width="9" style="93"/>
  </cols>
  <sheetData>
    <row r="1" spans="1:51">
      <c r="A1" s="148" t="s">
        <v>3</v>
      </c>
      <c r="B1" s="297" t="s">
        <v>60</v>
      </c>
      <c r="C1" s="298"/>
      <c r="D1" s="299"/>
      <c r="E1" s="200" t="s">
        <v>61</v>
      </c>
      <c r="F1" s="90">
        <v>45658</v>
      </c>
      <c r="G1" s="90">
        <v>45689</v>
      </c>
      <c r="H1" s="90">
        <v>45717</v>
      </c>
      <c r="I1" s="90">
        <v>45748</v>
      </c>
      <c r="J1" s="90">
        <v>45778</v>
      </c>
      <c r="K1" s="90">
        <v>45809</v>
      </c>
      <c r="L1" s="90">
        <v>45839</v>
      </c>
      <c r="M1" s="90">
        <v>45870</v>
      </c>
      <c r="N1" s="90">
        <v>45901</v>
      </c>
      <c r="O1" s="90">
        <v>45931</v>
      </c>
      <c r="P1" s="90">
        <v>45962</v>
      </c>
      <c r="Q1" s="90">
        <v>45992</v>
      </c>
      <c r="R1" s="90">
        <v>46023</v>
      </c>
      <c r="S1" s="90">
        <v>46054</v>
      </c>
      <c r="T1" s="90">
        <v>46082</v>
      </c>
      <c r="U1" s="201">
        <v>46113</v>
      </c>
      <c r="V1" s="148" t="s">
        <v>62</v>
      </c>
      <c r="W1" s="202">
        <v>46199</v>
      </c>
      <c r="X1" s="203"/>
      <c r="Y1" s="91"/>
      <c r="Z1" s="91"/>
      <c r="AA1" s="91"/>
      <c r="AB1" s="91"/>
      <c r="AC1" s="92"/>
    </row>
    <row r="2" spans="1:51" ht="37.5" customHeight="1">
      <c r="A2" s="104">
        <v>1</v>
      </c>
      <c r="B2" s="300" t="s">
        <v>64</v>
      </c>
      <c r="C2" s="301"/>
      <c r="D2" s="302"/>
      <c r="E2" s="204" t="s">
        <v>65</v>
      </c>
      <c r="F2" s="205">
        <v>9708</v>
      </c>
      <c r="G2" s="205">
        <v>7601</v>
      </c>
      <c r="H2" s="205">
        <v>1992</v>
      </c>
      <c r="I2" s="205">
        <v>19117</v>
      </c>
      <c r="J2" s="205">
        <v>15976</v>
      </c>
      <c r="K2" s="205">
        <v>14200</v>
      </c>
      <c r="L2" s="205">
        <v>21097</v>
      </c>
      <c r="M2" s="205">
        <v>26881</v>
      </c>
      <c r="N2" s="205">
        <v>12677</v>
      </c>
      <c r="O2" s="205">
        <v>153276</v>
      </c>
      <c r="P2" s="205">
        <v>14915</v>
      </c>
      <c r="Q2" s="205">
        <v>20675</v>
      </c>
      <c r="R2" s="205">
        <v>14617</v>
      </c>
      <c r="S2" s="205">
        <v>9645</v>
      </c>
      <c r="T2" s="205">
        <v>12649</v>
      </c>
      <c r="U2" s="206">
        <v>15995</v>
      </c>
      <c r="V2" s="207">
        <v>31574</v>
      </c>
      <c r="W2" s="207">
        <v>25431</v>
      </c>
      <c r="X2" s="208"/>
      <c r="Y2" s="107"/>
      <c r="Z2" s="107"/>
      <c r="AA2" s="107"/>
      <c r="AB2" s="107"/>
      <c r="AC2" s="108"/>
    </row>
    <row r="3" spans="1:51" ht="33" customHeight="1">
      <c r="A3" s="104">
        <v>2</v>
      </c>
      <c r="B3" s="303" t="s">
        <v>66</v>
      </c>
      <c r="C3" s="304"/>
      <c r="D3" s="305"/>
      <c r="E3" s="209" t="s">
        <v>155</v>
      </c>
      <c r="F3" s="106">
        <f>SUM(F5:F8)</f>
        <v>0</v>
      </c>
      <c r="G3" s="106">
        <f t="shared" ref="G3:W3" si="0">SUM(G5:G8)</f>
        <v>0</v>
      </c>
      <c r="H3" s="106">
        <f t="shared" si="0"/>
        <v>0</v>
      </c>
      <c r="I3" s="106">
        <f t="shared" si="0"/>
        <v>0</v>
      </c>
      <c r="J3" s="106">
        <f t="shared" si="0"/>
        <v>0</v>
      </c>
      <c r="K3" s="106">
        <f t="shared" si="0"/>
        <v>0</v>
      </c>
      <c r="L3" s="106">
        <f t="shared" si="0"/>
        <v>0</v>
      </c>
      <c r="M3" s="106">
        <f t="shared" si="0"/>
        <v>0</v>
      </c>
      <c r="N3" s="106">
        <f t="shared" si="0"/>
        <v>0</v>
      </c>
      <c r="O3" s="106">
        <f t="shared" si="0"/>
        <v>0</v>
      </c>
      <c r="P3" s="106">
        <f t="shared" si="0"/>
        <v>0</v>
      </c>
      <c r="Q3" s="106">
        <f t="shared" si="0"/>
        <v>21</v>
      </c>
      <c r="R3" s="106">
        <f t="shared" si="0"/>
        <v>30</v>
      </c>
      <c r="S3" s="106">
        <f t="shared" si="0"/>
        <v>33</v>
      </c>
      <c r="T3" s="106">
        <f t="shared" si="0"/>
        <v>36</v>
      </c>
      <c r="U3" s="106">
        <f t="shared" si="0"/>
        <v>49</v>
      </c>
      <c r="V3" s="106">
        <f t="shared" si="0"/>
        <v>29</v>
      </c>
      <c r="W3" s="106">
        <f>SUM(W5:W8)</f>
        <v>42</v>
      </c>
      <c r="X3" s="208"/>
      <c r="Y3" s="107"/>
      <c r="Z3" s="107"/>
      <c r="AA3" s="107"/>
      <c r="AB3" s="107"/>
      <c r="AC3" s="108"/>
    </row>
    <row r="4" spans="1:51" ht="16.5" customHeight="1">
      <c r="A4" s="310">
        <v>3</v>
      </c>
      <c r="B4" s="306" t="s">
        <v>68</v>
      </c>
      <c r="C4" s="307"/>
      <c r="D4" s="308"/>
      <c r="E4" s="309" t="s">
        <v>156</v>
      </c>
      <c r="F4" s="109"/>
      <c r="G4" s="106"/>
      <c r="H4" s="106"/>
      <c r="I4" s="106"/>
      <c r="J4" s="106"/>
      <c r="K4" s="106"/>
      <c r="L4" s="106"/>
      <c r="M4" s="106"/>
      <c r="N4" s="106"/>
      <c r="O4" s="106"/>
      <c r="P4" s="106"/>
      <c r="Q4" s="106"/>
      <c r="R4" s="106"/>
      <c r="S4" s="106"/>
      <c r="T4" s="106"/>
      <c r="U4" s="149"/>
      <c r="V4" s="88"/>
      <c r="W4" s="88"/>
      <c r="X4" s="208"/>
      <c r="Y4" s="107"/>
      <c r="Z4" s="107"/>
      <c r="AA4" s="107"/>
      <c r="AB4" s="107"/>
      <c r="AC4" s="108"/>
    </row>
    <row r="5" spans="1:51">
      <c r="A5" s="311"/>
      <c r="B5" s="104"/>
      <c r="C5" s="318" t="s">
        <v>186</v>
      </c>
      <c r="D5" s="319"/>
      <c r="E5" s="309"/>
      <c r="F5" s="109">
        <f>F10+F14+F18+F22+F26+F30+F34+F38+F42</f>
        <v>0</v>
      </c>
      <c r="G5" s="109">
        <f t="shared" ref="G5:W5" si="1">G10+G14+G18+G22+G26+G30+G34+G38+G42</f>
        <v>0</v>
      </c>
      <c r="H5" s="109">
        <f t="shared" si="1"/>
        <v>0</v>
      </c>
      <c r="I5" s="109">
        <f t="shared" si="1"/>
        <v>0</v>
      </c>
      <c r="J5" s="109">
        <f t="shared" si="1"/>
        <v>0</v>
      </c>
      <c r="K5" s="109">
        <f t="shared" si="1"/>
        <v>0</v>
      </c>
      <c r="L5" s="109">
        <f t="shared" si="1"/>
        <v>0</v>
      </c>
      <c r="M5" s="109">
        <f t="shared" si="1"/>
        <v>0</v>
      </c>
      <c r="N5" s="109">
        <f t="shared" si="1"/>
        <v>0</v>
      </c>
      <c r="O5" s="109">
        <f t="shared" si="1"/>
        <v>0</v>
      </c>
      <c r="P5" s="109">
        <f t="shared" si="1"/>
        <v>0</v>
      </c>
      <c r="Q5" s="109">
        <f t="shared" si="1"/>
        <v>11</v>
      </c>
      <c r="R5" s="109">
        <f t="shared" si="1"/>
        <v>16</v>
      </c>
      <c r="S5" s="109">
        <f t="shared" si="1"/>
        <v>21</v>
      </c>
      <c r="T5" s="109">
        <f t="shared" si="1"/>
        <v>20</v>
      </c>
      <c r="U5" s="109">
        <f t="shared" si="1"/>
        <v>31</v>
      </c>
      <c r="V5" s="109">
        <f t="shared" si="1"/>
        <v>11</v>
      </c>
      <c r="W5" s="109">
        <f>W10+W14+W18+W22+W26+W30+W34+W38+W42</f>
        <v>14</v>
      </c>
      <c r="X5" s="208"/>
      <c r="Y5" s="107"/>
      <c r="Z5" s="107"/>
      <c r="AA5" s="107"/>
      <c r="AB5" s="107"/>
      <c r="AC5" s="108"/>
    </row>
    <row r="6" spans="1:51">
      <c r="A6" s="311"/>
      <c r="B6" s="104"/>
      <c r="C6" s="318" t="s">
        <v>187</v>
      </c>
      <c r="D6" s="319"/>
      <c r="E6" s="309"/>
      <c r="F6" s="109">
        <f t="shared" ref="F6:W6" si="2">F11+F15+F19+F23+F27+F31+F35+F39+F43</f>
        <v>0</v>
      </c>
      <c r="G6" s="109">
        <f t="shared" si="2"/>
        <v>0</v>
      </c>
      <c r="H6" s="109">
        <f t="shared" si="2"/>
        <v>0</v>
      </c>
      <c r="I6" s="109">
        <f t="shared" si="2"/>
        <v>0</v>
      </c>
      <c r="J6" s="109">
        <f t="shared" si="2"/>
        <v>0</v>
      </c>
      <c r="K6" s="109">
        <f t="shared" si="2"/>
        <v>0</v>
      </c>
      <c r="L6" s="109">
        <f t="shared" si="2"/>
        <v>0</v>
      </c>
      <c r="M6" s="109">
        <f t="shared" si="2"/>
        <v>0</v>
      </c>
      <c r="N6" s="109">
        <f t="shared" si="2"/>
        <v>0</v>
      </c>
      <c r="O6" s="109">
        <f t="shared" si="2"/>
        <v>0</v>
      </c>
      <c r="P6" s="109">
        <f t="shared" si="2"/>
        <v>0</v>
      </c>
      <c r="Q6" s="109">
        <f t="shared" si="2"/>
        <v>5</v>
      </c>
      <c r="R6" s="109">
        <f t="shared" si="2"/>
        <v>5</v>
      </c>
      <c r="S6" s="109">
        <f t="shared" si="2"/>
        <v>6</v>
      </c>
      <c r="T6" s="109">
        <f t="shared" si="2"/>
        <v>7</v>
      </c>
      <c r="U6" s="109">
        <f t="shared" si="2"/>
        <v>7</v>
      </c>
      <c r="V6" s="109">
        <f t="shared" si="2"/>
        <v>5</v>
      </c>
      <c r="W6" s="109">
        <f>W11+W15+W19+W23+W27+W31+W35+W39+W43</f>
        <v>12</v>
      </c>
      <c r="X6" s="208"/>
      <c r="Y6" s="107"/>
      <c r="Z6" s="107"/>
      <c r="AA6" s="107"/>
      <c r="AB6" s="107"/>
      <c r="AC6" s="108"/>
    </row>
    <row r="7" spans="1:51">
      <c r="A7" s="311"/>
      <c r="B7" s="275"/>
      <c r="C7" s="320" t="s">
        <v>188</v>
      </c>
      <c r="D7" s="321"/>
      <c r="E7" s="309"/>
      <c r="F7" s="109">
        <f t="shared" ref="F7:W7" si="3">F12+F16+F20+F24+F28+F32+F36+F40+F44</f>
        <v>0</v>
      </c>
      <c r="G7" s="109">
        <f t="shared" si="3"/>
        <v>0</v>
      </c>
      <c r="H7" s="109">
        <f t="shared" si="3"/>
        <v>0</v>
      </c>
      <c r="I7" s="109">
        <f t="shared" si="3"/>
        <v>0</v>
      </c>
      <c r="J7" s="109">
        <f t="shared" si="3"/>
        <v>0</v>
      </c>
      <c r="K7" s="109">
        <f t="shared" si="3"/>
        <v>0</v>
      </c>
      <c r="L7" s="109">
        <f t="shared" si="3"/>
        <v>0</v>
      </c>
      <c r="M7" s="109">
        <f t="shared" si="3"/>
        <v>0</v>
      </c>
      <c r="N7" s="109">
        <f t="shared" si="3"/>
        <v>0</v>
      </c>
      <c r="O7" s="109">
        <f t="shared" si="3"/>
        <v>0</v>
      </c>
      <c r="P7" s="109">
        <f t="shared" si="3"/>
        <v>0</v>
      </c>
      <c r="Q7" s="109">
        <f t="shared" si="3"/>
        <v>1</v>
      </c>
      <c r="R7" s="291">
        <f t="shared" si="3"/>
        <v>5</v>
      </c>
      <c r="S7" s="291">
        <f t="shared" si="3"/>
        <v>2</v>
      </c>
      <c r="T7" s="291">
        <f t="shared" si="3"/>
        <v>2</v>
      </c>
      <c r="U7" s="291">
        <f t="shared" si="3"/>
        <v>6</v>
      </c>
      <c r="V7" s="291">
        <f t="shared" si="3"/>
        <v>5</v>
      </c>
      <c r="W7" s="291">
        <f>W12+W16+W20+W24+W28+W32+W36+W40+W44</f>
        <v>7</v>
      </c>
      <c r="X7" s="208"/>
      <c r="Y7" s="107"/>
      <c r="Z7" s="107"/>
      <c r="AA7" s="107"/>
      <c r="AB7" s="107"/>
      <c r="AC7" s="108"/>
    </row>
    <row r="8" spans="1:51">
      <c r="A8" s="312"/>
      <c r="B8" s="88"/>
      <c r="C8" s="322" t="s">
        <v>88</v>
      </c>
      <c r="D8" s="323"/>
      <c r="E8" s="309"/>
      <c r="F8" s="109">
        <f t="shared" ref="F8:W8" si="4">F13+F17+F21+F25+F29+F33+F37+F41+F45</f>
        <v>0</v>
      </c>
      <c r="G8" s="109">
        <f t="shared" si="4"/>
        <v>0</v>
      </c>
      <c r="H8" s="109">
        <f t="shared" si="4"/>
        <v>0</v>
      </c>
      <c r="I8" s="109">
        <f t="shared" si="4"/>
        <v>0</v>
      </c>
      <c r="J8" s="109">
        <f t="shared" si="4"/>
        <v>0</v>
      </c>
      <c r="K8" s="109">
        <f t="shared" si="4"/>
        <v>0</v>
      </c>
      <c r="L8" s="109">
        <f t="shared" si="4"/>
        <v>0</v>
      </c>
      <c r="M8" s="109">
        <f t="shared" si="4"/>
        <v>0</v>
      </c>
      <c r="N8" s="109">
        <f t="shared" si="4"/>
        <v>0</v>
      </c>
      <c r="O8" s="109">
        <f t="shared" si="4"/>
        <v>0</v>
      </c>
      <c r="P8" s="109">
        <f t="shared" si="4"/>
        <v>0</v>
      </c>
      <c r="Q8" s="109">
        <f t="shared" si="4"/>
        <v>4</v>
      </c>
      <c r="R8" s="109">
        <f t="shared" si="4"/>
        <v>4</v>
      </c>
      <c r="S8" s="109">
        <f t="shared" si="4"/>
        <v>4</v>
      </c>
      <c r="T8" s="109">
        <f t="shared" si="4"/>
        <v>7</v>
      </c>
      <c r="U8" s="109">
        <f t="shared" si="4"/>
        <v>5</v>
      </c>
      <c r="V8" s="109">
        <f t="shared" si="4"/>
        <v>8</v>
      </c>
      <c r="W8" s="109">
        <f>W13+W17+W21+W25+W29+W33+W37+W41+W45</f>
        <v>9</v>
      </c>
      <c r="X8" s="208"/>
      <c r="Y8" s="107"/>
      <c r="Z8" s="107"/>
      <c r="AA8" s="107"/>
      <c r="AB8" s="107"/>
      <c r="AC8" s="108"/>
    </row>
    <row r="9" spans="1:51">
      <c r="A9" s="313">
        <v>4</v>
      </c>
      <c r="B9" s="315" t="s">
        <v>78</v>
      </c>
      <c r="C9" s="315"/>
      <c r="D9" s="315"/>
      <c r="E9" s="110" t="s">
        <v>69</v>
      </c>
      <c r="F9" s="111" t="s">
        <v>69</v>
      </c>
      <c r="G9" s="111" t="s">
        <v>69</v>
      </c>
      <c r="H9" s="111" t="s">
        <v>69</v>
      </c>
      <c r="I9" s="111" t="s">
        <v>69</v>
      </c>
      <c r="J9" s="111" t="s">
        <v>69</v>
      </c>
      <c r="K9" s="111" t="s">
        <v>69</v>
      </c>
      <c r="L9" s="111" t="s">
        <v>69</v>
      </c>
      <c r="M9" s="111" t="s">
        <v>69</v>
      </c>
      <c r="N9" s="111" t="s">
        <v>69</v>
      </c>
      <c r="O9" s="111" t="s">
        <v>69</v>
      </c>
      <c r="P9" s="111" t="s">
        <v>69</v>
      </c>
      <c r="Q9" s="111" t="s">
        <v>69</v>
      </c>
      <c r="R9" s="111" t="s">
        <v>69</v>
      </c>
      <c r="S9" s="111" t="s">
        <v>69</v>
      </c>
      <c r="T9" s="111" t="s">
        <v>69</v>
      </c>
      <c r="U9" s="112" t="s">
        <v>69</v>
      </c>
      <c r="V9" s="113"/>
      <c r="W9" s="113"/>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5"/>
      <c r="AY9" s="115"/>
    </row>
    <row r="10" spans="1:51">
      <c r="A10" s="314"/>
      <c r="B10" s="111" t="s">
        <v>70</v>
      </c>
      <c r="C10" s="117" t="s">
        <v>79</v>
      </c>
      <c r="D10" s="112" t="str">
        <f>C5</f>
        <v>Permintaan Informasi (contoh)</v>
      </c>
      <c r="E10" s="110" t="s">
        <v>69</v>
      </c>
      <c r="F10" s="118">
        <v>0</v>
      </c>
      <c r="G10" s="118">
        <v>0</v>
      </c>
      <c r="H10" s="118">
        <v>0</v>
      </c>
      <c r="I10" s="118">
        <v>0</v>
      </c>
      <c r="J10" s="118">
        <v>0</v>
      </c>
      <c r="K10" s="118">
        <v>0</v>
      </c>
      <c r="L10" s="210">
        <v>0</v>
      </c>
      <c r="M10" s="210">
        <v>0</v>
      </c>
      <c r="N10" s="210">
        <v>0</v>
      </c>
      <c r="O10" s="210">
        <v>0</v>
      </c>
      <c r="P10" s="210">
        <v>0</v>
      </c>
      <c r="Q10" s="210">
        <v>0</v>
      </c>
      <c r="R10" s="210">
        <v>0</v>
      </c>
      <c r="S10" s="210">
        <v>0</v>
      </c>
      <c r="T10" s="210">
        <v>0</v>
      </c>
      <c r="U10" s="210">
        <v>0</v>
      </c>
      <c r="V10" s="210">
        <v>0</v>
      </c>
      <c r="W10" s="210">
        <v>0</v>
      </c>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5"/>
      <c r="AY10" s="115"/>
    </row>
    <row r="11" spans="1:51">
      <c r="A11" s="314"/>
      <c r="B11" s="111" t="s">
        <v>69</v>
      </c>
      <c r="C11" s="117" t="s">
        <v>69</v>
      </c>
      <c r="D11" s="112" t="str">
        <f>C6</f>
        <v>Request (Contoh)</v>
      </c>
      <c r="E11" s="110" t="s">
        <v>69</v>
      </c>
      <c r="F11" s="118">
        <v>0</v>
      </c>
      <c r="G11" s="118">
        <v>0</v>
      </c>
      <c r="H11" s="118">
        <v>0</v>
      </c>
      <c r="I11" s="118">
        <v>0</v>
      </c>
      <c r="J11" s="118">
        <v>0</v>
      </c>
      <c r="K11" s="118">
        <v>0</v>
      </c>
      <c r="L11" s="210">
        <v>0</v>
      </c>
      <c r="M11" s="210">
        <v>0</v>
      </c>
      <c r="N11" s="210">
        <v>0</v>
      </c>
      <c r="O11" s="210">
        <v>0</v>
      </c>
      <c r="P11" s="210">
        <v>0</v>
      </c>
      <c r="Q11" s="210">
        <v>0</v>
      </c>
      <c r="R11" s="210">
        <v>0</v>
      </c>
      <c r="S11" s="210">
        <v>0</v>
      </c>
      <c r="T11" s="210">
        <v>0</v>
      </c>
      <c r="U11" s="210">
        <v>0</v>
      </c>
      <c r="V11" s="210">
        <v>0</v>
      </c>
      <c r="W11" s="210">
        <v>0</v>
      </c>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5"/>
      <c r="AY11" s="115"/>
    </row>
    <row r="12" spans="1:51">
      <c r="A12" s="314"/>
      <c r="B12" s="111" t="s">
        <v>69</v>
      </c>
      <c r="C12" s="117" t="s">
        <v>69</v>
      </c>
      <c r="D12" s="112" t="str">
        <f>C7</f>
        <v>Keluhan (Contoh)</v>
      </c>
      <c r="E12" s="110" t="s">
        <v>69</v>
      </c>
      <c r="F12" s="118">
        <v>0</v>
      </c>
      <c r="G12" s="118">
        <v>0</v>
      </c>
      <c r="H12" s="118">
        <v>0</v>
      </c>
      <c r="I12" s="118">
        <v>0</v>
      </c>
      <c r="J12" s="118">
        <v>0</v>
      </c>
      <c r="K12" s="118">
        <v>0</v>
      </c>
      <c r="L12" s="210">
        <v>0</v>
      </c>
      <c r="M12" s="210">
        <v>0</v>
      </c>
      <c r="N12" s="210">
        <v>0</v>
      </c>
      <c r="O12" s="210">
        <v>0</v>
      </c>
      <c r="P12" s="210">
        <v>0</v>
      </c>
      <c r="Q12" s="210">
        <v>0</v>
      </c>
      <c r="R12" s="210">
        <v>0</v>
      </c>
      <c r="S12" s="210">
        <v>0</v>
      </c>
      <c r="T12" s="210">
        <v>0</v>
      </c>
      <c r="U12" s="210">
        <v>0</v>
      </c>
      <c r="V12" s="210">
        <v>0</v>
      </c>
      <c r="W12" s="210">
        <v>0</v>
      </c>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5"/>
      <c r="AY12" s="115"/>
    </row>
    <row r="13" spans="1:51">
      <c r="A13" s="314"/>
      <c r="B13" s="111" t="s">
        <v>69</v>
      </c>
      <c r="C13" s="117" t="s">
        <v>69</v>
      </c>
      <c r="D13" s="112" t="str">
        <f>C8</f>
        <v>Apresiasi</v>
      </c>
      <c r="E13" s="110" t="s">
        <v>69</v>
      </c>
      <c r="F13" s="118">
        <v>0</v>
      </c>
      <c r="G13" s="118">
        <v>0</v>
      </c>
      <c r="H13" s="118">
        <v>0</v>
      </c>
      <c r="I13" s="118">
        <v>0</v>
      </c>
      <c r="J13" s="118">
        <v>0</v>
      </c>
      <c r="K13" s="118">
        <v>0</v>
      </c>
      <c r="L13" s="210">
        <v>0</v>
      </c>
      <c r="M13" s="210">
        <v>0</v>
      </c>
      <c r="N13" s="210">
        <v>0</v>
      </c>
      <c r="O13" s="210">
        <v>0</v>
      </c>
      <c r="P13" s="210">
        <v>0</v>
      </c>
      <c r="Q13" s="210">
        <v>0</v>
      </c>
      <c r="R13" s="210">
        <v>0</v>
      </c>
      <c r="S13" s="210">
        <v>0</v>
      </c>
      <c r="T13" s="210">
        <v>0</v>
      </c>
      <c r="U13" s="210">
        <v>0</v>
      </c>
      <c r="V13" s="210">
        <v>0</v>
      </c>
      <c r="W13" s="210">
        <v>0</v>
      </c>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5"/>
      <c r="AY13" s="115"/>
    </row>
    <row r="14" spans="1:51" ht="24.75">
      <c r="A14" s="314"/>
      <c r="B14" s="111" t="s">
        <v>73</v>
      </c>
      <c r="C14" s="120" t="s">
        <v>80</v>
      </c>
      <c r="D14" s="112" t="str">
        <f>C5</f>
        <v>Permintaan Informasi (contoh)</v>
      </c>
      <c r="E14" s="110" t="s">
        <v>69</v>
      </c>
      <c r="F14" s="118">
        <v>0</v>
      </c>
      <c r="G14" s="118">
        <v>0</v>
      </c>
      <c r="H14" s="118">
        <v>0</v>
      </c>
      <c r="I14" s="118">
        <v>0</v>
      </c>
      <c r="J14" s="118">
        <v>0</v>
      </c>
      <c r="K14" s="118">
        <v>0</v>
      </c>
      <c r="L14" s="210">
        <v>0</v>
      </c>
      <c r="M14" s="210">
        <v>0</v>
      </c>
      <c r="N14" s="210">
        <v>0</v>
      </c>
      <c r="O14" s="210">
        <v>0</v>
      </c>
      <c r="P14" s="210">
        <v>0</v>
      </c>
      <c r="Q14" s="210">
        <v>0</v>
      </c>
      <c r="R14" s="210">
        <v>0</v>
      </c>
      <c r="S14" s="210">
        <v>0</v>
      </c>
      <c r="T14" s="210">
        <v>0</v>
      </c>
      <c r="U14" s="210">
        <v>0</v>
      </c>
      <c r="V14" s="210">
        <v>0</v>
      </c>
      <c r="W14" s="210">
        <v>0</v>
      </c>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5"/>
      <c r="AY14" s="115"/>
    </row>
    <row r="15" spans="1:51">
      <c r="A15" s="314"/>
      <c r="B15" s="111" t="s">
        <v>69</v>
      </c>
      <c r="C15" s="117" t="s">
        <v>69</v>
      </c>
      <c r="D15" s="112" t="s">
        <v>81</v>
      </c>
      <c r="E15" s="110" t="s">
        <v>69</v>
      </c>
      <c r="F15" s="118">
        <v>0</v>
      </c>
      <c r="G15" s="118">
        <v>0</v>
      </c>
      <c r="H15" s="118">
        <v>0</v>
      </c>
      <c r="I15" s="118">
        <v>0</v>
      </c>
      <c r="J15" s="118">
        <v>0</v>
      </c>
      <c r="K15" s="118">
        <v>0</v>
      </c>
      <c r="L15" s="210">
        <v>0</v>
      </c>
      <c r="M15" s="210">
        <v>0</v>
      </c>
      <c r="N15" s="210">
        <v>0</v>
      </c>
      <c r="O15" s="210">
        <v>0</v>
      </c>
      <c r="P15" s="210">
        <v>0</v>
      </c>
      <c r="Q15" s="210">
        <v>0</v>
      </c>
      <c r="R15" s="210">
        <v>0</v>
      </c>
      <c r="S15" s="210">
        <v>0</v>
      </c>
      <c r="T15" s="210">
        <v>0</v>
      </c>
      <c r="U15" s="210">
        <v>0</v>
      </c>
      <c r="V15" s="210">
        <v>0</v>
      </c>
      <c r="W15" s="210">
        <v>0</v>
      </c>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5"/>
      <c r="AY15" s="115"/>
    </row>
    <row r="16" spans="1:51">
      <c r="A16" s="314"/>
      <c r="B16" s="111" t="s">
        <v>69</v>
      </c>
      <c r="C16" s="117" t="s">
        <v>69</v>
      </c>
      <c r="D16" s="112" t="str">
        <f>C7</f>
        <v>Keluhan (Contoh)</v>
      </c>
      <c r="E16" s="110" t="s">
        <v>69</v>
      </c>
      <c r="F16" s="118">
        <v>0</v>
      </c>
      <c r="G16" s="118">
        <v>0</v>
      </c>
      <c r="H16" s="118">
        <v>0</v>
      </c>
      <c r="I16" s="118">
        <v>0</v>
      </c>
      <c r="J16" s="118">
        <v>0</v>
      </c>
      <c r="K16" s="118">
        <v>0</v>
      </c>
      <c r="L16" s="210">
        <v>0</v>
      </c>
      <c r="M16" s="210">
        <v>0</v>
      </c>
      <c r="N16" s="210">
        <v>0</v>
      </c>
      <c r="O16" s="210">
        <v>0</v>
      </c>
      <c r="P16" s="210">
        <v>0</v>
      </c>
      <c r="Q16" s="210">
        <v>0</v>
      </c>
      <c r="R16" s="210">
        <v>0</v>
      </c>
      <c r="S16" s="210">
        <v>0</v>
      </c>
      <c r="T16" s="210">
        <v>0</v>
      </c>
      <c r="U16" s="210">
        <v>0</v>
      </c>
      <c r="V16" s="210">
        <v>0</v>
      </c>
      <c r="W16" s="210">
        <v>0</v>
      </c>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5"/>
      <c r="AY16" s="115"/>
    </row>
    <row r="17" spans="1:51">
      <c r="A17" s="314"/>
      <c r="B17" s="111" t="s">
        <v>69</v>
      </c>
      <c r="C17" s="117" t="s">
        <v>69</v>
      </c>
      <c r="D17" s="112" t="str">
        <f>C8</f>
        <v>Apresiasi</v>
      </c>
      <c r="E17" s="110" t="s">
        <v>69</v>
      </c>
      <c r="F17" s="118">
        <v>0</v>
      </c>
      <c r="G17" s="118">
        <v>0</v>
      </c>
      <c r="H17" s="118">
        <v>0</v>
      </c>
      <c r="I17" s="118">
        <v>0</v>
      </c>
      <c r="J17" s="118">
        <v>0</v>
      </c>
      <c r="K17" s="118">
        <v>0</v>
      </c>
      <c r="L17" s="210">
        <v>0</v>
      </c>
      <c r="M17" s="210">
        <v>0</v>
      </c>
      <c r="N17" s="210">
        <v>0</v>
      </c>
      <c r="O17" s="210">
        <v>0</v>
      </c>
      <c r="P17" s="210">
        <v>0</v>
      </c>
      <c r="Q17" s="210">
        <v>0</v>
      </c>
      <c r="R17" s="210">
        <v>0</v>
      </c>
      <c r="S17" s="210">
        <v>0</v>
      </c>
      <c r="T17" s="210">
        <v>0</v>
      </c>
      <c r="U17" s="210">
        <v>0</v>
      </c>
      <c r="V17" s="210">
        <v>0</v>
      </c>
      <c r="W17" s="210">
        <v>0</v>
      </c>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5"/>
      <c r="AY17" s="115"/>
    </row>
    <row r="18" spans="1:51">
      <c r="A18" s="314"/>
      <c r="B18" s="112" t="s">
        <v>75</v>
      </c>
      <c r="C18" s="119" t="s">
        <v>82</v>
      </c>
      <c r="D18" s="112" t="str">
        <f>C5</f>
        <v>Permintaan Informasi (contoh)</v>
      </c>
      <c r="E18" s="110" t="s">
        <v>69</v>
      </c>
      <c r="F18" s="118">
        <v>0</v>
      </c>
      <c r="G18" s="118">
        <v>0</v>
      </c>
      <c r="H18" s="118">
        <v>0</v>
      </c>
      <c r="I18" s="118">
        <v>0</v>
      </c>
      <c r="J18" s="118">
        <v>0</v>
      </c>
      <c r="K18" s="118">
        <v>0</v>
      </c>
      <c r="L18" s="210">
        <v>0</v>
      </c>
      <c r="M18" s="210">
        <v>0</v>
      </c>
      <c r="N18" s="210">
        <v>0</v>
      </c>
      <c r="O18" s="210">
        <v>0</v>
      </c>
      <c r="P18" s="210">
        <v>0</v>
      </c>
      <c r="Q18" s="210">
        <v>0</v>
      </c>
      <c r="R18" s="210">
        <v>0</v>
      </c>
      <c r="S18" s="210">
        <v>0</v>
      </c>
      <c r="T18" s="210">
        <v>0</v>
      </c>
      <c r="U18" s="210">
        <v>0</v>
      </c>
      <c r="V18" s="210">
        <v>0</v>
      </c>
      <c r="W18" s="210">
        <v>0</v>
      </c>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5"/>
      <c r="AY18" s="115"/>
    </row>
    <row r="19" spans="1:51">
      <c r="A19" s="314"/>
      <c r="B19" s="111" t="s">
        <v>69</v>
      </c>
      <c r="C19" s="117" t="s">
        <v>69</v>
      </c>
      <c r="D19" s="112" t="str">
        <f>C6</f>
        <v>Request (Contoh)</v>
      </c>
      <c r="E19" s="110" t="s">
        <v>69</v>
      </c>
      <c r="F19" s="118">
        <v>0</v>
      </c>
      <c r="G19" s="118">
        <v>0</v>
      </c>
      <c r="H19" s="118">
        <v>0</v>
      </c>
      <c r="I19" s="118">
        <v>0</v>
      </c>
      <c r="J19" s="118">
        <v>0</v>
      </c>
      <c r="K19" s="118">
        <v>0</v>
      </c>
      <c r="L19" s="210">
        <v>0</v>
      </c>
      <c r="M19" s="210">
        <v>0</v>
      </c>
      <c r="N19" s="210">
        <v>0</v>
      </c>
      <c r="O19" s="210">
        <v>0</v>
      </c>
      <c r="P19" s="210">
        <v>0</v>
      </c>
      <c r="Q19" s="210">
        <v>0</v>
      </c>
      <c r="R19" s="210">
        <v>0</v>
      </c>
      <c r="S19" s="210">
        <v>0</v>
      </c>
      <c r="T19" s="210">
        <v>0</v>
      </c>
      <c r="U19" s="210">
        <v>0</v>
      </c>
      <c r="V19" s="210">
        <v>0</v>
      </c>
      <c r="W19" s="210">
        <v>0</v>
      </c>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5"/>
      <c r="AY19" s="115"/>
    </row>
    <row r="20" spans="1:51">
      <c r="A20" s="314"/>
      <c r="B20" s="111" t="s">
        <v>69</v>
      </c>
      <c r="C20" s="117" t="s">
        <v>69</v>
      </c>
      <c r="D20" s="112" t="str">
        <f>C7</f>
        <v>Keluhan (Contoh)</v>
      </c>
      <c r="E20" s="110" t="s">
        <v>69</v>
      </c>
      <c r="F20" s="118">
        <v>0</v>
      </c>
      <c r="G20" s="118">
        <v>0</v>
      </c>
      <c r="H20" s="118">
        <v>0</v>
      </c>
      <c r="I20" s="118">
        <v>0</v>
      </c>
      <c r="J20" s="118">
        <v>0</v>
      </c>
      <c r="K20" s="118">
        <v>0</v>
      </c>
      <c r="L20" s="210">
        <v>0</v>
      </c>
      <c r="M20" s="210">
        <v>0</v>
      </c>
      <c r="N20" s="210">
        <v>0</v>
      </c>
      <c r="O20" s="210">
        <v>0</v>
      </c>
      <c r="P20" s="210">
        <v>0</v>
      </c>
      <c r="Q20" s="210">
        <v>0</v>
      </c>
      <c r="R20" s="210">
        <v>0</v>
      </c>
      <c r="S20" s="210">
        <v>0</v>
      </c>
      <c r="T20" s="210">
        <v>0</v>
      </c>
      <c r="U20" s="210">
        <v>0</v>
      </c>
      <c r="V20" s="210">
        <v>0</v>
      </c>
      <c r="W20" s="210">
        <v>0</v>
      </c>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5"/>
      <c r="AY20" s="115"/>
    </row>
    <row r="21" spans="1:51">
      <c r="A21" s="314"/>
      <c r="B21" s="111" t="s">
        <v>69</v>
      </c>
      <c r="C21" s="117" t="s">
        <v>69</v>
      </c>
      <c r="D21" s="112" t="str">
        <f>C8</f>
        <v>Apresiasi</v>
      </c>
      <c r="E21" s="110" t="s">
        <v>69</v>
      </c>
      <c r="F21" s="118">
        <v>0</v>
      </c>
      <c r="G21" s="118">
        <v>0</v>
      </c>
      <c r="H21" s="118">
        <v>0</v>
      </c>
      <c r="I21" s="118">
        <v>0</v>
      </c>
      <c r="J21" s="118">
        <v>0</v>
      </c>
      <c r="K21" s="118">
        <v>0</v>
      </c>
      <c r="L21" s="210">
        <v>0</v>
      </c>
      <c r="M21" s="210">
        <v>0</v>
      </c>
      <c r="N21" s="210">
        <v>0</v>
      </c>
      <c r="O21" s="210">
        <v>0</v>
      </c>
      <c r="P21" s="210">
        <v>0</v>
      </c>
      <c r="Q21" s="210">
        <v>0</v>
      </c>
      <c r="R21" s="210">
        <v>0</v>
      </c>
      <c r="S21" s="210">
        <v>0</v>
      </c>
      <c r="T21" s="210">
        <v>0</v>
      </c>
      <c r="U21" s="210">
        <v>0</v>
      </c>
      <c r="V21" s="210">
        <v>0</v>
      </c>
      <c r="W21" s="210">
        <v>0</v>
      </c>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5"/>
      <c r="AY21" s="115"/>
    </row>
    <row r="22" spans="1:51">
      <c r="A22" s="314"/>
      <c r="B22" s="111" t="s">
        <v>77</v>
      </c>
      <c r="C22" s="117" t="s">
        <v>83</v>
      </c>
      <c r="D22" s="112" t="str">
        <f>D10</f>
        <v>Permintaan Informasi (contoh)</v>
      </c>
      <c r="E22" s="110" t="s">
        <v>69</v>
      </c>
      <c r="F22" s="118">
        <v>0</v>
      </c>
      <c r="G22" s="118">
        <v>0</v>
      </c>
      <c r="H22" s="118">
        <v>0</v>
      </c>
      <c r="I22" s="118">
        <v>0</v>
      </c>
      <c r="J22" s="118">
        <v>0</v>
      </c>
      <c r="K22" s="118">
        <v>0</v>
      </c>
      <c r="L22" s="210">
        <v>0</v>
      </c>
      <c r="M22" s="210">
        <v>0</v>
      </c>
      <c r="N22" s="210">
        <v>0</v>
      </c>
      <c r="O22" s="210">
        <v>0</v>
      </c>
      <c r="P22" s="210">
        <v>0</v>
      </c>
      <c r="Q22" s="210">
        <v>0</v>
      </c>
      <c r="R22" s="210">
        <v>0</v>
      </c>
      <c r="S22" s="210">
        <v>0</v>
      </c>
      <c r="T22" s="210">
        <v>0</v>
      </c>
      <c r="U22" s="210">
        <v>0</v>
      </c>
      <c r="V22" s="210">
        <v>0</v>
      </c>
      <c r="W22" s="210">
        <v>0</v>
      </c>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5"/>
      <c r="AY22" s="115"/>
    </row>
    <row r="23" spans="1:51">
      <c r="A23" s="314"/>
      <c r="B23" s="111" t="s">
        <v>69</v>
      </c>
      <c r="C23" s="111" t="s">
        <v>69</v>
      </c>
      <c r="D23" s="112" t="str">
        <f>D11</f>
        <v>Request (Contoh)</v>
      </c>
      <c r="E23" s="110" t="s">
        <v>69</v>
      </c>
      <c r="F23" s="118">
        <v>0</v>
      </c>
      <c r="G23" s="118">
        <v>0</v>
      </c>
      <c r="H23" s="118">
        <v>0</v>
      </c>
      <c r="I23" s="118">
        <v>0</v>
      </c>
      <c r="J23" s="118">
        <v>0</v>
      </c>
      <c r="K23" s="118">
        <v>0</v>
      </c>
      <c r="L23" s="210">
        <v>0</v>
      </c>
      <c r="M23" s="210">
        <v>0</v>
      </c>
      <c r="N23" s="210">
        <v>0</v>
      </c>
      <c r="O23" s="210">
        <v>0</v>
      </c>
      <c r="P23" s="210">
        <v>0</v>
      </c>
      <c r="Q23" s="210">
        <v>0</v>
      </c>
      <c r="R23" s="210">
        <v>0</v>
      </c>
      <c r="S23" s="210">
        <v>0</v>
      </c>
      <c r="T23" s="210">
        <v>0</v>
      </c>
      <c r="U23" s="210">
        <v>0</v>
      </c>
      <c r="V23" s="210">
        <v>0</v>
      </c>
      <c r="W23" s="210">
        <v>0</v>
      </c>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5"/>
      <c r="AY23" s="115"/>
    </row>
    <row r="24" spans="1:51">
      <c r="A24" s="314"/>
      <c r="B24" s="111" t="s">
        <v>69</v>
      </c>
      <c r="C24" s="111" t="s">
        <v>69</v>
      </c>
      <c r="D24" s="112" t="str">
        <f>D12</f>
        <v>Keluhan (Contoh)</v>
      </c>
      <c r="E24" s="110" t="s">
        <v>69</v>
      </c>
      <c r="F24" s="118">
        <v>0</v>
      </c>
      <c r="G24" s="118">
        <v>0</v>
      </c>
      <c r="H24" s="118">
        <v>0</v>
      </c>
      <c r="I24" s="118">
        <v>0</v>
      </c>
      <c r="J24" s="118">
        <v>0</v>
      </c>
      <c r="K24" s="118">
        <v>0</v>
      </c>
      <c r="L24" s="210">
        <v>0</v>
      </c>
      <c r="M24" s="210">
        <v>0</v>
      </c>
      <c r="N24" s="210">
        <v>0</v>
      </c>
      <c r="O24" s="210">
        <v>0</v>
      </c>
      <c r="P24" s="210">
        <v>0</v>
      </c>
      <c r="Q24" s="210">
        <v>0</v>
      </c>
      <c r="R24" s="210">
        <v>0</v>
      </c>
      <c r="S24" s="210">
        <v>0</v>
      </c>
      <c r="T24" s="210">
        <v>0</v>
      </c>
      <c r="U24" s="210">
        <v>0</v>
      </c>
      <c r="V24" s="210">
        <v>0</v>
      </c>
      <c r="W24" s="210">
        <v>0</v>
      </c>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5"/>
      <c r="AY24" s="115"/>
    </row>
    <row r="25" spans="1:51">
      <c r="A25" s="314"/>
      <c r="B25" s="111" t="s">
        <v>69</v>
      </c>
      <c r="C25" s="111" t="s">
        <v>69</v>
      </c>
      <c r="D25" s="112" t="str">
        <f>D13</f>
        <v>Apresiasi</v>
      </c>
      <c r="E25" s="110" t="s">
        <v>69</v>
      </c>
      <c r="F25" s="118">
        <v>0</v>
      </c>
      <c r="G25" s="118">
        <v>0</v>
      </c>
      <c r="H25" s="118">
        <v>0</v>
      </c>
      <c r="I25" s="118">
        <v>0</v>
      </c>
      <c r="J25" s="118">
        <v>0</v>
      </c>
      <c r="K25" s="118">
        <v>0</v>
      </c>
      <c r="L25" s="210">
        <v>0</v>
      </c>
      <c r="M25" s="210">
        <v>0</v>
      </c>
      <c r="N25" s="210">
        <v>0</v>
      </c>
      <c r="O25" s="210">
        <v>0</v>
      </c>
      <c r="P25" s="210">
        <v>0</v>
      </c>
      <c r="Q25" s="210">
        <v>0</v>
      </c>
      <c r="R25" s="210">
        <v>0</v>
      </c>
      <c r="S25" s="210">
        <v>0</v>
      </c>
      <c r="T25" s="210">
        <v>0</v>
      </c>
      <c r="U25" s="210">
        <v>0</v>
      </c>
      <c r="V25" s="210">
        <v>0</v>
      </c>
      <c r="W25" s="210">
        <v>0</v>
      </c>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5"/>
      <c r="AY25" s="115"/>
    </row>
    <row r="26" spans="1:51">
      <c r="A26" s="314"/>
      <c r="B26" s="111" t="s">
        <v>84</v>
      </c>
      <c r="C26" s="117" t="s">
        <v>85</v>
      </c>
      <c r="D26" s="112" t="str">
        <f>D10</f>
        <v>Permintaan Informasi (contoh)</v>
      </c>
      <c r="E26" s="110" t="s">
        <v>69</v>
      </c>
      <c r="F26" s="118">
        <v>0</v>
      </c>
      <c r="G26" s="118">
        <v>0</v>
      </c>
      <c r="H26" s="118">
        <v>0</v>
      </c>
      <c r="I26" s="118">
        <v>0</v>
      </c>
      <c r="J26" s="118">
        <v>0</v>
      </c>
      <c r="K26" s="118">
        <v>0</v>
      </c>
      <c r="L26" s="210">
        <v>0</v>
      </c>
      <c r="M26" s="210">
        <v>0</v>
      </c>
      <c r="N26" s="210">
        <v>0</v>
      </c>
      <c r="O26" s="210">
        <v>0</v>
      </c>
      <c r="P26" s="210">
        <v>0</v>
      </c>
      <c r="Q26" s="210">
        <v>0</v>
      </c>
      <c r="R26" s="210">
        <v>0</v>
      </c>
      <c r="S26" s="210">
        <v>0</v>
      </c>
      <c r="T26" s="210">
        <v>0</v>
      </c>
      <c r="U26" s="210">
        <v>0</v>
      </c>
      <c r="V26" s="210">
        <v>0</v>
      </c>
      <c r="W26" s="210">
        <v>0</v>
      </c>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5"/>
      <c r="AY26" s="115"/>
    </row>
    <row r="27" spans="1:51">
      <c r="A27" s="314"/>
      <c r="B27" s="121" t="s">
        <v>69</v>
      </c>
      <c r="C27" s="122" t="s">
        <v>69</v>
      </c>
      <c r="D27" s="112" t="str">
        <f>D11</f>
        <v>Request (Contoh)</v>
      </c>
      <c r="E27" s="110" t="s">
        <v>69</v>
      </c>
      <c r="F27" s="118">
        <v>0</v>
      </c>
      <c r="G27" s="118">
        <v>0</v>
      </c>
      <c r="H27" s="118">
        <v>0</v>
      </c>
      <c r="I27" s="118">
        <v>0</v>
      </c>
      <c r="J27" s="118">
        <v>0</v>
      </c>
      <c r="K27" s="118">
        <v>0</v>
      </c>
      <c r="L27" s="210">
        <v>0</v>
      </c>
      <c r="M27" s="210">
        <v>0</v>
      </c>
      <c r="N27" s="210">
        <v>0</v>
      </c>
      <c r="O27" s="210">
        <v>0</v>
      </c>
      <c r="P27" s="210">
        <v>0</v>
      </c>
      <c r="Q27" s="210">
        <v>0</v>
      </c>
      <c r="R27" s="210">
        <v>0</v>
      </c>
      <c r="S27" s="210">
        <v>0</v>
      </c>
      <c r="T27" s="210">
        <v>0</v>
      </c>
      <c r="U27" s="210">
        <v>0</v>
      </c>
      <c r="V27" s="210">
        <v>0</v>
      </c>
      <c r="W27" s="210">
        <v>0</v>
      </c>
      <c r="X27" s="114" t="s">
        <v>69</v>
      </c>
      <c r="Y27" s="114" t="s">
        <v>69</v>
      </c>
      <c r="Z27" s="114" t="s">
        <v>69</v>
      </c>
      <c r="AA27" s="114" t="s">
        <v>69</v>
      </c>
      <c r="AB27" s="114" t="s">
        <v>69</v>
      </c>
      <c r="AC27" s="114" t="s">
        <v>69</v>
      </c>
      <c r="AD27" s="114" t="s">
        <v>69</v>
      </c>
      <c r="AE27" s="114" t="s">
        <v>69</v>
      </c>
      <c r="AF27" s="114" t="s">
        <v>69</v>
      </c>
      <c r="AG27" s="114" t="s">
        <v>69</v>
      </c>
      <c r="AH27" s="114" t="s">
        <v>69</v>
      </c>
      <c r="AI27" s="114" t="s">
        <v>69</v>
      </c>
      <c r="AJ27" s="114" t="s">
        <v>69</v>
      </c>
      <c r="AK27" s="114" t="s">
        <v>69</v>
      </c>
      <c r="AL27" s="114" t="s">
        <v>69</v>
      </c>
      <c r="AM27" s="114" t="s">
        <v>69</v>
      </c>
      <c r="AN27" s="114" t="s">
        <v>69</v>
      </c>
      <c r="AO27" s="114" t="s">
        <v>69</v>
      </c>
      <c r="AP27" s="114" t="s">
        <v>69</v>
      </c>
      <c r="AQ27" s="114" t="s">
        <v>69</v>
      </c>
      <c r="AR27" s="114" t="s">
        <v>69</v>
      </c>
      <c r="AS27" s="114" t="s">
        <v>69</v>
      </c>
      <c r="AT27" s="114" t="s">
        <v>69</v>
      </c>
      <c r="AU27" s="114" t="s">
        <v>69</v>
      </c>
      <c r="AV27" s="114" t="s">
        <v>69</v>
      </c>
      <c r="AW27" s="114" t="s">
        <v>69</v>
      </c>
      <c r="AX27" s="115"/>
      <c r="AY27" s="115"/>
    </row>
    <row r="28" spans="1:51">
      <c r="A28" s="314"/>
      <c r="B28" s="121" t="s">
        <v>69</v>
      </c>
      <c r="C28" s="122" t="s">
        <v>69</v>
      </c>
      <c r="D28" s="112" t="str">
        <f>D12</f>
        <v>Keluhan (Contoh)</v>
      </c>
      <c r="E28" s="110" t="s">
        <v>69</v>
      </c>
      <c r="F28" s="118">
        <v>0</v>
      </c>
      <c r="G28" s="118">
        <v>0</v>
      </c>
      <c r="H28" s="118">
        <v>0</v>
      </c>
      <c r="I28" s="118">
        <v>0</v>
      </c>
      <c r="J28" s="118">
        <v>0</v>
      </c>
      <c r="K28" s="118">
        <v>0</v>
      </c>
      <c r="L28" s="210">
        <v>0</v>
      </c>
      <c r="M28" s="210">
        <v>0</v>
      </c>
      <c r="N28" s="210">
        <v>0</v>
      </c>
      <c r="O28" s="210">
        <v>0</v>
      </c>
      <c r="P28" s="210">
        <v>0</v>
      </c>
      <c r="Q28" s="210">
        <v>0</v>
      </c>
      <c r="R28" s="210">
        <v>0</v>
      </c>
      <c r="S28" s="210">
        <v>0</v>
      </c>
      <c r="T28" s="210">
        <v>0</v>
      </c>
      <c r="U28" s="210">
        <v>0</v>
      </c>
      <c r="V28" s="210">
        <v>0</v>
      </c>
      <c r="W28" s="210">
        <v>0</v>
      </c>
      <c r="X28" s="114" t="s">
        <v>69</v>
      </c>
      <c r="Y28" s="114" t="s">
        <v>69</v>
      </c>
      <c r="Z28" s="114" t="s">
        <v>69</v>
      </c>
      <c r="AA28" s="114" t="s">
        <v>69</v>
      </c>
      <c r="AB28" s="114" t="s">
        <v>69</v>
      </c>
      <c r="AC28" s="114" t="s">
        <v>69</v>
      </c>
      <c r="AD28" s="114" t="s">
        <v>69</v>
      </c>
      <c r="AE28" s="114" t="s">
        <v>69</v>
      </c>
      <c r="AF28" s="114" t="s">
        <v>69</v>
      </c>
      <c r="AG28" s="114" t="s">
        <v>69</v>
      </c>
      <c r="AH28" s="114" t="s">
        <v>69</v>
      </c>
      <c r="AI28" s="114" t="s">
        <v>69</v>
      </c>
      <c r="AJ28" s="114" t="s">
        <v>69</v>
      </c>
      <c r="AK28" s="114" t="s">
        <v>69</v>
      </c>
      <c r="AL28" s="114" t="s">
        <v>69</v>
      </c>
      <c r="AM28" s="114" t="s">
        <v>69</v>
      </c>
      <c r="AN28" s="114" t="s">
        <v>69</v>
      </c>
      <c r="AO28" s="114" t="s">
        <v>69</v>
      </c>
      <c r="AP28" s="114" t="s">
        <v>69</v>
      </c>
      <c r="AQ28" s="114" t="s">
        <v>69</v>
      </c>
      <c r="AR28" s="114" t="s">
        <v>69</v>
      </c>
      <c r="AS28" s="114" t="s">
        <v>69</v>
      </c>
      <c r="AT28" s="114" t="s">
        <v>69</v>
      </c>
      <c r="AU28" s="114" t="s">
        <v>69</v>
      </c>
      <c r="AV28" s="114" t="s">
        <v>69</v>
      </c>
      <c r="AW28" s="114" t="s">
        <v>69</v>
      </c>
      <c r="AX28" s="115"/>
      <c r="AY28" s="115"/>
    </row>
    <row r="29" spans="1:51">
      <c r="A29" s="314"/>
      <c r="B29" s="121" t="s">
        <v>69</v>
      </c>
      <c r="C29" s="122" t="s">
        <v>69</v>
      </c>
      <c r="D29" s="112" t="str">
        <f>D13</f>
        <v>Apresiasi</v>
      </c>
      <c r="E29" s="110" t="s">
        <v>69</v>
      </c>
      <c r="F29" s="118">
        <v>0</v>
      </c>
      <c r="G29" s="118">
        <v>0</v>
      </c>
      <c r="H29" s="118">
        <v>0</v>
      </c>
      <c r="I29" s="118">
        <v>0</v>
      </c>
      <c r="J29" s="118">
        <v>0</v>
      </c>
      <c r="K29" s="118">
        <v>0</v>
      </c>
      <c r="L29" s="210">
        <v>0</v>
      </c>
      <c r="M29" s="210">
        <v>0</v>
      </c>
      <c r="N29" s="210">
        <v>0</v>
      </c>
      <c r="O29" s="210">
        <v>0</v>
      </c>
      <c r="P29" s="210">
        <v>0</v>
      </c>
      <c r="Q29" s="210">
        <v>0</v>
      </c>
      <c r="R29" s="210">
        <v>0</v>
      </c>
      <c r="S29" s="210">
        <v>0</v>
      </c>
      <c r="T29" s="210">
        <v>0</v>
      </c>
      <c r="U29" s="210">
        <v>0</v>
      </c>
      <c r="V29" s="210">
        <v>0</v>
      </c>
      <c r="W29" s="210">
        <v>0</v>
      </c>
      <c r="X29" s="114" t="s">
        <v>69</v>
      </c>
      <c r="Y29" s="114" t="s">
        <v>69</v>
      </c>
      <c r="Z29" s="114" t="s">
        <v>69</v>
      </c>
      <c r="AA29" s="114" t="s">
        <v>69</v>
      </c>
      <c r="AB29" s="114" t="s">
        <v>69</v>
      </c>
      <c r="AC29" s="114" t="s">
        <v>69</v>
      </c>
      <c r="AD29" s="114" t="s">
        <v>69</v>
      </c>
      <c r="AE29" s="114" t="s">
        <v>69</v>
      </c>
      <c r="AF29" s="114" t="s">
        <v>69</v>
      </c>
      <c r="AG29" s="114" t="s">
        <v>69</v>
      </c>
      <c r="AH29" s="114" t="s">
        <v>69</v>
      </c>
      <c r="AI29" s="114" t="s">
        <v>69</v>
      </c>
      <c r="AJ29" s="114" t="s">
        <v>69</v>
      </c>
      <c r="AK29" s="114" t="s">
        <v>69</v>
      </c>
      <c r="AL29" s="114" t="s">
        <v>69</v>
      </c>
      <c r="AM29" s="114" t="s">
        <v>69</v>
      </c>
      <c r="AN29" s="114" t="s">
        <v>69</v>
      </c>
      <c r="AO29" s="114" t="s">
        <v>69</v>
      </c>
      <c r="AP29" s="114" t="s">
        <v>69</v>
      </c>
      <c r="AQ29" s="114" t="s">
        <v>69</v>
      </c>
      <c r="AR29" s="114" t="s">
        <v>69</v>
      </c>
      <c r="AS29" s="114" t="s">
        <v>69</v>
      </c>
      <c r="AT29" s="114" t="s">
        <v>69</v>
      </c>
      <c r="AU29" s="114" t="s">
        <v>69</v>
      </c>
      <c r="AV29" s="114" t="s">
        <v>69</v>
      </c>
      <c r="AW29" s="114" t="s">
        <v>69</v>
      </c>
      <c r="AX29" s="115"/>
      <c r="AY29" s="115"/>
    </row>
    <row r="30" spans="1:51">
      <c r="A30" s="314"/>
      <c r="B30" s="121" t="s">
        <v>86</v>
      </c>
      <c r="C30" s="122" t="s">
        <v>87</v>
      </c>
      <c r="D30" s="123" t="str">
        <f>D26</f>
        <v>Permintaan Informasi (contoh)</v>
      </c>
      <c r="E30" s="110" t="s">
        <v>69</v>
      </c>
      <c r="F30" s="118">
        <v>0</v>
      </c>
      <c r="G30" s="118">
        <v>0</v>
      </c>
      <c r="H30" s="118">
        <v>0</v>
      </c>
      <c r="I30" s="118">
        <v>0</v>
      </c>
      <c r="J30" s="118">
        <v>0</v>
      </c>
      <c r="K30" s="118">
        <v>0</v>
      </c>
      <c r="L30" s="210">
        <v>0</v>
      </c>
      <c r="M30" s="210">
        <v>0</v>
      </c>
      <c r="N30" s="210">
        <v>0</v>
      </c>
      <c r="O30" s="210">
        <v>0</v>
      </c>
      <c r="P30" s="210">
        <v>0</v>
      </c>
      <c r="Q30" s="210">
        <v>0</v>
      </c>
      <c r="R30" s="210">
        <v>0</v>
      </c>
      <c r="S30" s="210">
        <v>0</v>
      </c>
      <c r="T30" s="210">
        <v>0</v>
      </c>
      <c r="U30" s="210">
        <v>0</v>
      </c>
      <c r="V30" s="210">
        <v>0</v>
      </c>
      <c r="W30" s="210">
        <v>0</v>
      </c>
      <c r="X30" s="114" t="s">
        <v>69</v>
      </c>
      <c r="Y30" s="114" t="s">
        <v>69</v>
      </c>
      <c r="Z30" s="114" t="s">
        <v>69</v>
      </c>
      <c r="AA30" s="114" t="s">
        <v>69</v>
      </c>
      <c r="AB30" s="114" t="s">
        <v>69</v>
      </c>
      <c r="AC30" s="114" t="s">
        <v>69</v>
      </c>
      <c r="AD30" s="114" t="s">
        <v>69</v>
      </c>
      <c r="AE30" s="114" t="s">
        <v>69</v>
      </c>
      <c r="AF30" s="114" t="s">
        <v>69</v>
      </c>
      <c r="AG30" s="114" t="s">
        <v>69</v>
      </c>
      <c r="AH30" s="114" t="s">
        <v>69</v>
      </c>
      <c r="AI30" s="114" t="s">
        <v>69</v>
      </c>
      <c r="AJ30" s="114" t="s">
        <v>69</v>
      </c>
      <c r="AK30" s="114" t="s">
        <v>69</v>
      </c>
      <c r="AL30" s="114" t="s">
        <v>69</v>
      </c>
      <c r="AM30" s="114" t="s">
        <v>69</v>
      </c>
      <c r="AN30" s="114" t="s">
        <v>69</v>
      </c>
      <c r="AO30" s="114" t="s">
        <v>69</v>
      </c>
      <c r="AP30" s="114" t="s">
        <v>69</v>
      </c>
      <c r="AQ30" s="114" t="s">
        <v>69</v>
      </c>
      <c r="AR30" s="114" t="s">
        <v>69</v>
      </c>
      <c r="AS30" s="114" t="s">
        <v>69</v>
      </c>
      <c r="AT30" s="114" t="s">
        <v>69</v>
      </c>
      <c r="AU30" s="114" t="s">
        <v>69</v>
      </c>
      <c r="AV30" s="114" t="s">
        <v>69</v>
      </c>
      <c r="AW30" s="114" t="s">
        <v>69</v>
      </c>
      <c r="AX30" s="115"/>
      <c r="AY30" s="115"/>
    </row>
    <row r="31" spans="1:51">
      <c r="A31" s="314"/>
      <c r="B31" s="121" t="s">
        <v>69</v>
      </c>
      <c r="C31" s="122" t="s">
        <v>69</v>
      </c>
      <c r="D31" s="123" t="str">
        <f>D27</f>
        <v>Request (Contoh)</v>
      </c>
      <c r="E31" s="110" t="s">
        <v>69</v>
      </c>
      <c r="F31" s="118">
        <v>0</v>
      </c>
      <c r="G31" s="118">
        <v>0</v>
      </c>
      <c r="H31" s="118">
        <v>0</v>
      </c>
      <c r="I31" s="118">
        <v>0</v>
      </c>
      <c r="J31" s="118">
        <v>0</v>
      </c>
      <c r="K31" s="118">
        <v>0</v>
      </c>
      <c r="L31" s="210">
        <v>0</v>
      </c>
      <c r="M31" s="210">
        <v>0</v>
      </c>
      <c r="N31" s="210">
        <v>0</v>
      </c>
      <c r="O31" s="210">
        <v>0</v>
      </c>
      <c r="P31" s="210">
        <v>0</v>
      </c>
      <c r="Q31" s="210">
        <v>0</v>
      </c>
      <c r="R31" s="210">
        <v>0</v>
      </c>
      <c r="S31" s="210">
        <v>0</v>
      </c>
      <c r="T31" s="210">
        <v>0</v>
      </c>
      <c r="U31" s="210">
        <v>0</v>
      </c>
      <c r="V31" s="210">
        <v>0</v>
      </c>
      <c r="W31" s="210">
        <v>0</v>
      </c>
      <c r="X31" s="114" t="s">
        <v>69</v>
      </c>
      <c r="Y31" s="114" t="s">
        <v>69</v>
      </c>
      <c r="Z31" s="114" t="s">
        <v>69</v>
      </c>
      <c r="AA31" s="114" t="s">
        <v>69</v>
      </c>
      <c r="AB31" s="114" t="s">
        <v>69</v>
      </c>
      <c r="AC31" s="114" t="s">
        <v>69</v>
      </c>
      <c r="AD31" s="114" t="s">
        <v>69</v>
      </c>
      <c r="AE31" s="114" t="s">
        <v>69</v>
      </c>
      <c r="AF31" s="114" t="s">
        <v>69</v>
      </c>
      <c r="AG31" s="114" t="s">
        <v>69</v>
      </c>
      <c r="AH31" s="114" t="s">
        <v>69</v>
      </c>
      <c r="AI31" s="114" t="s">
        <v>69</v>
      </c>
      <c r="AJ31" s="114" t="s">
        <v>69</v>
      </c>
      <c r="AK31" s="114" t="s">
        <v>69</v>
      </c>
      <c r="AL31" s="114" t="s">
        <v>69</v>
      </c>
      <c r="AM31" s="114" t="s">
        <v>69</v>
      </c>
      <c r="AN31" s="114" t="s">
        <v>69</v>
      </c>
      <c r="AO31" s="114" t="s">
        <v>69</v>
      </c>
      <c r="AP31" s="114" t="s">
        <v>69</v>
      </c>
      <c r="AQ31" s="114" t="s">
        <v>69</v>
      </c>
      <c r="AR31" s="114" t="s">
        <v>69</v>
      </c>
      <c r="AS31" s="114" t="s">
        <v>69</v>
      </c>
      <c r="AT31" s="114" t="s">
        <v>69</v>
      </c>
      <c r="AU31" s="114" t="s">
        <v>69</v>
      </c>
      <c r="AV31" s="114" t="s">
        <v>69</v>
      </c>
      <c r="AW31" s="114" t="s">
        <v>69</v>
      </c>
      <c r="AX31" s="115"/>
      <c r="AY31" s="115"/>
    </row>
    <row r="32" spans="1:51">
      <c r="A32" s="314"/>
      <c r="B32" s="121" t="s">
        <v>69</v>
      </c>
      <c r="C32" s="122" t="s">
        <v>69</v>
      </c>
      <c r="D32" s="123" t="str">
        <f>D28</f>
        <v>Keluhan (Contoh)</v>
      </c>
      <c r="E32" s="110" t="s">
        <v>69</v>
      </c>
      <c r="F32" s="118">
        <v>0</v>
      </c>
      <c r="G32" s="118">
        <v>0</v>
      </c>
      <c r="H32" s="118">
        <v>0</v>
      </c>
      <c r="I32" s="118">
        <v>0</v>
      </c>
      <c r="J32" s="118">
        <v>0</v>
      </c>
      <c r="K32" s="118">
        <v>0</v>
      </c>
      <c r="L32" s="210">
        <v>0</v>
      </c>
      <c r="M32" s="210">
        <v>0</v>
      </c>
      <c r="N32" s="210">
        <v>0</v>
      </c>
      <c r="O32" s="210">
        <v>0</v>
      </c>
      <c r="P32" s="210">
        <v>0</v>
      </c>
      <c r="Q32" s="210">
        <v>0</v>
      </c>
      <c r="R32" s="210">
        <v>0</v>
      </c>
      <c r="S32" s="210">
        <v>0</v>
      </c>
      <c r="T32" s="210">
        <v>0</v>
      </c>
      <c r="U32" s="210">
        <v>0</v>
      </c>
      <c r="V32" s="210">
        <v>0</v>
      </c>
      <c r="W32" s="210">
        <v>0</v>
      </c>
      <c r="X32" s="114" t="s">
        <v>69</v>
      </c>
      <c r="Y32" s="114" t="s">
        <v>69</v>
      </c>
      <c r="Z32" s="114" t="s">
        <v>69</v>
      </c>
      <c r="AA32" s="114" t="s">
        <v>69</v>
      </c>
      <c r="AB32" s="114" t="s">
        <v>69</v>
      </c>
      <c r="AC32" s="114" t="s">
        <v>69</v>
      </c>
      <c r="AD32" s="114" t="s">
        <v>69</v>
      </c>
      <c r="AE32" s="114" t="s">
        <v>69</v>
      </c>
      <c r="AF32" s="114" t="s">
        <v>69</v>
      </c>
      <c r="AG32" s="114" t="s">
        <v>69</v>
      </c>
      <c r="AH32" s="114" t="s">
        <v>69</v>
      </c>
      <c r="AI32" s="114" t="s">
        <v>69</v>
      </c>
      <c r="AJ32" s="114" t="s">
        <v>69</v>
      </c>
      <c r="AK32" s="114" t="s">
        <v>69</v>
      </c>
      <c r="AL32" s="114" t="s">
        <v>69</v>
      </c>
      <c r="AM32" s="114" t="s">
        <v>69</v>
      </c>
      <c r="AN32" s="114" t="s">
        <v>69</v>
      </c>
      <c r="AO32" s="114" t="s">
        <v>69</v>
      </c>
      <c r="AP32" s="114" t="s">
        <v>69</v>
      </c>
      <c r="AQ32" s="114" t="s">
        <v>69</v>
      </c>
      <c r="AR32" s="114" t="s">
        <v>69</v>
      </c>
      <c r="AS32" s="114" t="s">
        <v>69</v>
      </c>
      <c r="AT32" s="114" t="s">
        <v>69</v>
      </c>
      <c r="AU32" s="114" t="s">
        <v>69</v>
      </c>
      <c r="AV32" s="114" t="s">
        <v>69</v>
      </c>
      <c r="AW32" s="114" t="s">
        <v>69</v>
      </c>
      <c r="AX32" s="115"/>
      <c r="AY32" s="115"/>
    </row>
    <row r="33" spans="1:51">
      <c r="A33" s="314"/>
      <c r="B33" s="121" t="s">
        <v>69</v>
      </c>
      <c r="C33" s="122" t="s">
        <v>69</v>
      </c>
      <c r="D33" s="123" t="s">
        <v>88</v>
      </c>
      <c r="E33" s="110" t="s">
        <v>69</v>
      </c>
      <c r="F33" s="118">
        <v>0</v>
      </c>
      <c r="G33" s="118">
        <v>0</v>
      </c>
      <c r="H33" s="118">
        <v>0</v>
      </c>
      <c r="I33" s="118">
        <v>0</v>
      </c>
      <c r="J33" s="118">
        <v>0</v>
      </c>
      <c r="K33" s="118">
        <v>0</v>
      </c>
      <c r="L33" s="210">
        <v>0</v>
      </c>
      <c r="M33" s="210">
        <v>0</v>
      </c>
      <c r="N33" s="210">
        <v>0</v>
      </c>
      <c r="O33" s="210">
        <v>0</v>
      </c>
      <c r="P33" s="210">
        <v>0</v>
      </c>
      <c r="Q33" s="210">
        <v>0</v>
      </c>
      <c r="R33" s="210">
        <v>0</v>
      </c>
      <c r="S33" s="210">
        <v>0</v>
      </c>
      <c r="T33" s="210">
        <v>0</v>
      </c>
      <c r="U33" s="210">
        <v>0</v>
      </c>
      <c r="V33" s="210">
        <v>0</v>
      </c>
      <c r="W33" s="210">
        <v>0</v>
      </c>
      <c r="X33" s="114" t="s">
        <v>69</v>
      </c>
      <c r="Y33" s="114" t="s">
        <v>69</v>
      </c>
      <c r="Z33" s="114" t="s">
        <v>69</v>
      </c>
      <c r="AA33" s="114" t="s">
        <v>69</v>
      </c>
      <c r="AB33" s="114" t="s">
        <v>69</v>
      </c>
      <c r="AC33" s="114" t="s">
        <v>69</v>
      </c>
      <c r="AD33" s="114" t="s">
        <v>69</v>
      </c>
      <c r="AE33" s="114" t="s">
        <v>69</v>
      </c>
      <c r="AF33" s="114" t="s">
        <v>69</v>
      </c>
      <c r="AG33" s="114" t="s">
        <v>69</v>
      </c>
      <c r="AH33" s="114" t="s">
        <v>69</v>
      </c>
      <c r="AI33" s="114" t="s">
        <v>69</v>
      </c>
      <c r="AJ33" s="114" t="s">
        <v>69</v>
      </c>
      <c r="AK33" s="114" t="s">
        <v>69</v>
      </c>
      <c r="AL33" s="114" t="s">
        <v>69</v>
      </c>
      <c r="AM33" s="114" t="s">
        <v>69</v>
      </c>
      <c r="AN33" s="114" t="s">
        <v>69</v>
      </c>
      <c r="AO33" s="114" t="s">
        <v>69</v>
      </c>
      <c r="AP33" s="114" t="s">
        <v>69</v>
      </c>
      <c r="AQ33" s="114" t="s">
        <v>69</v>
      </c>
      <c r="AR33" s="114" t="s">
        <v>69</v>
      </c>
      <c r="AS33" s="114" t="s">
        <v>69</v>
      </c>
      <c r="AT33" s="114" t="s">
        <v>69</v>
      </c>
      <c r="AU33" s="114" t="s">
        <v>69</v>
      </c>
      <c r="AV33" s="114" t="s">
        <v>69</v>
      </c>
      <c r="AW33" s="114" t="s">
        <v>69</v>
      </c>
      <c r="AX33" s="115"/>
      <c r="AY33" s="115"/>
    </row>
    <row r="34" spans="1:51" ht="23.25" customHeight="1">
      <c r="A34" s="314"/>
      <c r="B34" s="121" t="s">
        <v>89</v>
      </c>
      <c r="C34" s="122" t="s">
        <v>90</v>
      </c>
      <c r="D34" s="123" t="str">
        <f>D30</f>
        <v>Permintaan Informasi (contoh)</v>
      </c>
      <c r="E34" s="110"/>
      <c r="F34" s="118">
        <v>0</v>
      </c>
      <c r="G34" s="118">
        <v>0</v>
      </c>
      <c r="H34" s="118">
        <v>0</v>
      </c>
      <c r="I34" s="118">
        <v>0</v>
      </c>
      <c r="J34" s="118">
        <v>0</v>
      </c>
      <c r="K34" s="118">
        <v>0</v>
      </c>
      <c r="L34" s="210">
        <v>0</v>
      </c>
      <c r="M34" s="210">
        <v>0</v>
      </c>
      <c r="N34" s="210">
        <v>0</v>
      </c>
      <c r="O34" s="210">
        <v>0</v>
      </c>
      <c r="P34" s="210">
        <v>0</v>
      </c>
      <c r="Q34" s="210">
        <v>0</v>
      </c>
      <c r="R34" s="210">
        <v>7</v>
      </c>
      <c r="S34" s="210">
        <v>5</v>
      </c>
      <c r="T34" s="210">
        <v>8</v>
      </c>
      <c r="U34" s="210">
        <v>6</v>
      </c>
      <c r="V34" s="211">
        <v>9</v>
      </c>
      <c r="W34" s="212">
        <v>7</v>
      </c>
      <c r="X34" s="114" t="s">
        <v>69</v>
      </c>
      <c r="Y34" s="114" t="s">
        <v>69</v>
      </c>
      <c r="Z34" s="114" t="s">
        <v>69</v>
      </c>
      <c r="AA34" s="114" t="s">
        <v>69</v>
      </c>
      <c r="AB34" s="114" t="s">
        <v>69</v>
      </c>
      <c r="AC34" s="114" t="s">
        <v>69</v>
      </c>
      <c r="AD34" s="114" t="s">
        <v>69</v>
      </c>
      <c r="AE34" s="114" t="s">
        <v>69</v>
      </c>
      <c r="AF34" s="114" t="s">
        <v>69</v>
      </c>
      <c r="AG34" s="114" t="s">
        <v>69</v>
      </c>
      <c r="AH34" s="114" t="s">
        <v>69</v>
      </c>
      <c r="AI34" s="114" t="s">
        <v>69</v>
      </c>
      <c r="AJ34" s="114" t="s">
        <v>69</v>
      </c>
      <c r="AK34" s="114" t="s">
        <v>69</v>
      </c>
      <c r="AL34" s="114" t="s">
        <v>69</v>
      </c>
      <c r="AM34" s="114" t="s">
        <v>69</v>
      </c>
      <c r="AN34" s="114" t="s">
        <v>69</v>
      </c>
      <c r="AO34" s="114" t="s">
        <v>69</v>
      </c>
      <c r="AP34" s="114" t="s">
        <v>69</v>
      </c>
      <c r="AQ34" s="114" t="s">
        <v>69</v>
      </c>
      <c r="AR34" s="114" t="s">
        <v>69</v>
      </c>
      <c r="AS34" s="114" t="s">
        <v>69</v>
      </c>
      <c r="AT34" s="114" t="s">
        <v>69</v>
      </c>
      <c r="AU34" s="114" t="s">
        <v>69</v>
      </c>
      <c r="AV34" s="114" t="s">
        <v>69</v>
      </c>
      <c r="AW34" s="114" t="s">
        <v>69</v>
      </c>
      <c r="AX34" s="115"/>
      <c r="AY34" s="115"/>
    </row>
    <row r="35" spans="1:51">
      <c r="A35" s="314"/>
      <c r="B35" s="121" t="s">
        <v>69</v>
      </c>
      <c r="C35" s="122" t="s">
        <v>69</v>
      </c>
      <c r="D35" s="123" t="str">
        <f>D31</f>
        <v>Request (Contoh)</v>
      </c>
      <c r="E35" s="110" t="s">
        <v>69</v>
      </c>
      <c r="F35" s="118">
        <v>0</v>
      </c>
      <c r="G35" s="118">
        <v>0</v>
      </c>
      <c r="H35" s="118">
        <v>0</v>
      </c>
      <c r="I35" s="118">
        <v>0</v>
      </c>
      <c r="J35" s="118">
        <v>0</v>
      </c>
      <c r="K35" s="118">
        <v>0</v>
      </c>
      <c r="L35" s="210">
        <v>0</v>
      </c>
      <c r="M35" s="210">
        <v>0</v>
      </c>
      <c r="N35" s="210">
        <v>0</v>
      </c>
      <c r="O35" s="210">
        <v>0</v>
      </c>
      <c r="P35" s="210">
        <v>0</v>
      </c>
      <c r="Q35" s="210">
        <v>0</v>
      </c>
      <c r="R35" s="210">
        <v>2</v>
      </c>
      <c r="S35" s="210">
        <v>4</v>
      </c>
      <c r="T35" s="210">
        <v>3</v>
      </c>
      <c r="U35" s="210">
        <v>5</v>
      </c>
      <c r="V35" s="210">
        <v>4</v>
      </c>
      <c r="W35" s="210">
        <v>3</v>
      </c>
      <c r="X35" s="114" t="s">
        <v>69</v>
      </c>
      <c r="Y35" s="114" t="s">
        <v>69</v>
      </c>
      <c r="Z35" s="114" t="s">
        <v>69</v>
      </c>
      <c r="AA35" s="114" t="s">
        <v>69</v>
      </c>
      <c r="AB35" s="114" t="s">
        <v>69</v>
      </c>
      <c r="AC35" s="114" t="s">
        <v>69</v>
      </c>
      <c r="AD35" s="114" t="s">
        <v>69</v>
      </c>
      <c r="AE35" s="114" t="s">
        <v>69</v>
      </c>
      <c r="AF35" s="114" t="s">
        <v>69</v>
      </c>
      <c r="AG35" s="114" t="s">
        <v>69</v>
      </c>
      <c r="AH35" s="114" t="s">
        <v>69</v>
      </c>
      <c r="AI35" s="114" t="s">
        <v>69</v>
      </c>
      <c r="AJ35" s="114" t="s">
        <v>69</v>
      </c>
      <c r="AK35" s="114" t="s">
        <v>69</v>
      </c>
      <c r="AL35" s="114" t="s">
        <v>69</v>
      </c>
      <c r="AM35" s="114" t="s">
        <v>69</v>
      </c>
      <c r="AN35" s="114" t="s">
        <v>69</v>
      </c>
      <c r="AO35" s="114" t="s">
        <v>69</v>
      </c>
      <c r="AP35" s="114" t="s">
        <v>69</v>
      </c>
      <c r="AQ35" s="114" t="s">
        <v>69</v>
      </c>
      <c r="AR35" s="114" t="s">
        <v>69</v>
      </c>
      <c r="AS35" s="114" t="s">
        <v>69</v>
      </c>
      <c r="AT35" s="114" t="s">
        <v>69</v>
      </c>
      <c r="AU35" s="114" t="s">
        <v>69</v>
      </c>
      <c r="AV35" s="114" t="s">
        <v>69</v>
      </c>
      <c r="AW35" s="114" t="s">
        <v>69</v>
      </c>
      <c r="AX35" s="115"/>
      <c r="AY35" s="115"/>
    </row>
    <row r="36" spans="1:51">
      <c r="A36" s="314"/>
      <c r="B36" s="121" t="s">
        <v>69</v>
      </c>
      <c r="C36" s="122" t="s">
        <v>69</v>
      </c>
      <c r="D36" s="123" t="str">
        <f>D32</f>
        <v>Keluhan (Contoh)</v>
      </c>
      <c r="E36" s="110" t="s">
        <v>69</v>
      </c>
      <c r="F36" s="118">
        <v>0</v>
      </c>
      <c r="G36" s="118">
        <v>0</v>
      </c>
      <c r="H36" s="118">
        <v>0</v>
      </c>
      <c r="I36" s="118">
        <v>0</v>
      </c>
      <c r="J36" s="118">
        <v>0</v>
      </c>
      <c r="K36" s="118">
        <v>0</v>
      </c>
      <c r="L36" s="210">
        <v>0</v>
      </c>
      <c r="M36" s="210">
        <v>0</v>
      </c>
      <c r="N36" s="210">
        <v>0</v>
      </c>
      <c r="O36" s="210">
        <v>0</v>
      </c>
      <c r="P36" s="210">
        <v>0</v>
      </c>
      <c r="Q36" s="210">
        <v>0</v>
      </c>
      <c r="R36" s="210">
        <v>3</v>
      </c>
      <c r="S36" s="210">
        <v>1</v>
      </c>
      <c r="T36" s="210">
        <v>1</v>
      </c>
      <c r="U36" s="210">
        <v>2</v>
      </c>
      <c r="V36" s="210">
        <v>2</v>
      </c>
      <c r="W36" s="210">
        <v>1</v>
      </c>
      <c r="X36" s="114" t="s">
        <v>69</v>
      </c>
      <c r="Y36" s="114" t="s">
        <v>69</v>
      </c>
      <c r="Z36" s="114" t="s">
        <v>69</v>
      </c>
      <c r="AA36" s="114" t="s">
        <v>69</v>
      </c>
      <c r="AB36" s="114" t="s">
        <v>69</v>
      </c>
      <c r="AC36" s="114" t="s">
        <v>69</v>
      </c>
      <c r="AD36" s="114" t="s">
        <v>69</v>
      </c>
      <c r="AE36" s="114" t="s">
        <v>69</v>
      </c>
      <c r="AF36" s="114" t="s">
        <v>69</v>
      </c>
      <c r="AG36" s="114" t="s">
        <v>69</v>
      </c>
      <c r="AH36" s="114" t="s">
        <v>69</v>
      </c>
      <c r="AI36" s="114" t="s">
        <v>69</v>
      </c>
      <c r="AJ36" s="114" t="s">
        <v>69</v>
      </c>
      <c r="AK36" s="114" t="s">
        <v>69</v>
      </c>
      <c r="AL36" s="114" t="s">
        <v>69</v>
      </c>
      <c r="AM36" s="114" t="s">
        <v>69</v>
      </c>
      <c r="AN36" s="114" t="s">
        <v>69</v>
      </c>
      <c r="AO36" s="114" t="s">
        <v>69</v>
      </c>
      <c r="AP36" s="114" t="s">
        <v>69</v>
      </c>
      <c r="AQ36" s="114" t="s">
        <v>69</v>
      </c>
      <c r="AR36" s="114" t="s">
        <v>69</v>
      </c>
      <c r="AS36" s="114" t="s">
        <v>69</v>
      </c>
      <c r="AT36" s="114" t="s">
        <v>69</v>
      </c>
      <c r="AU36" s="114" t="s">
        <v>69</v>
      </c>
      <c r="AV36" s="114" t="s">
        <v>69</v>
      </c>
      <c r="AW36" s="114" t="s">
        <v>69</v>
      </c>
      <c r="AX36" s="115"/>
      <c r="AY36" s="115"/>
    </row>
    <row r="37" spans="1:51">
      <c r="A37" s="314"/>
      <c r="B37" s="121" t="s">
        <v>69</v>
      </c>
      <c r="C37" s="122" t="s">
        <v>69</v>
      </c>
      <c r="D37" s="123" t="str">
        <f>D33</f>
        <v>Apresiasi</v>
      </c>
      <c r="E37" s="110" t="s">
        <v>69</v>
      </c>
      <c r="F37" s="118">
        <v>0</v>
      </c>
      <c r="G37" s="118">
        <v>0</v>
      </c>
      <c r="H37" s="118">
        <v>0</v>
      </c>
      <c r="I37" s="118">
        <v>0</v>
      </c>
      <c r="J37" s="118">
        <v>0</v>
      </c>
      <c r="K37" s="118">
        <v>0</v>
      </c>
      <c r="L37" s="210">
        <v>0</v>
      </c>
      <c r="M37" s="210">
        <v>0</v>
      </c>
      <c r="N37" s="210">
        <v>0</v>
      </c>
      <c r="O37" s="210">
        <v>0</v>
      </c>
      <c r="P37" s="210">
        <v>0</v>
      </c>
      <c r="Q37" s="210">
        <v>0</v>
      </c>
      <c r="R37" s="210">
        <v>3</v>
      </c>
      <c r="S37" s="210">
        <v>2</v>
      </c>
      <c r="T37" s="210">
        <v>3</v>
      </c>
      <c r="U37" s="210">
        <v>3</v>
      </c>
      <c r="V37" s="210">
        <v>4</v>
      </c>
      <c r="W37" s="210">
        <v>3</v>
      </c>
      <c r="X37" s="114" t="s">
        <v>69</v>
      </c>
      <c r="Y37" s="114" t="s">
        <v>69</v>
      </c>
      <c r="Z37" s="114" t="s">
        <v>69</v>
      </c>
      <c r="AA37" s="114" t="s">
        <v>69</v>
      </c>
      <c r="AB37" s="114" t="s">
        <v>69</v>
      </c>
      <c r="AC37" s="114" t="s">
        <v>69</v>
      </c>
      <c r="AD37" s="114" t="s">
        <v>69</v>
      </c>
      <c r="AE37" s="114" t="s">
        <v>69</v>
      </c>
      <c r="AF37" s="114" t="s">
        <v>69</v>
      </c>
      <c r="AG37" s="114" t="s">
        <v>69</v>
      </c>
      <c r="AH37" s="114" t="s">
        <v>69</v>
      </c>
      <c r="AI37" s="114" t="s">
        <v>69</v>
      </c>
      <c r="AJ37" s="114" t="s">
        <v>69</v>
      </c>
      <c r="AK37" s="114" t="s">
        <v>69</v>
      </c>
      <c r="AL37" s="114" t="s">
        <v>69</v>
      </c>
      <c r="AM37" s="114" t="s">
        <v>69</v>
      </c>
      <c r="AN37" s="114" t="s">
        <v>69</v>
      </c>
      <c r="AO37" s="114" t="s">
        <v>69</v>
      </c>
      <c r="AP37" s="114" t="s">
        <v>69</v>
      </c>
      <c r="AQ37" s="114" t="s">
        <v>69</v>
      </c>
      <c r="AR37" s="114" t="s">
        <v>69</v>
      </c>
      <c r="AS37" s="114" t="s">
        <v>69</v>
      </c>
      <c r="AT37" s="114" t="s">
        <v>69</v>
      </c>
      <c r="AU37" s="114" t="s">
        <v>69</v>
      </c>
      <c r="AV37" s="114" t="s">
        <v>69</v>
      </c>
      <c r="AW37" s="114" t="s">
        <v>69</v>
      </c>
      <c r="AX37" s="115"/>
      <c r="AY37" s="115"/>
    </row>
    <row r="38" spans="1:51" ht="24.75">
      <c r="A38" s="314"/>
      <c r="B38" s="111" t="s">
        <v>91</v>
      </c>
      <c r="C38" s="117" t="s">
        <v>92</v>
      </c>
      <c r="D38" s="112" t="str">
        <f>D34</f>
        <v>Permintaan Informasi (contoh)</v>
      </c>
      <c r="E38" s="110" t="s">
        <v>189</v>
      </c>
      <c r="F38" s="118">
        <v>0</v>
      </c>
      <c r="G38" s="118">
        <v>0</v>
      </c>
      <c r="H38" s="118">
        <v>0</v>
      </c>
      <c r="I38" s="118">
        <v>0</v>
      </c>
      <c r="J38" s="118">
        <v>0</v>
      </c>
      <c r="K38" s="118">
        <v>0</v>
      </c>
      <c r="L38" s="210">
        <v>0</v>
      </c>
      <c r="M38" s="210">
        <v>0</v>
      </c>
      <c r="N38" s="210">
        <v>0</v>
      </c>
      <c r="O38" s="210">
        <v>0</v>
      </c>
      <c r="P38" s="210">
        <v>0</v>
      </c>
      <c r="Q38" s="210">
        <v>11</v>
      </c>
      <c r="R38" s="210">
        <v>9</v>
      </c>
      <c r="S38" s="210">
        <v>16</v>
      </c>
      <c r="T38" s="210">
        <v>12</v>
      </c>
      <c r="U38" s="210">
        <v>25</v>
      </c>
      <c r="V38" s="210">
        <v>2</v>
      </c>
      <c r="W38" s="210">
        <v>7</v>
      </c>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5"/>
      <c r="AY38" s="115"/>
    </row>
    <row r="39" spans="1:51" ht="24.75">
      <c r="A39" s="314"/>
      <c r="B39" s="121" t="s">
        <v>69</v>
      </c>
      <c r="C39" s="121" t="s">
        <v>69</v>
      </c>
      <c r="D39" s="112" t="str">
        <f>D35</f>
        <v>Request (Contoh)</v>
      </c>
      <c r="E39" s="110" t="s">
        <v>190</v>
      </c>
      <c r="F39" s="118">
        <v>0</v>
      </c>
      <c r="G39" s="118">
        <v>0</v>
      </c>
      <c r="H39" s="118">
        <v>0</v>
      </c>
      <c r="I39" s="118">
        <v>0</v>
      </c>
      <c r="J39" s="118">
        <v>0</v>
      </c>
      <c r="K39" s="118">
        <v>0</v>
      </c>
      <c r="L39" s="210">
        <v>0</v>
      </c>
      <c r="M39" s="210">
        <v>0</v>
      </c>
      <c r="N39" s="210">
        <v>0</v>
      </c>
      <c r="O39" s="210">
        <v>0</v>
      </c>
      <c r="P39" s="210">
        <v>0</v>
      </c>
      <c r="Q39" s="210">
        <v>5</v>
      </c>
      <c r="R39" s="210">
        <v>3</v>
      </c>
      <c r="S39" s="210">
        <v>2</v>
      </c>
      <c r="T39" s="210">
        <v>4</v>
      </c>
      <c r="U39" s="210">
        <v>2</v>
      </c>
      <c r="V39" s="210">
        <v>1</v>
      </c>
      <c r="W39" s="210">
        <v>9</v>
      </c>
      <c r="X39" s="114" t="s">
        <v>69</v>
      </c>
      <c r="Y39" s="114" t="s">
        <v>69</v>
      </c>
      <c r="Z39" s="114" t="s">
        <v>69</v>
      </c>
      <c r="AA39" s="114" t="s">
        <v>69</v>
      </c>
      <c r="AB39" s="114" t="s">
        <v>69</v>
      </c>
      <c r="AC39" s="114" t="s">
        <v>69</v>
      </c>
      <c r="AD39" s="114" t="s">
        <v>69</v>
      </c>
      <c r="AE39" s="114" t="s">
        <v>69</v>
      </c>
      <c r="AF39" s="114" t="s">
        <v>69</v>
      </c>
      <c r="AG39" s="114" t="s">
        <v>69</v>
      </c>
      <c r="AH39" s="114" t="s">
        <v>69</v>
      </c>
      <c r="AI39" s="114" t="s">
        <v>69</v>
      </c>
      <c r="AJ39" s="114" t="s">
        <v>69</v>
      </c>
      <c r="AK39" s="114" t="s">
        <v>69</v>
      </c>
      <c r="AL39" s="114" t="s">
        <v>69</v>
      </c>
      <c r="AM39" s="114" t="s">
        <v>69</v>
      </c>
      <c r="AN39" s="114" t="s">
        <v>69</v>
      </c>
      <c r="AO39" s="114" t="s">
        <v>69</v>
      </c>
      <c r="AP39" s="114" t="s">
        <v>69</v>
      </c>
      <c r="AQ39" s="114" t="s">
        <v>69</v>
      </c>
      <c r="AR39" s="114" t="s">
        <v>69</v>
      </c>
      <c r="AS39" s="114" t="s">
        <v>69</v>
      </c>
      <c r="AT39" s="114" t="s">
        <v>69</v>
      </c>
      <c r="AU39" s="114" t="s">
        <v>69</v>
      </c>
      <c r="AV39" s="114" t="s">
        <v>69</v>
      </c>
      <c r="AW39" s="114" t="s">
        <v>69</v>
      </c>
      <c r="AX39" s="115"/>
      <c r="AY39" s="115"/>
    </row>
    <row r="40" spans="1:51" ht="24.75">
      <c r="A40" s="314"/>
      <c r="B40" s="111" t="s">
        <v>69</v>
      </c>
      <c r="C40" s="111" t="s">
        <v>69</v>
      </c>
      <c r="D40" s="112" t="str">
        <f>D36</f>
        <v>Keluhan (Contoh)</v>
      </c>
      <c r="E40" s="110" t="s">
        <v>190</v>
      </c>
      <c r="F40" s="118">
        <v>0</v>
      </c>
      <c r="G40" s="118">
        <v>0</v>
      </c>
      <c r="H40" s="118">
        <v>0</v>
      </c>
      <c r="I40" s="118">
        <v>0</v>
      </c>
      <c r="J40" s="118">
        <v>0</v>
      </c>
      <c r="K40" s="118">
        <v>0</v>
      </c>
      <c r="L40" s="210">
        <v>0</v>
      </c>
      <c r="M40" s="210">
        <v>0</v>
      </c>
      <c r="N40" s="210">
        <v>0</v>
      </c>
      <c r="O40" s="210">
        <v>0</v>
      </c>
      <c r="P40" s="210">
        <v>0</v>
      </c>
      <c r="Q40" s="210">
        <v>1</v>
      </c>
      <c r="R40" s="210">
        <v>2</v>
      </c>
      <c r="S40" s="210">
        <v>1</v>
      </c>
      <c r="T40" s="210">
        <v>1</v>
      </c>
      <c r="U40" s="210">
        <v>4</v>
      </c>
      <c r="V40" s="210">
        <v>3</v>
      </c>
      <c r="W40" s="210">
        <v>6</v>
      </c>
      <c r="X40" s="114"/>
      <c r="Y40" s="114"/>
      <c r="Z40" s="114"/>
      <c r="AA40" s="114"/>
      <c r="AB40" s="114"/>
      <c r="AC40" s="114"/>
      <c r="AD40" s="114"/>
      <c r="AE40" s="114"/>
      <c r="AF40" s="114"/>
      <c r="AG40" s="114"/>
      <c r="AH40" s="114"/>
      <c r="AI40" s="114"/>
      <c r="AJ40" s="114"/>
      <c r="AK40" s="114"/>
      <c r="AL40" s="114"/>
      <c r="AM40" s="114"/>
      <c r="AN40" s="114"/>
      <c r="AO40" s="114"/>
      <c r="AP40" s="114"/>
      <c r="AQ40" s="114"/>
      <c r="AR40" s="114"/>
      <c r="AS40" s="114"/>
      <c r="AT40" s="114"/>
      <c r="AU40" s="114"/>
      <c r="AV40" s="114"/>
      <c r="AW40" s="114"/>
      <c r="AX40" s="115"/>
      <c r="AY40" s="115"/>
    </row>
    <row r="41" spans="1:51" ht="24.75">
      <c r="A41" s="314"/>
      <c r="B41" s="111" t="s">
        <v>69</v>
      </c>
      <c r="C41" s="111" t="s">
        <v>69</v>
      </c>
      <c r="D41" s="112" t="str">
        <f>D37</f>
        <v>Apresiasi</v>
      </c>
      <c r="E41" s="110" t="s">
        <v>190</v>
      </c>
      <c r="F41" s="118">
        <v>0</v>
      </c>
      <c r="G41" s="118">
        <v>0</v>
      </c>
      <c r="H41" s="118">
        <v>0</v>
      </c>
      <c r="I41" s="118">
        <v>0</v>
      </c>
      <c r="J41" s="118">
        <v>0</v>
      </c>
      <c r="K41" s="118">
        <v>0</v>
      </c>
      <c r="L41" s="210">
        <v>0</v>
      </c>
      <c r="M41" s="210">
        <v>0</v>
      </c>
      <c r="N41" s="210">
        <v>0</v>
      </c>
      <c r="O41" s="210">
        <v>0</v>
      </c>
      <c r="P41" s="210">
        <v>0</v>
      </c>
      <c r="Q41" s="210">
        <v>4</v>
      </c>
      <c r="R41" s="210">
        <v>1</v>
      </c>
      <c r="S41" s="210">
        <v>2</v>
      </c>
      <c r="T41" s="210">
        <v>4</v>
      </c>
      <c r="U41" s="210">
        <v>2</v>
      </c>
      <c r="V41" s="210">
        <v>4</v>
      </c>
      <c r="W41" s="210">
        <v>6</v>
      </c>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4"/>
      <c r="AX41" s="115"/>
      <c r="AY41" s="115"/>
    </row>
    <row r="42" spans="1:51">
      <c r="A42" s="314"/>
      <c r="B42" s="112" t="s">
        <v>93</v>
      </c>
      <c r="C42" s="124" t="s">
        <v>94</v>
      </c>
      <c r="D42" s="112" t="str">
        <f>D38</f>
        <v>Permintaan Informasi (contoh)</v>
      </c>
      <c r="E42" s="110" t="s">
        <v>69</v>
      </c>
      <c r="F42" s="118">
        <v>0</v>
      </c>
      <c r="G42" s="118">
        <v>0</v>
      </c>
      <c r="H42" s="118">
        <v>0</v>
      </c>
      <c r="I42" s="118">
        <v>0</v>
      </c>
      <c r="J42" s="118">
        <v>0</v>
      </c>
      <c r="K42" s="118">
        <v>0</v>
      </c>
      <c r="L42" s="210">
        <v>0</v>
      </c>
      <c r="M42" s="210">
        <v>0</v>
      </c>
      <c r="N42" s="210">
        <v>0</v>
      </c>
      <c r="O42" s="210">
        <v>0</v>
      </c>
      <c r="P42" s="210">
        <v>0</v>
      </c>
      <c r="Q42" s="210">
        <v>0</v>
      </c>
      <c r="R42" s="210">
        <v>0</v>
      </c>
      <c r="S42" s="210">
        <v>0</v>
      </c>
      <c r="T42" s="210">
        <v>0</v>
      </c>
      <c r="U42" s="210">
        <v>0</v>
      </c>
      <c r="V42" s="210">
        <v>0</v>
      </c>
      <c r="W42" s="210">
        <v>0</v>
      </c>
      <c r="X42" s="114"/>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114"/>
      <c r="AX42" s="115"/>
      <c r="AY42" s="115"/>
    </row>
    <row r="43" spans="1:51">
      <c r="A43" s="314"/>
      <c r="B43" s="123" t="s">
        <v>69</v>
      </c>
      <c r="C43" s="125" t="s">
        <v>69</v>
      </c>
      <c r="D43" s="112" t="str">
        <f>D39</f>
        <v>Request (Contoh)</v>
      </c>
      <c r="E43" s="110" t="s">
        <v>69</v>
      </c>
      <c r="F43" s="118">
        <v>0</v>
      </c>
      <c r="G43" s="118">
        <v>0</v>
      </c>
      <c r="H43" s="118">
        <v>0</v>
      </c>
      <c r="I43" s="118">
        <v>0</v>
      </c>
      <c r="J43" s="118">
        <v>0</v>
      </c>
      <c r="K43" s="118">
        <v>0</v>
      </c>
      <c r="L43" s="210">
        <v>0</v>
      </c>
      <c r="M43" s="210">
        <v>0</v>
      </c>
      <c r="N43" s="210">
        <v>0</v>
      </c>
      <c r="O43" s="210">
        <v>0</v>
      </c>
      <c r="P43" s="210">
        <v>0</v>
      </c>
      <c r="Q43" s="210">
        <v>0</v>
      </c>
      <c r="R43" s="210">
        <v>0</v>
      </c>
      <c r="S43" s="210">
        <v>0</v>
      </c>
      <c r="T43" s="210">
        <v>0</v>
      </c>
      <c r="U43" s="210">
        <v>0</v>
      </c>
      <c r="V43" s="210">
        <v>0</v>
      </c>
      <c r="W43" s="210">
        <v>0</v>
      </c>
      <c r="X43" s="114" t="s">
        <v>69</v>
      </c>
      <c r="Y43" s="114" t="s">
        <v>69</v>
      </c>
      <c r="Z43" s="114" t="s">
        <v>69</v>
      </c>
      <c r="AA43" s="114" t="s">
        <v>69</v>
      </c>
      <c r="AB43" s="114" t="s">
        <v>69</v>
      </c>
      <c r="AC43" s="114" t="s">
        <v>69</v>
      </c>
      <c r="AD43" s="114" t="s">
        <v>69</v>
      </c>
      <c r="AE43" s="114" t="s">
        <v>69</v>
      </c>
      <c r="AF43" s="114" t="s">
        <v>69</v>
      </c>
      <c r="AG43" s="114" t="s">
        <v>69</v>
      </c>
      <c r="AH43" s="114" t="s">
        <v>69</v>
      </c>
      <c r="AI43" s="114" t="s">
        <v>69</v>
      </c>
      <c r="AJ43" s="114" t="s">
        <v>69</v>
      </c>
      <c r="AK43" s="114" t="s">
        <v>69</v>
      </c>
      <c r="AL43" s="114" t="s">
        <v>69</v>
      </c>
      <c r="AM43" s="114" t="s">
        <v>69</v>
      </c>
      <c r="AN43" s="114" t="s">
        <v>69</v>
      </c>
      <c r="AO43" s="114" t="s">
        <v>69</v>
      </c>
      <c r="AP43" s="114" t="s">
        <v>69</v>
      </c>
      <c r="AQ43" s="114" t="s">
        <v>69</v>
      </c>
      <c r="AR43" s="114" t="s">
        <v>69</v>
      </c>
      <c r="AS43" s="114" t="s">
        <v>69</v>
      </c>
      <c r="AT43" s="114" t="s">
        <v>69</v>
      </c>
      <c r="AU43" s="114" t="s">
        <v>69</v>
      </c>
      <c r="AV43" s="114" t="s">
        <v>69</v>
      </c>
      <c r="AW43" s="114" t="s">
        <v>69</v>
      </c>
      <c r="AX43" s="115"/>
      <c r="AY43" s="115"/>
    </row>
    <row r="44" spans="1:51">
      <c r="A44" s="314"/>
      <c r="B44" s="112" t="s">
        <v>69</v>
      </c>
      <c r="C44" s="126" t="s">
        <v>69</v>
      </c>
      <c r="D44" s="112" t="str">
        <f>D40</f>
        <v>Keluhan (Contoh)</v>
      </c>
      <c r="E44" s="110" t="s">
        <v>69</v>
      </c>
      <c r="F44" s="118">
        <v>0</v>
      </c>
      <c r="G44" s="118">
        <v>0</v>
      </c>
      <c r="H44" s="118">
        <v>0</v>
      </c>
      <c r="I44" s="118">
        <v>0</v>
      </c>
      <c r="J44" s="118">
        <v>0</v>
      </c>
      <c r="K44" s="118">
        <v>0</v>
      </c>
      <c r="L44" s="210">
        <v>0</v>
      </c>
      <c r="M44" s="210">
        <v>0</v>
      </c>
      <c r="N44" s="210">
        <v>0</v>
      </c>
      <c r="O44" s="210">
        <v>0</v>
      </c>
      <c r="P44" s="210">
        <v>0</v>
      </c>
      <c r="Q44" s="210">
        <v>0</v>
      </c>
      <c r="R44" s="210">
        <v>0</v>
      </c>
      <c r="S44" s="210">
        <v>0</v>
      </c>
      <c r="T44" s="210">
        <v>0</v>
      </c>
      <c r="U44" s="210">
        <v>0</v>
      </c>
      <c r="V44" s="210">
        <v>0</v>
      </c>
      <c r="W44" s="210">
        <v>0</v>
      </c>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s="115"/>
      <c r="AY44" s="115"/>
    </row>
    <row r="45" spans="1:51">
      <c r="A45" s="314"/>
      <c r="B45" s="123" t="s">
        <v>69</v>
      </c>
      <c r="C45" s="125" t="s">
        <v>69</v>
      </c>
      <c r="D45" s="112" t="s">
        <v>88</v>
      </c>
      <c r="E45" s="110" t="s">
        <v>69</v>
      </c>
      <c r="F45" s="118">
        <v>0</v>
      </c>
      <c r="G45" s="118">
        <v>0</v>
      </c>
      <c r="H45" s="118">
        <v>0</v>
      </c>
      <c r="I45" s="118">
        <v>0</v>
      </c>
      <c r="J45" s="118">
        <v>0</v>
      </c>
      <c r="K45" s="118">
        <v>0</v>
      </c>
      <c r="L45" s="210">
        <v>0</v>
      </c>
      <c r="M45" s="210">
        <v>0</v>
      </c>
      <c r="N45" s="210">
        <v>0</v>
      </c>
      <c r="O45" s="210">
        <v>0</v>
      </c>
      <c r="P45" s="210">
        <v>0</v>
      </c>
      <c r="Q45" s="210">
        <v>0</v>
      </c>
      <c r="R45" s="210">
        <v>0</v>
      </c>
      <c r="S45" s="210">
        <v>0</v>
      </c>
      <c r="T45" s="210">
        <v>0</v>
      </c>
      <c r="U45" s="210">
        <v>0</v>
      </c>
      <c r="V45" s="210">
        <v>0</v>
      </c>
      <c r="W45" s="210">
        <v>0</v>
      </c>
      <c r="X45" s="114" t="s">
        <v>69</v>
      </c>
      <c r="Y45" s="114" t="s">
        <v>69</v>
      </c>
      <c r="Z45" s="114" t="s">
        <v>69</v>
      </c>
      <c r="AA45" s="114" t="s">
        <v>69</v>
      </c>
      <c r="AB45" s="114" t="s">
        <v>69</v>
      </c>
      <c r="AC45" s="114" t="s">
        <v>69</v>
      </c>
      <c r="AD45" s="114" t="s">
        <v>69</v>
      </c>
      <c r="AE45" s="114" t="s">
        <v>69</v>
      </c>
      <c r="AF45" s="114" t="s">
        <v>69</v>
      </c>
      <c r="AG45" s="114" t="s">
        <v>69</v>
      </c>
      <c r="AH45" s="114" t="s">
        <v>69</v>
      </c>
      <c r="AI45" s="114" t="s">
        <v>69</v>
      </c>
      <c r="AJ45" s="114" t="s">
        <v>69</v>
      </c>
      <c r="AK45" s="114" t="s">
        <v>69</v>
      </c>
      <c r="AL45" s="114" t="s">
        <v>69</v>
      </c>
      <c r="AM45" s="114" t="s">
        <v>69</v>
      </c>
      <c r="AN45" s="114" t="s">
        <v>69</v>
      </c>
      <c r="AO45" s="114" t="s">
        <v>69</v>
      </c>
      <c r="AP45" s="114" t="s">
        <v>69</v>
      </c>
      <c r="AQ45" s="114" t="s">
        <v>69</v>
      </c>
      <c r="AR45" s="114" t="s">
        <v>69</v>
      </c>
      <c r="AS45" s="114" t="s">
        <v>69</v>
      </c>
      <c r="AT45" s="114" t="s">
        <v>69</v>
      </c>
      <c r="AU45" s="114" t="s">
        <v>69</v>
      </c>
      <c r="AV45" s="114" t="s">
        <v>69</v>
      </c>
      <c r="AW45" s="114" t="s">
        <v>69</v>
      </c>
      <c r="AX45" s="115"/>
      <c r="AY45" s="115"/>
    </row>
    <row r="46" spans="1:51" ht="69" customHeight="1">
      <c r="A46" s="313">
        <v>5</v>
      </c>
      <c r="B46" s="317" t="s">
        <v>97</v>
      </c>
      <c r="C46" s="317"/>
      <c r="D46" s="317"/>
      <c r="E46" s="110" t="s">
        <v>98</v>
      </c>
      <c r="F46" s="111" t="s">
        <v>69</v>
      </c>
      <c r="G46" s="127" t="s">
        <v>69</v>
      </c>
      <c r="H46" s="128" t="s">
        <v>69</v>
      </c>
      <c r="I46" s="113" t="s">
        <v>69</v>
      </c>
      <c r="J46" s="111" t="s">
        <v>69</v>
      </c>
      <c r="K46" s="127" t="s">
        <v>69</v>
      </c>
      <c r="L46" s="111" t="s">
        <v>69</v>
      </c>
      <c r="M46" s="111" t="s">
        <v>69</v>
      </c>
      <c r="N46" s="127" t="s">
        <v>69</v>
      </c>
      <c r="O46" s="127" t="s">
        <v>69</v>
      </c>
      <c r="P46" s="127" t="s">
        <v>69</v>
      </c>
      <c r="Q46" s="127" t="s">
        <v>69</v>
      </c>
      <c r="R46" s="127" t="s">
        <v>69</v>
      </c>
      <c r="S46" s="127" t="s">
        <v>69</v>
      </c>
      <c r="T46" s="127" t="s">
        <v>69</v>
      </c>
      <c r="U46" s="128" t="s">
        <v>69</v>
      </c>
      <c r="V46" s="129" t="s">
        <v>69</v>
      </c>
      <c r="W46" s="129"/>
      <c r="X46" s="130"/>
      <c r="Y46" s="130"/>
      <c r="Z46" s="130"/>
      <c r="AA46" s="130"/>
      <c r="AB46" s="130"/>
      <c r="AC46" s="130"/>
      <c r="AD46" s="130"/>
      <c r="AE46" s="130"/>
      <c r="AF46" s="130"/>
      <c r="AG46" s="130"/>
      <c r="AH46" s="130"/>
      <c r="AI46" s="130"/>
      <c r="AJ46" s="130"/>
      <c r="AK46" s="130" t="s">
        <v>69</v>
      </c>
      <c r="AL46" s="130" t="s">
        <v>69</v>
      </c>
      <c r="AM46" s="130" t="s">
        <v>69</v>
      </c>
      <c r="AN46" s="130" t="s">
        <v>69</v>
      </c>
      <c r="AO46" s="130" t="s">
        <v>69</v>
      </c>
      <c r="AP46" s="130" t="s">
        <v>69</v>
      </c>
      <c r="AQ46" s="130" t="s">
        <v>69</v>
      </c>
      <c r="AR46" s="130" t="s">
        <v>69</v>
      </c>
      <c r="AS46" s="130" t="s">
        <v>69</v>
      </c>
      <c r="AT46" s="130" t="s">
        <v>69</v>
      </c>
      <c r="AU46" s="130" t="s">
        <v>69</v>
      </c>
      <c r="AV46" s="130" t="s">
        <v>69</v>
      </c>
      <c r="AW46" s="130" t="s">
        <v>69</v>
      </c>
      <c r="AX46" s="115"/>
      <c r="AY46" s="115"/>
    </row>
    <row r="47" spans="1:51" ht="36.75">
      <c r="A47" s="314"/>
      <c r="B47" s="111" t="s">
        <v>70</v>
      </c>
      <c r="C47" s="316" t="s">
        <v>99</v>
      </c>
      <c r="D47" s="316"/>
      <c r="E47" s="154" t="s">
        <v>100</v>
      </c>
      <c r="F47" s="111" t="s">
        <v>69</v>
      </c>
      <c r="G47" s="127" t="s">
        <v>69</v>
      </c>
      <c r="H47" s="128" t="s">
        <v>69</v>
      </c>
      <c r="I47" s="113" t="s">
        <v>69</v>
      </c>
      <c r="J47" s="111" t="s">
        <v>69</v>
      </c>
      <c r="K47" s="127" t="s">
        <v>69</v>
      </c>
      <c r="L47" s="111" t="s">
        <v>69</v>
      </c>
      <c r="M47" s="111" t="s">
        <v>69</v>
      </c>
      <c r="N47" s="127" t="s">
        <v>69</v>
      </c>
      <c r="O47" s="127" t="s">
        <v>69</v>
      </c>
      <c r="P47" s="127" t="s">
        <v>69</v>
      </c>
      <c r="Q47" s="127" t="s">
        <v>69</v>
      </c>
      <c r="R47" s="127" t="s">
        <v>69</v>
      </c>
      <c r="S47" s="127" t="s">
        <v>69</v>
      </c>
      <c r="T47" s="127" t="s">
        <v>69</v>
      </c>
      <c r="U47" s="128" t="s">
        <v>69</v>
      </c>
      <c r="V47" s="129" t="s">
        <v>69</v>
      </c>
      <c r="W47" s="129"/>
      <c r="X47" s="130"/>
      <c r="Y47" s="130"/>
      <c r="Z47" s="130"/>
      <c r="AA47" s="130"/>
      <c r="AB47" s="130"/>
      <c r="AC47" s="130"/>
      <c r="AD47" s="130"/>
      <c r="AE47" s="130"/>
      <c r="AF47" s="130"/>
      <c r="AG47" s="130"/>
      <c r="AH47" s="130"/>
      <c r="AI47" s="130"/>
      <c r="AJ47" s="130"/>
      <c r="AK47" s="130" t="s">
        <v>69</v>
      </c>
      <c r="AL47" s="130" t="s">
        <v>69</v>
      </c>
      <c r="AM47" s="130" t="s">
        <v>69</v>
      </c>
      <c r="AN47" s="130" t="s">
        <v>69</v>
      </c>
      <c r="AO47" s="130" t="s">
        <v>69</v>
      </c>
      <c r="AP47" s="130" t="s">
        <v>69</v>
      </c>
      <c r="AQ47" s="130" t="s">
        <v>69</v>
      </c>
      <c r="AR47" s="130" t="s">
        <v>69</v>
      </c>
      <c r="AS47" s="130" t="s">
        <v>69</v>
      </c>
      <c r="AT47" s="130" t="s">
        <v>69</v>
      </c>
      <c r="AU47" s="130" t="s">
        <v>69</v>
      </c>
      <c r="AV47" s="130" t="s">
        <v>69</v>
      </c>
      <c r="AW47" s="130" t="s">
        <v>69</v>
      </c>
      <c r="AX47" s="115"/>
      <c r="AY47" s="115"/>
    </row>
    <row r="48" spans="1:51" ht="17.25">
      <c r="A48" s="314"/>
      <c r="B48" s="111" t="s">
        <v>73</v>
      </c>
      <c r="C48" s="132" t="s">
        <v>101</v>
      </c>
      <c r="D48" s="133" t="s">
        <v>69</v>
      </c>
      <c r="E48" s="154" t="s">
        <v>69</v>
      </c>
      <c r="F48" s="131">
        <v>0</v>
      </c>
      <c r="G48" s="131">
        <v>0</v>
      </c>
      <c r="H48" s="131">
        <v>0</v>
      </c>
      <c r="I48" s="131">
        <v>0</v>
      </c>
      <c r="J48" s="131">
        <v>0</v>
      </c>
      <c r="K48" s="131">
        <v>0</v>
      </c>
      <c r="L48" s="131">
        <v>0</v>
      </c>
      <c r="M48" s="131">
        <v>0</v>
      </c>
      <c r="N48" s="131">
        <v>0</v>
      </c>
      <c r="O48" s="131">
        <v>0</v>
      </c>
      <c r="P48" s="131">
        <v>0</v>
      </c>
      <c r="Q48" s="131">
        <v>0</v>
      </c>
      <c r="R48" s="131">
        <v>0</v>
      </c>
      <c r="S48" s="131">
        <v>0</v>
      </c>
      <c r="T48" s="131">
        <v>0</v>
      </c>
      <c r="U48" s="131">
        <v>0</v>
      </c>
      <c r="V48" s="131">
        <v>0</v>
      </c>
      <c r="W48" s="131">
        <v>0</v>
      </c>
      <c r="X48" s="130"/>
      <c r="Y48" s="130"/>
      <c r="Z48" s="130"/>
      <c r="AA48" s="130"/>
      <c r="AB48" s="130"/>
      <c r="AC48" s="130"/>
      <c r="AD48" s="130"/>
      <c r="AE48" s="130"/>
      <c r="AF48" s="130"/>
      <c r="AG48" s="130"/>
      <c r="AH48" s="130"/>
      <c r="AI48" s="130"/>
      <c r="AJ48" s="130"/>
      <c r="AK48" s="130" t="s">
        <v>69</v>
      </c>
      <c r="AL48" s="130" t="s">
        <v>69</v>
      </c>
      <c r="AM48" s="130" t="s">
        <v>69</v>
      </c>
      <c r="AN48" s="130" t="s">
        <v>69</v>
      </c>
      <c r="AO48" s="130" t="s">
        <v>69</v>
      </c>
      <c r="AP48" s="130" t="s">
        <v>69</v>
      </c>
      <c r="AQ48" s="130" t="s">
        <v>69</v>
      </c>
      <c r="AR48" s="130" t="s">
        <v>69</v>
      </c>
      <c r="AS48" s="130" t="s">
        <v>69</v>
      </c>
      <c r="AT48" s="130" t="s">
        <v>69</v>
      </c>
      <c r="AU48" s="130" t="s">
        <v>69</v>
      </c>
      <c r="AV48" s="130" t="s">
        <v>69</v>
      </c>
      <c r="AW48" s="130" t="s">
        <v>69</v>
      </c>
      <c r="AX48" s="115"/>
      <c r="AY48" s="115"/>
    </row>
    <row r="49" spans="1:51" ht="17.25">
      <c r="A49" s="314"/>
      <c r="B49" s="111" t="s">
        <v>75</v>
      </c>
      <c r="C49" s="316" t="s">
        <v>102</v>
      </c>
      <c r="D49" s="316"/>
      <c r="E49" s="156" t="s">
        <v>69</v>
      </c>
      <c r="F49" s="131">
        <v>0</v>
      </c>
      <c r="G49" s="131">
        <v>0</v>
      </c>
      <c r="H49" s="131">
        <v>0</v>
      </c>
      <c r="I49" s="131">
        <v>0</v>
      </c>
      <c r="J49" s="131">
        <v>0</v>
      </c>
      <c r="K49" s="131">
        <v>0</v>
      </c>
      <c r="L49" s="131">
        <v>0</v>
      </c>
      <c r="M49" s="131">
        <v>0</v>
      </c>
      <c r="N49" s="131">
        <v>0</v>
      </c>
      <c r="O49" s="131">
        <v>0</v>
      </c>
      <c r="P49" s="131">
        <v>0</v>
      </c>
      <c r="Q49" s="131">
        <v>0</v>
      </c>
      <c r="R49" s="131">
        <v>0</v>
      </c>
      <c r="S49" s="131">
        <v>0</v>
      </c>
      <c r="T49" s="131">
        <v>0</v>
      </c>
      <c r="U49" s="131">
        <v>0</v>
      </c>
      <c r="V49" s="131">
        <v>0</v>
      </c>
      <c r="W49" s="131">
        <v>0</v>
      </c>
      <c r="X49" s="130"/>
      <c r="Y49" s="130"/>
      <c r="Z49" s="130"/>
      <c r="AA49" s="130"/>
      <c r="AB49" s="130"/>
      <c r="AC49" s="130"/>
      <c r="AD49" s="130"/>
      <c r="AE49" s="130"/>
      <c r="AF49" s="130"/>
      <c r="AG49" s="130"/>
      <c r="AH49" s="130"/>
      <c r="AI49" s="130"/>
      <c r="AJ49" s="130"/>
      <c r="AK49" s="130" t="s">
        <v>69</v>
      </c>
      <c r="AL49" s="130" t="s">
        <v>69</v>
      </c>
      <c r="AM49" s="130" t="s">
        <v>69</v>
      </c>
      <c r="AN49" s="130" t="s">
        <v>69</v>
      </c>
      <c r="AO49" s="130" t="s">
        <v>69</v>
      </c>
      <c r="AP49" s="130" t="s">
        <v>69</v>
      </c>
      <c r="AQ49" s="130" t="s">
        <v>69</v>
      </c>
      <c r="AR49" s="130" t="s">
        <v>69</v>
      </c>
      <c r="AS49" s="130" t="s">
        <v>69</v>
      </c>
      <c r="AT49" s="130" t="s">
        <v>69</v>
      </c>
      <c r="AU49" s="130" t="s">
        <v>69</v>
      </c>
      <c r="AV49" s="130" t="s">
        <v>69</v>
      </c>
      <c r="AW49" s="130" t="s">
        <v>69</v>
      </c>
      <c r="AX49" s="115"/>
      <c r="AY49" s="115"/>
    </row>
    <row r="50" spans="1:51">
      <c r="A50" s="314"/>
      <c r="B50" s="111" t="s">
        <v>77</v>
      </c>
      <c r="C50" s="316" t="s">
        <v>103</v>
      </c>
      <c r="D50" s="316"/>
      <c r="E50" s="156" t="s">
        <v>69</v>
      </c>
      <c r="F50" s="131">
        <v>0</v>
      </c>
      <c r="G50" s="131">
        <v>0</v>
      </c>
      <c r="H50" s="131">
        <v>0</v>
      </c>
      <c r="I50" s="131">
        <v>0</v>
      </c>
      <c r="J50" s="131">
        <v>0</v>
      </c>
      <c r="K50" s="131">
        <v>0</v>
      </c>
      <c r="L50" s="131">
        <v>0</v>
      </c>
      <c r="M50" s="131">
        <v>0</v>
      </c>
      <c r="N50" s="131">
        <v>0</v>
      </c>
      <c r="O50" s="131">
        <v>0</v>
      </c>
      <c r="P50" s="131">
        <v>0</v>
      </c>
      <c r="Q50" s="131">
        <v>0</v>
      </c>
      <c r="R50" s="131">
        <v>0</v>
      </c>
      <c r="S50" s="131">
        <v>0</v>
      </c>
      <c r="T50" s="131">
        <v>0</v>
      </c>
      <c r="U50" s="131">
        <v>0</v>
      </c>
      <c r="V50" s="131">
        <v>0</v>
      </c>
      <c r="W50" s="131">
        <v>0</v>
      </c>
      <c r="X50" s="114"/>
      <c r="Y50" s="114"/>
      <c r="Z50" s="114"/>
      <c r="AA50" s="114"/>
      <c r="AB50" s="114"/>
      <c r="AC50" s="114"/>
      <c r="AD50" s="114"/>
      <c r="AE50" s="114"/>
      <c r="AF50" s="114"/>
      <c r="AG50" s="114"/>
      <c r="AH50" s="114"/>
      <c r="AI50" s="114"/>
      <c r="AJ50" s="114"/>
      <c r="AK50" s="114"/>
      <c r="AL50" s="114"/>
      <c r="AM50" s="114"/>
      <c r="AN50" s="114"/>
      <c r="AO50" s="114"/>
      <c r="AP50" s="114"/>
      <c r="AQ50" s="114"/>
      <c r="AR50" s="114"/>
      <c r="AS50" s="114"/>
      <c r="AT50" s="114"/>
      <c r="AU50" s="114"/>
      <c r="AV50" s="114"/>
      <c r="AW50" s="114"/>
      <c r="AX50" s="115"/>
      <c r="AY50" s="115"/>
    </row>
    <row r="51" spans="1:51">
      <c r="A51" s="314"/>
      <c r="B51" s="134" t="s">
        <v>84</v>
      </c>
      <c r="C51" s="324" t="s">
        <v>104</v>
      </c>
      <c r="D51" s="324"/>
      <c r="E51" s="157" t="s">
        <v>69</v>
      </c>
      <c r="F51" s="131">
        <v>0</v>
      </c>
      <c r="G51" s="131">
        <v>0</v>
      </c>
      <c r="H51" s="131">
        <v>0</v>
      </c>
      <c r="I51" s="131">
        <v>0</v>
      </c>
      <c r="J51" s="131">
        <v>0</v>
      </c>
      <c r="K51" s="131">
        <v>0</v>
      </c>
      <c r="L51" s="131">
        <v>0</v>
      </c>
      <c r="M51" s="131">
        <v>0</v>
      </c>
      <c r="N51" s="131">
        <v>0</v>
      </c>
      <c r="O51" s="131">
        <v>0</v>
      </c>
      <c r="P51" s="131">
        <v>0</v>
      </c>
      <c r="Q51" s="131">
        <v>0</v>
      </c>
      <c r="R51" s="131">
        <v>0</v>
      </c>
      <c r="S51" s="131">
        <v>0</v>
      </c>
      <c r="T51" s="131">
        <v>0</v>
      </c>
      <c r="U51" s="131">
        <v>0</v>
      </c>
      <c r="V51" s="131">
        <v>0</v>
      </c>
      <c r="W51" s="131">
        <v>0</v>
      </c>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5"/>
      <c r="AY51" s="115"/>
    </row>
    <row r="52" spans="1:51" ht="33.75" customHeight="1">
      <c r="A52" s="325">
        <v>6</v>
      </c>
      <c r="B52" s="326" t="s">
        <v>105</v>
      </c>
      <c r="C52" s="326"/>
      <c r="D52" s="327"/>
      <c r="E52" s="136" t="s">
        <v>106</v>
      </c>
      <c r="F52" s="134" t="s">
        <v>69</v>
      </c>
      <c r="G52" s="134" t="s">
        <v>69</v>
      </c>
      <c r="H52" s="134" t="s">
        <v>69</v>
      </c>
      <c r="I52" s="134" t="s">
        <v>69</v>
      </c>
      <c r="J52" s="134" t="s">
        <v>69</v>
      </c>
      <c r="K52" s="134" t="s">
        <v>69</v>
      </c>
      <c r="L52" s="134" t="s">
        <v>69</v>
      </c>
      <c r="M52" s="134" t="s">
        <v>69</v>
      </c>
      <c r="N52" s="134" t="s">
        <v>69</v>
      </c>
      <c r="O52" s="134" t="s">
        <v>69</v>
      </c>
      <c r="P52" s="134" t="s">
        <v>69</v>
      </c>
      <c r="Q52" s="134" t="s">
        <v>69</v>
      </c>
      <c r="R52" s="134" t="s">
        <v>69</v>
      </c>
      <c r="S52" s="134" t="s">
        <v>69</v>
      </c>
      <c r="T52" s="134" t="s">
        <v>69</v>
      </c>
      <c r="U52" s="114" t="s">
        <v>69</v>
      </c>
      <c r="V52" s="119"/>
      <c r="W52" s="119"/>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5"/>
      <c r="AY52" s="115"/>
    </row>
    <row r="53" spans="1:51">
      <c r="A53" s="325"/>
      <c r="B53" s="137" t="s">
        <v>70</v>
      </c>
      <c r="C53" s="328" t="s">
        <v>79</v>
      </c>
      <c r="D53" s="329"/>
      <c r="E53" s="330" t="s">
        <v>107</v>
      </c>
      <c r="F53" s="138" t="s">
        <v>38</v>
      </c>
      <c r="G53" s="138" t="s">
        <v>38</v>
      </c>
      <c r="H53" s="138" t="s">
        <v>38</v>
      </c>
      <c r="I53" s="138" t="s">
        <v>38</v>
      </c>
      <c r="J53" s="138" t="s">
        <v>38</v>
      </c>
      <c r="K53" s="138" t="s">
        <v>38</v>
      </c>
      <c r="L53" s="138" t="s">
        <v>38</v>
      </c>
      <c r="M53" s="138" t="s">
        <v>38</v>
      </c>
      <c r="N53" s="138" t="s">
        <v>38</v>
      </c>
      <c r="O53" s="138" t="s">
        <v>38</v>
      </c>
      <c r="P53" s="138" t="s">
        <v>38</v>
      </c>
      <c r="Q53" s="138" t="s">
        <v>38</v>
      </c>
      <c r="R53" s="138" t="s">
        <v>38</v>
      </c>
      <c r="S53" s="138" t="s">
        <v>38</v>
      </c>
      <c r="T53" s="138" t="s">
        <v>38</v>
      </c>
      <c r="U53" s="138" t="s">
        <v>38</v>
      </c>
      <c r="V53" s="138" t="s">
        <v>38</v>
      </c>
      <c r="W53" s="138" t="s">
        <v>38</v>
      </c>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5"/>
      <c r="AY53" s="115"/>
    </row>
    <row r="54" spans="1:51">
      <c r="A54" s="325"/>
      <c r="B54" s="137" t="s">
        <v>73</v>
      </c>
      <c r="C54" s="328" t="s">
        <v>80</v>
      </c>
      <c r="D54" s="329"/>
      <c r="E54" s="330"/>
      <c r="F54" s="138" t="s">
        <v>38</v>
      </c>
      <c r="G54" s="138" t="s">
        <v>38</v>
      </c>
      <c r="H54" s="138" t="s">
        <v>38</v>
      </c>
      <c r="I54" s="138" t="s">
        <v>38</v>
      </c>
      <c r="J54" s="138" t="s">
        <v>38</v>
      </c>
      <c r="K54" s="138" t="s">
        <v>38</v>
      </c>
      <c r="L54" s="138" t="s">
        <v>38</v>
      </c>
      <c r="M54" s="138" t="s">
        <v>38</v>
      </c>
      <c r="N54" s="138" t="s">
        <v>38</v>
      </c>
      <c r="O54" s="138" t="s">
        <v>38</v>
      </c>
      <c r="P54" s="138" t="s">
        <v>38</v>
      </c>
      <c r="Q54" s="138" t="s">
        <v>38</v>
      </c>
      <c r="R54" s="138" t="s">
        <v>38</v>
      </c>
      <c r="S54" s="138" t="s">
        <v>38</v>
      </c>
      <c r="T54" s="138" t="s">
        <v>38</v>
      </c>
      <c r="U54" s="138" t="s">
        <v>38</v>
      </c>
      <c r="V54" s="138" t="s">
        <v>38</v>
      </c>
      <c r="W54" s="138" t="s">
        <v>38</v>
      </c>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5"/>
      <c r="AY54" s="115"/>
    </row>
    <row r="55" spans="1:51">
      <c r="A55" s="325"/>
      <c r="B55" s="137" t="s">
        <v>75</v>
      </c>
      <c r="C55" s="328" t="s">
        <v>82</v>
      </c>
      <c r="D55" s="329"/>
      <c r="E55" s="330"/>
      <c r="F55" s="138" t="s">
        <v>38</v>
      </c>
      <c r="G55" s="138" t="s">
        <v>38</v>
      </c>
      <c r="H55" s="138" t="s">
        <v>38</v>
      </c>
      <c r="I55" s="138" t="s">
        <v>38</v>
      </c>
      <c r="J55" s="138" t="s">
        <v>38</v>
      </c>
      <c r="K55" s="138" t="s">
        <v>38</v>
      </c>
      <c r="L55" s="138" t="s">
        <v>38</v>
      </c>
      <c r="M55" s="138" t="s">
        <v>38</v>
      </c>
      <c r="N55" s="138" t="s">
        <v>38</v>
      </c>
      <c r="O55" s="138" t="s">
        <v>38</v>
      </c>
      <c r="P55" s="138" t="s">
        <v>38</v>
      </c>
      <c r="Q55" s="138" t="s">
        <v>38</v>
      </c>
      <c r="R55" s="138" t="s">
        <v>38</v>
      </c>
      <c r="S55" s="138" t="s">
        <v>38</v>
      </c>
      <c r="T55" s="138" t="s">
        <v>38</v>
      </c>
      <c r="U55" s="138" t="s">
        <v>38</v>
      </c>
      <c r="V55" s="138" t="s">
        <v>38</v>
      </c>
      <c r="W55" s="138" t="s">
        <v>38</v>
      </c>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5"/>
      <c r="AY55" s="115"/>
    </row>
    <row r="56" spans="1:51">
      <c r="A56" s="325"/>
      <c r="B56" s="137" t="s">
        <v>77</v>
      </c>
      <c r="C56" s="328" t="s">
        <v>83</v>
      </c>
      <c r="D56" s="329"/>
      <c r="E56" s="330"/>
      <c r="F56" s="138" t="s">
        <v>38</v>
      </c>
      <c r="G56" s="138" t="s">
        <v>38</v>
      </c>
      <c r="H56" s="138" t="s">
        <v>38</v>
      </c>
      <c r="I56" s="138" t="s">
        <v>38</v>
      </c>
      <c r="J56" s="138" t="s">
        <v>38</v>
      </c>
      <c r="K56" s="138" t="s">
        <v>38</v>
      </c>
      <c r="L56" s="138" t="s">
        <v>38</v>
      </c>
      <c r="M56" s="138" t="s">
        <v>38</v>
      </c>
      <c r="N56" s="138" t="s">
        <v>38</v>
      </c>
      <c r="O56" s="138" t="s">
        <v>38</v>
      </c>
      <c r="P56" s="138" t="s">
        <v>38</v>
      </c>
      <c r="Q56" s="138" t="s">
        <v>38</v>
      </c>
      <c r="R56" s="138" t="s">
        <v>38</v>
      </c>
      <c r="S56" s="138" t="s">
        <v>38</v>
      </c>
      <c r="T56" s="138" t="s">
        <v>38</v>
      </c>
      <c r="U56" s="138" t="s">
        <v>38</v>
      </c>
      <c r="V56" s="138" t="s">
        <v>38</v>
      </c>
      <c r="W56" s="138" t="s">
        <v>38</v>
      </c>
      <c r="X56" s="114"/>
      <c r="Y56" s="114"/>
      <c r="Z56" s="114"/>
      <c r="AA56" s="114"/>
      <c r="AB56" s="114"/>
      <c r="AC56" s="114"/>
      <c r="AD56" s="114"/>
      <c r="AE56" s="114"/>
      <c r="AF56" s="114"/>
      <c r="AG56" s="114"/>
      <c r="AH56" s="114"/>
      <c r="AI56" s="114"/>
      <c r="AJ56" s="114"/>
      <c r="AK56" s="114"/>
      <c r="AL56" s="114"/>
      <c r="AM56" s="114"/>
      <c r="AN56" s="114"/>
      <c r="AO56" s="114"/>
      <c r="AP56" s="114"/>
      <c r="AQ56" s="114"/>
      <c r="AR56" s="114"/>
      <c r="AS56" s="114"/>
      <c r="AT56" s="114"/>
      <c r="AU56" s="114"/>
      <c r="AV56" s="114"/>
      <c r="AW56" s="114"/>
      <c r="AX56" s="115"/>
      <c r="AY56" s="115"/>
    </row>
    <row r="57" spans="1:51">
      <c r="A57" s="325"/>
      <c r="B57" s="137" t="s">
        <v>84</v>
      </c>
      <c r="C57" s="328" t="s">
        <v>85</v>
      </c>
      <c r="D57" s="329"/>
      <c r="E57" s="330"/>
      <c r="F57" s="138" t="s">
        <v>38</v>
      </c>
      <c r="G57" s="138" t="s">
        <v>38</v>
      </c>
      <c r="H57" s="138" t="s">
        <v>38</v>
      </c>
      <c r="I57" s="138" t="s">
        <v>38</v>
      </c>
      <c r="J57" s="138" t="s">
        <v>38</v>
      </c>
      <c r="K57" s="138" t="s">
        <v>38</v>
      </c>
      <c r="L57" s="138" t="s">
        <v>38</v>
      </c>
      <c r="M57" s="138" t="s">
        <v>38</v>
      </c>
      <c r="N57" s="138" t="s">
        <v>38</v>
      </c>
      <c r="O57" s="138" t="s">
        <v>38</v>
      </c>
      <c r="P57" s="138" t="s">
        <v>38</v>
      </c>
      <c r="Q57" s="138" t="s">
        <v>38</v>
      </c>
      <c r="R57" s="138" t="s">
        <v>38</v>
      </c>
      <c r="S57" s="138" t="s">
        <v>38</v>
      </c>
      <c r="T57" s="138" t="s">
        <v>38</v>
      </c>
      <c r="U57" s="138" t="s">
        <v>38</v>
      </c>
      <c r="V57" s="138" t="s">
        <v>38</v>
      </c>
      <c r="W57" s="138" t="s">
        <v>38</v>
      </c>
      <c r="X57" s="114"/>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c r="AV57" s="114"/>
      <c r="AW57" s="114"/>
      <c r="AX57" s="115"/>
      <c r="AY57" s="115"/>
    </row>
    <row r="58" spans="1:51">
      <c r="A58" s="325"/>
      <c r="B58" s="137" t="s">
        <v>86</v>
      </c>
      <c r="C58" s="328" t="s">
        <v>87</v>
      </c>
      <c r="D58" s="329"/>
      <c r="E58" s="330"/>
      <c r="F58" s="138" t="s">
        <v>38</v>
      </c>
      <c r="G58" s="138" t="s">
        <v>38</v>
      </c>
      <c r="H58" s="138" t="s">
        <v>38</v>
      </c>
      <c r="I58" s="138" t="s">
        <v>38</v>
      </c>
      <c r="J58" s="138" t="s">
        <v>38</v>
      </c>
      <c r="K58" s="138" t="s">
        <v>38</v>
      </c>
      <c r="L58" s="138" t="s">
        <v>38</v>
      </c>
      <c r="M58" s="138" t="s">
        <v>38</v>
      </c>
      <c r="N58" s="138" t="s">
        <v>38</v>
      </c>
      <c r="O58" s="138" t="s">
        <v>38</v>
      </c>
      <c r="P58" s="138" t="s">
        <v>38</v>
      </c>
      <c r="Q58" s="138" t="s">
        <v>38</v>
      </c>
      <c r="R58" s="138" t="s">
        <v>38</v>
      </c>
      <c r="S58" s="138" t="s">
        <v>38</v>
      </c>
      <c r="T58" s="138" t="s">
        <v>38</v>
      </c>
      <c r="U58" s="138" t="s">
        <v>38</v>
      </c>
      <c r="V58" s="138" t="s">
        <v>38</v>
      </c>
      <c r="W58" s="138" t="s">
        <v>38</v>
      </c>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5"/>
      <c r="AY58" s="115"/>
    </row>
    <row r="59" spans="1:51">
      <c r="A59" s="325"/>
      <c r="B59" s="137" t="s">
        <v>89</v>
      </c>
      <c r="C59" s="328" t="s">
        <v>90</v>
      </c>
      <c r="D59" s="329"/>
      <c r="E59" s="330"/>
      <c r="F59" s="138" t="s">
        <v>38</v>
      </c>
      <c r="G59" s="138" t="s">
        <v>38</v>
      </c>
      <c r="H59" s="138" t="s">
        <v>38</v>
      </c>
      <c r="I59" s="138" t="s">
        <v>38</v>
      </c>
      <c r="J59" s="138" t="s">
        <v>38</v>
      </c>
      <c r="K59" s="138" t="s">
        <v>38</v>
      </c>
      <c r="L59" s="138" t="s">
        <v>38</v>
      </c>
      <c r="M59" s="138" t="s">
        <v>38</v>
      </c>
      <c r="N59" s="138" t="s">
        <v>38</v>
      </c>
      <c r="O59" s="138" t="s">
        <v>38</v>
      </c>
      <c r="P59" s="138" t="s">
        <v>38</v>
      </c>
      <c r="Q59" s="138" t="s">
        <v>38</v>
      </c>
      <c r="R59" s="138" t="s">
        <v>38</v>
      </c>
      <c r="S59" s="138" t="s">
        <v>38</v>
      </c>
      <c r="T59" s="138" t="s">
        <v>38</v>
      </c>
      <c r="U59" s="138" t="s">
        <v>38</v>
      </c>
      <c r="V59" s="138" t="s">
        <v>38</v>
      </c>
      <c r="W59" s="138" t="s">
        <v>38</v>
      </c>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5"/>
      <c r="AY59" s="115"/>
    </row>
    <row r="60" spans="1:51">
      <c r="A60" s="325"/>
      <c r="B60" s="137" t="s">
        <v>91</v>
      </c>
      <c r="C60" s="328" t="s">
        <v>92</v>
      </c>
      <c r="D60" s="332"/>
      <c r="E60" s="330"/>
      <c r="F60" s="138" t="s">
        <v>38</v>
      </c>
      <c r="G60" s="138" t="s">
        <v>38</v>
      </c>
      <c r="H60" s="138" t="s">
        <v>38</v>
      </c>
      <c r="I60" s="138" t="s">
        <v>38</v>
      </c>
      <c r="J60" s="138" t="s">
        <v>38</v>
      </c>
      <c r="K60" s="138" t="s">
        <v>38</v>
      </c>
      <c r="L60" s="138" t="s">
        <v>38</v>
      </c>
      <c r="M60" s="138" t="s">
        <v>38</v>
      </c>
      <c r="N60" s="138" t="s">
        <v>38</v>
      </c>
      <c r="O60" s="138" t="s">
        <v>38</v>
      </c>
      <c r="P60" s="138" t="s">
        <v>38</v>
      </c>
      <c r="Q60" s="138" t="s">
        <v>38</v>
      </c>
      <c r="R60" s="138" t="s">
        <v>38</v>
      </c>
      <c r="S60" s="138" t="s">
        <v>38</v>
      </c>
      <c r="T60" s="138" t="s">
        <v>38</v>
      </c>
      <c r="U60" s="138" t="s">
        <v>38</v>
      </c>
      <c r="V60" s="138" t="s">
        <v>38</v>
      </c>
      <c r="W60" s="138" t="s">
        <v>38</v>
      </c>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5"/>
      <c r="AY60" s="115"/>
    </row>
    <row r="61" spans="1:51">
      <c r="A61" s="325"/>
      <c r="B61" s="137" t="s">
        <v>93</v>
      </c>
      <c r="C61" s="328" t="s">
        <v>94</v>
      </c>
      <c r="D61" s="332"/>
      <c r="E61" s="331"/>
      <c r="F61" s="138" t="s">
        <v>38</v>
      </c>
      <c r="G61" s="138" t="s">
        <v>38</v>
      </c>
      <c r="H61" s="138" t="s">
        <v>38</v>
      </c>
      <c r="I61" s="138" t="s">
        <v>38</v>
      </c>
      <c r="J61" s="138" t="s">
        <v>38</v>
      </c>
      <c r="K61" s="138" t="s">
        <v>38</v>
      </c>
      <c r="L61" s="138" t="s">
        <v>38</v>
      </c>
      <c r="M61" s="138" t="s">
        <v>38</v>
      </c>
      <c r="N61" s="138" t="s">
        <v>38</v>
      </c>
      <c r="O61" s="138" t="s">
        <v>38</v>
      </c>
      <c r="P61" s="138" t="s">
        <v>38</v>
      </c>
      <c r="Q61" s="138" t="s">
        <v>38</v>
      </c>
      <c r="R61" s="138" t="s">
        <v>38</v>
      </c>
      <c r="S61" s="138" t="s">
        <v>38</v>
      </c>
      <c r="T61" s="138" t="s">
        <v>38</v>
      </c>
      <c r="U61" s="138" t="s">
        <v>38</v>
      </c>
      <c r="V61" s="138" t="s">
        <v>38</v>
      </c>
      <c r="W61" s="138" t="s">
        <v>38</v>
      </c>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4"/>
      <c r="AX61" s="115"/>
      <c r="AY61" s="115"/>
    </row>
  </sheetData>
  <mergeCells count="30">
    <mergeCell ref="A52:A61"/>
    <mergeCell ref="B52:D52"/>
    <mergeCell ref="C53:D53"/>
    <mergeCell ref="E53:E61"/>
    <mergeCell ref="C54:D54"/>
    <mergeCell ref="C55:D55"/>
    <mergeCell ref="C56:D56"/>
    <mergeCell ref="C57:D57"/>
    <mergeCell ref="C58:D58"/>
    <mergeCell ref="C59:D59"/>
    <mergeCell ref="C60:D60"/>
    <mergeCell ref="C61:D61"/>
    <mergeCell ref="A4:A8"/>
    <mergeCell ref="A9:A45"/>
    <mergeCell ref="B9:D9"/>
    <mergeCell ref="A46:A51"/>
    <mergeCell ref="C47:D47"/>
    <mergeCell ref="C49:D49"/>
    <mergeCell ref="C50:D50"/>
    <mergeCell ref="B46:D46"/>
    <mergeCell ref="C5:D5"/>
    <mergeCell ref="C6:D6"/>
    <mergeCell ref="C7:D7"/>
    <mergeCell ref="C8:D8"/>
    <mergeCell ref="C51:D51"/>
    <mergeCell ref="B1:D1"/>
    <mergeCell ref="B2:D2"/>
    <mergeCell ref="B3:D3"/>
    <mergeCell ref="B4:D4"/>
    <mergeCell ref="E4:E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445C0-5E71-4CE4-BEDC-A3F21AFF4430}">
  <sheetPr>
    <tabColor theme="3" tint="0.89999084444715716"/>
  </sheetPr>
  <dimension ref="A1:AC27"/>
  <sheetViews>
    <sheetView workbookViewId="0">
      <selection activeCell="W2" sqref="W2"/>
    </sheetView>
  </sheetViews>
  <sheetFormatPr defaultRowHeight="16.5"/>
  <cols>
    <col min="4" max="4" width="22.25" customWidth="1"/>
    <col min="5" max="5" width="26.75" customWidth="1"/>
  </cols>
  <sheetData>
    <row r="1" spans="1:29">
      <c r="A1" s="67" t="s">
        <v>3</v>
      </c>
      <c r="B1" s="459" t="s">
        <v>60</v>
      </c>
      <c r="C1" s="460"/>
      <c r="D1" s="461"/>
      <c r="E1" s="68" t="s">
        <v>61</v>
      </c>
      <c r="F1" s="69">
        <v>45658</v>
      </c>
      <c r="G1" s="69">
        <v>45689</v>
      </c>
      <c r="H1" s="69">
        <v>45717</v>
      </c>
      <c r="I1" s="69">
        <v>45748</v>
      </c>
      <c r="J1" s="69">
        <v>45778</v>
      </c>
      <c r="K1" s="69">
        <v>45809</v>
      </c>
      <c r="L1" s="69">
        <v>45839</v>
      </c>
      <c r="M1" s="69">
        <v>45870</v>
      </c>
      <c r="N1" s="69">
        <v>45901</v>
      </c>
      <c r="O1" s="69">
        <v>45931</v>
      </c>
      <c r="P1" s="69">
        <v>45962</v>
      </c>
      <c r="Q1" s="69">
        <v>45992</v>
      </c>
      <c r="R1" s="69">
        <v>46023</v>
      </c>
      <c r="S1" s="69">
        <v>46054</v>
      </c>
      <c r="T1" s="69">
        <v>46082</v>
      </c>
      <c r="U1" s="70">
        <v>46113</v>
      </c>
      <c r="V1" s="67" t="s">
        <v>62</v>
      </c>
      <c r="W1" s="78" t="s">
        <v>191</v>
      </c>
      <c r="X1" s="64"/>
      <c r="Y1" s="53"/>
      <c r="Z1" s="53"/>
      <c r="AA1" s="53"/>
      <c r="AB1" s="53"/>
      <c r="AC1" s="54"/>
    </row>
    <row r="2" spans="1:29" ht="24">
      <c r="A2" s="71">
        <v>1</v>
      </c>
      <c r="B2" s="462" t="s">
        <v>64</v>
      </c>
      <c r="C2" s="463"/>
      <c r="D2" s="464"/>
      <c r="E2" s="73" t="s">
        <v>65</v>
      </c>
      <c r="F2" s="63" t="s">
        <v>38</v>
      </c>
      <c r="G2" s="63" t="s">
        <v>38</v>
      </c>
      <c r="H2" s="63" t="s">
        <v>38</v>
      </c>
      <c r="I2" s="63" t="s">
        <v>38</v>
      </c>
      <c r="J2" s="63" t="s">
        <v>38</v>
      </c>
      <c r="K2" s="63" t="s">
        <v>38</v>
      </c>
      <c r="L2" s="63" t="s">
        <v>38</v>
      </c>
      <c r="M2" s="63" t="s">
        <v>38</v>
      </c>
      <c r="N2" s="63" t="s">
        <v>38</v>
      </c>
      <c r="O2" s="63" t="s">
        <v>38</v>
      </c>
      <c r="P2" s="63" t="s">
        <v>38</v>
      </c>
      <c r="Q2" s="63" t="s">
        <v>38</v>
      </c>
      <c r="R2" s="63" t="s">
        <v>38</v>
      </c>
      <c r="S2" s="63" t="s">
        <v>38</v>
      </c>
      <c r="T2" s="63" t="s">
        <v>38</v>
      </c>
      <c r="U2" s="72" t="s">
        <v>38</v>
      </c>
      <c r="V2" s="72" t="s">
        <v>38</v>
      </c>
      <c r="W2" s="74" t="s">
        <v>38</v>
      </c>
      <c r="X2" s="65"/>
      <c r="Y2" s="56"/>
      <c r="Z2" s="56"/>
      <c r="AA2" s="56"/>
      <c r="AB2" s="56"/>
      <c r="AC2" s="57"/>
    </row>
    <row r="3" spans="1:29" ht="24">
      <c r="A3" s="71">
        <v>2</v>
      </c>
      <c r="B3" s="462" t="s">
        <v>66</v>
      </c>
      <c r="C3" s="463"/>
      <c r="D3" s="464"/>
      <c r="E3" s="73" t="s">
        <v>155</v>
      </c>
      <c r="F3" s="63" t="s">
        <v>38</v>
      </c>
      <c r="G3" s="63" t="s">
        <v>38</v>
      </c>
      <c r="H3" s="63" t="s">
        <v>38</v>
      </c>
      <c r="I3" s="63">
        <v>33</v>
      </c>
      <c r="J3" s="63">
        <v>46</v>
      </c>
      <c r="K3" s="63"/>
      <c r="L3" s="63"/>
      <c r="M3" s="63"/>
      <c r="N3" s="63"/>
      <c r="O3" s="63"/>
      <c r="P3" s="63"/>
      <c r="Q3" s="63"/>
      <c r="R3" s="63"/>
      <c r="S3" s="63"/>
      <c r="T3" s="63"/>
      <c r="U3" s="72"/>
      <c r="V3" s="74"/>
      <c r="W3" s="76"/>
      <c r="X3" s="65"/>
      <c r="Y3" s="56"/>
      <c r="Z3" s="56"/>
      <c r="AA3" s="56"/>
      <c r="AB3" s="56"/>
      <c r="AC3" s="57"/>
    </row>
    <row r="4" spans="1:29" ht="16.5" customHeight="1">
      <c r="A4" s="465">
        <v>3</v>
      </c>
      <c r="B4" s="462" t="s">
        <v>68</v>
      </c>
      <c r="C4" s="463"/>
      <c r="D4" s="464"/>
      <c r="E4" s="475" t="s">
        <v>156</v>
      </c>
      <c r="F4" s="63"/>
      <c r="G4" s="63"/>
      <c r="H4" s="63"/>
      <c r="I4" s="63"/>
      <c r="J4" s="63"/>
      <c r="K4" s="63"/>
      <c r="L4" s="63"/>
      <c r="M4" s="63"/>
      <c r="N4" s="63"/>
      <c r="O4" s="63"/>
      <c r="P4" s="63"/>
      <c r="Q4" s="63"/>
      <c r="R4" s="63"/>
      <c r="S4" s="63"/>
      <c r="T4" s="63"/>
      <c r="U4" s="72"/>
      <c r="V4" s="74"/>
      <c r="W4" s="74"/>
      <c r="X4" s="65"/>
      <c r="Y4" s="56"/>
      <c r="Z4" s="56"/>
      <c r="AA4" s="56"/>
      <c r="AB4" s="56"/>
      <c r="AC4" s="57"/>
    </row>
    <row r="5" spans="1:29">
      <c r="A5" s="466"/>
      <c r="B5" s="63"/>
      <c r="C5" s="471" t="s">
        <v>186</v>
      </c>
      <c r="D5" s="472"/>
      <c r="E5" s="476"/>
      <c r="F5" s="63" t="s">
        <v>38</v>
      </c>
      <c r="G5" s="63" t="s">
        <v>38</v>
      </c>
      <c r="H5" s="63" t="s">
        <v>38</v>
      </c>
      <c r="I5" s="63">
        <v>27</v>
      </c>
      <c r="J5" s="63">
        <v>40</v>
      </c>
      <c r="K5" s="63"/>
      <c r="L5" s="63"/>
      <c r="M5" s="63"/>
      <c r="N5" s="63"/>
      <c r="O5" s="63"/>
      <c r="P5" s="63"/>
      <c r="Q5" s="63"/>
      <c r="R5" s="63"/>
      <c r="S5" s="63"/>
      <c r="T5" s="63"/>
      <c r="U5" s="72"/>
      <c r="V5" s="74"/>
      <c r="W5" s="74"/>
      <c r="X5" s="65"/>
      <c r="Y5" s="56"/>
      <c r="Z5" s="56"/>
      <c r="AA5" s="56"/>
      <c r="AB5" s="56"/>
      <c r="AC5" s="57"/>
    </row>
    <row r="6" spans="1:29">
      <c r="A6" s="466"/>
      <c r="B6" s="63"/>
      <c r="C6" s="471" t="s">
        <v>187</v>
      </c>
      <c r="D6" s="472"/>
      <c r="E6" s="476"/>
      <c r="F6" s="63" t="s">
        <v>38</v>
      </c>
      <c r="G6" s="63" t="s">
        <v>38</v>
      </c>
      <c r="H6" s="63" t="s">
        <v>38</v>
      </c>
      <c r="I6" s="63">
        <v>1</v>
      </c>
      <c r="J6" s="63">
        <v>3</v>
      </c>
      <c r="K6" s="63"/>
      <c r="L6" s="63"/>
      <c r="M6" s="63"/>
      <c r="N6" s="63"/>
      <c r="O6" s="63"/>
      <c r="P6" s="63"/>
      <c r="Q6" s="63"/>
      <c r="R6" s="63"/>
      <c r="S6" s="63"/>
      <c r="T6" s="63"/>
      <c r="U6" s="72"/>
      <c r="V6" s="74"/>
      <c r="W6" s="74"/>
      <c r="X6" s="65"/>
      <c r="Y6" s="56"/>
      <c r="Z6" s="56"/>
      <c r="AA6" s="56"/>
      <c r="AB6" s="56"/>
      <c r="AC6" s="57"/>
    </row>
    <row r="7" spans="1:29">
      <c r="A7" s="467"/>
      <c r="B7" s="63"/>
      <c r="C7" s="471" t="s">
        <v>188</v>
      </c>
      <c r="D7" s="472"/>
      <c r="E7" s="476"/>
      <c r="F7" s="63" t="s">
        <v>38</v>
      </c>
      <c r="G7" s="63" t="s">
        <v>38</v>
      </c>
      <c r="H7" s="63" t="s">
        <v>38</v>
      </c>
      <c r="I7" s="63">
        <v>5</v>
      </c>
      <c r="J7" s="63">
        <v>3</v>
      </c>
      <c r="K7" s="63"/>
      <c r="L7" s="63"/>
      <c r="M7" s="63"/>
      <c r="N7" s="63"/>
      <c r="O7" s="63"/>
      <c r="P7" s="63"/>
      <c r="Q7" s="63"/>
      <c r="R7" s="63"/>
      <c r="S7" s="63"/>
      <c r="T7" s="63"/>
      <c r="U7" s="72"/>
      <c r="V7" s="74"/>
      <c r="W7" s="74"/>
      <c r="X7" s="65"/>
      <c r="Y7" s="56"/>
      <c r="Z7" s="56"/>
      <c r="AA7" s="56"/>
      <c r="AB7" s="56"/>
      <c r="AC7" s="57"/>
    </row>
    <row r="8" spans="1:29">
      <c r="A8" s="75"/>
      <c r="B8" s="72"/>
      <c r="C8" s="473" t="s">
        <v>88</v>
      </c>
      <c r="D8" s="474"/>
      <c r="E8" s="477"/>
      <c r="F8" s="63"/>
      <c r="G8" s="63"/>
      <c r="H8" s="63"/>
      <c r="I8" s="63"/>
      <c r="J8" s="63"/>
      <c r="K8" s="63"/>
      <c r="L8" s="63"/>
      <c r="M8" s="63"/>
      <c r="N8" s="63"/>
      <c r="O8" s="63"/>
      <c r="P8" s="63"/>
      <c r="Q8" s="63"/>
      <c r="R8" s="63"/>
      <c r="S8" s="63"/>
      <c r="T8" s="63"/>
      <c r="U8" s="72"/>
      <c r="V8" s="74"/>
      <c r="W8" s="74"/>
      <c r="X8" s="65"/>
      <c r="Y8" s="56"/>
      <c r="Z8" s="56"/>
      <c r="AA8" s="56"/>
      <c r="AB8" s="56"/>
      <c r="AC8" s="57"/>
    </row>
    <row r="9" spans="1:29">
      <c r="A9" s="465">
        <v>4</v>
      </c>
      <c r="B9" s="462" t="s">
        <v>78</v>
      </c>
      <c r="C9" s="463"/>
      <c r="D9" s="464"/>
      <c r="E9" s="468" t="s">
        <v>192</v>
      </c>
      <c r="F9" s="63"/>
      <c r="G9" s="63"/>
      <c r="H9" s="63"/>
      <c r="I9" s="63"/>
      <c r="J9" s="63"/>
      <c r="K9" s="63"/>
      <c r="L9" s="63"/>
      <c r="M9" s="63"/>
      <c r="N9" s="63"/>
      <c r="O9" s="63"/>
      <c r="P9" s="63"/>
      <c r="Q9" s="63"/>
      <c r="R9" s="63"/>
      <c r="S9" s="63"/>
      <c r="T9" s="63"/>
      <c r="U9" s="72"/>
      <c r="V9" s="74"/>
      <c r="W9" s="74"/>
      <c r="X9" s="65"/>
      <c r="Y9" s="56"/>
      <c r="Z9" s="56"/>
      <c r="AA9" s="56"/>
      <c r="AB9" s="56"/>
      <c r="AC9" s="57"/>
    </row>
    <row r="10" spans="1:29">
      <c r="A10" s="466"/>
      <c r="B10" s="63"/>
      <c r="C10" s="77" t="s">
        <v>82</v>
      </c>
      <c r="D10" s="63" t="s">
        <v>118</v>
      </c>
      <c r="E10" s="469"/>
      <c r="F10" s="63"/>
      <c r="G10" s="63"/>
      <c r="H10" s="63"/>
      <c r="I10" s="63"/>
      <c r="J10" s="63"/>
      <c r="K10" s="63"/>
      <c r="L10" s="63"/>
      <c r="M10" s="63"/>
      <c r="N10" s="63"/>
      <c r="O10" s="63"/>
      <c r="P10" s="63"/>
      <c r="Q10" s="63"/>
      <c r="R10" s="63"/>
      <c r="S10" s="63"/>
      <c r="T10" s="63"/>
      <c r="U10" s="72"/>
      <c r="V10" s="74"/>
      <c r="W10" s="74"/>
      <c r="X10" s="65"/>
      <c r="Y10" s="56"/>
      <c r="Z10" s="56"/>
      <c r="AA10" s="56"/>
      <c r="AB10" s="56"/>
      <c r="AC10" s="57"/>
    </row>
    <row r="11" spans="1:29">
      <c r="A11" s="466"/>
      <c r="B11" s="63"/>
      <c r="C11" s="63"/>
      <c r="D11" s="63" t="s">
        <v>76</v>
      </c>
      <c r="E11" s="469"/>
      <c r="F11" s="63"/>
      <c r="G11" s="63"/>
      <c r="H11" s="63"/>
      <c r="I11" s="63"/>
      <c r="J11" s="63"/>
      <c r="K11" s="63"/>
      <c r="L11" s="63"/>
      <c r="M11" s="63"/>
      <c r="N11" s="63"/>
      <c r="O11" s="63"/>
      <c r="P11" s="63"/>
      <c r="Q11" s="63"/>
      <c r="R11" s="63"/>
      <c r="S11" s="63"/>
      <c r="T11" s="63"/>
      <c r="U11" s="72"/>
      <c r="V11" s="74"/>
      <c r="W11" s="74"/>
      <c r="X11" s="65"/>
      <c r="Y11" s="56"/>
      <c r="Z11" s="56"/>
      <c r="AA11" s="56"/>
      <c r="AB11" s="56"/>
      <c r="AC11" s="57"/>
    </row>
    <row r="12" spans="1:29">
      <c r="A12" s="466"/>
      <c r="B12" s="63"/>
      <c r="C12" s="77" t="s">
        <v>193</v>
      </c>
      <c r="D12" s="63" t="s">
        <v>118</v>
      </c>
      <c r="E12" s="469"/>
      <c r="F12" s="63" t="s">
        <v>38</v>
      </c>
      <c r="G12" s="63" t="s">
        <v>38</v>
      </c>
      <c r="H12" s="63" t="s">
        <v>38</v>
      </c>
      <c r="I12" s="63">
        <v>6</v>
      </c>
      <c r="J12" s="63">
        <v>4</v>
      </c>
      <c r="K12" s="63"/>
      <c r="L12" s="63"/>
      <c r="M12" s="63"/>
      <c r="N12" s="63"/>
      <c r="O12" s="63"/>
      <c r="P12" s="63"/>
      <c r="Q12" s="63"/>
      <c r="R12" s="63"/>
      <c r="S12" s="63"/>
      <c r="T12" s="63"/>
      <c r="U12" s="72"/>
      <c r="V12" s="74"/>
      <c r="W12" s="74"/>
      <c r="X12" s="65"/>
      <c r="Y12" s="56"/>
      <c r="Z12" s="56"/>
      <c r="AA12" s="56"/>
      <c r="AB12" s="56"/>
      <c r="AC12" s="57"/>
    </row>
    <row r="13" spans="1:29">
      <c r="A13" s="466"/>
      <c r="B13" s="63"/>
      <c r="C13" s="63"/>
      <c r="D13" s="63" t="s">
        <v>76</v>
      </c>
      <c r="E13" s="469"/>
      <c r="F13" s="63" t="s">
        <v>38</v>
      </c>
      <c r="G13" s="63" t="s">
        <v>38</v>
      </c>
      <c r="H13" s="63" t="s">
        <v>38</v>
      </c>
      <c r="I13" s="63">
        <v>4</v>
      </c>
      <c r="J13" s="63">
        <v>2</v>
      </c>
      <c r="K13" s="63"/>
      <c r="L13" s="63"/>
      <c r="M13" s="63"/>
      <c r="N13" s="63"/>
      <c r="O13" s="63"/>
      <c r="P13" s="63"/>
      <c r="Q13" s="63"/>
      <c r="R13" s="63"/>
      <c r="S13" s="63"/>
      <c r="T13" s="63"/>
      <c r="U13" s="72"/>
      <c r="V13" s="74"/>
      <c r="W13" s="74"/>
      <c r="X13" s="65"/>
      <c r="Y13" s="56"/>
      <c r="Z13" s="56"/>
      <c r="AA13" s="56"/>
      <c r="AB13" s="56"/>
      <c r="AC13" s="57"/>
    </row>
    <row r="14" spans="1:29">
      <c r="A14" s="466"/>
      <c r="B14" s="63"/>
      <c r="C14" s="77" t="s">
        <v>194</v>
      </c>
      <c r="D14" s="63" t="s">
        <v>118</v>
      </c>
      <c r="E14" s="469"/>
      <c r="F14" s="63" t="s">
        <v>38</v>
      </c>
      <c r="G14" s="63" t="s">
        <v>38</v>
      </c>
      <c r="H14" s="63" t="s">
        <v>38</v>
      </c>
      <c r="I14" s="63">
        <v>22</v>
      </c>
      <c r="J14" s="63">
        <v>38</v>
      </c>
      <c r="K14" s="63"/>
      <c r="L14" s="63"/>
      <c r="M14" s="63"/>
      <c r="N14" s="63"/>
      <c r="O14" s="63"/>
      <c r="P14" s="63"/>
      <c r="Q14" s="63"/>
      <c r="R14" s="63"/>
      <c r="S14" s="63"/>
      <c r="T14" s="63"/>
      <c r="U14" s="72"/>
      <c r="V14" s="74"/>
      <c r="W14" s="74"/>
      <c r="X14" s="65"/>
      <c r="Y14" s="56"/>
      <c r="Z14" s="56"/>
      <c r="AA14" s="56"/>
      <c r="AB14" s="56"/>
      <c r="AC14" s="57"/>
    </row>
    <row r="15" spans="1:29">
      <c r="A15" s="466"/>
      <c r="B15" s="63"/>
      <c r="C15" s="63"/>
      <c r="D15" s="63" t="s">
        <v>76</v>
      </c>
      <c r="E15" s="469"/>
      <c r="F15" s="63" t="s">
        <v>38</v>
      </c>
      <c r="G15" s="63" t="s">
        <v>38</v>
      </c>
      <c r="H15" s="63" t="s">
        <v>38</v>
      </c>
      <c r="I15" s="63">
        <v>0</v>
      </c>
      <c r="J15" s="63">
        <v>1</v>
      </c>
      <c r="K15" s="63"/>
      <c r="L15" s="63"/>
      <c r="M15" s="63"/>
      <c r="N15" s="63"/>
      <c r="O15" s="63"/>
      <c r="P15" s="63"/>
      <c r="Q15" s="63"/>
      <c r="R15" s="63"/>
      <c r="S15" s="63"/>
      <c r="T15" s="63"/>
      <c r="U15" s="72"/>
      <c r="V15" s="74"/>
      <c r="W15" s="74"/>
      <c r="X15" s="65"/>
      <c r="Y15" s="56"/>
      <c r="Z15" s="56"/>
      <c r="AA15" s="56"/>
      <c r="AB15" s="56"/>
      <c r="AC15" s="57"/>
    </row>
    <row r="16" spans="1:29">
      <c r="A16" s="467"/>
      <c r="B16" s="63"/>
      <c r="C16" s="63" t="s">
        <v>104</v>
      </c>
      <c r="D16" s="63"/>
      <c r="E16" s="470"/>
      <c r="F16" s="63"/>
      <c r="G16" s="63"/>
      <c r="H16" s="63"/>
      <c r="I16" s="63"/>
      <c r="J16" s="63"/>
      <c r="K16" s="63"/>
      <c r="L16" s="63"/>
      <c r="M16" s="63"/>
      <c r="N16" s="63"/>
      <c r="O16" s="63"/>
      <c r="P16" s="63"/>
      <c r="Q16" s="63"/>
      <c r="R16" s="63"/>
      <c r="S16" s="63"/>
      <c r="T16" s="63"/>
      <c r="U16" s="72"/>
      <c r="V16" s="74"/>
      <c r="W16" s="74"/>
      <c r="X16" s="65"/>
      <c r="Y16" s="56"/>
      <c r="Z16" s="56"/>
      <c r="AA16" s="56"/>
      <c r="AB16" s="56"/>
      <c r="AC16" s="57"/>
    </row>
    <row r="17" spans="1:29">
      <c r="A17" s="465">
        <v>5</v>
      </c>
      <c r="B17" s="462" t="s">
        <v>161</v>
      </c>
      <c r="C17" s="463"/>
      <c r="D17" s="464"/>
      <c r="E17" s="468" t="s">
        <v>98</v>
      </c>
      <c r="F17" s="63"/>
      <c r="G17" s="63"/>
      <c r="H17" s="63"/>
      <c r="I17" s="63"/>
      <c r="J17" s="63"/>
      <c r="K17" s="63"/>
      <c r="L17" s="63"/>
      <c r="M17" s="63"/>
      <c r="N17" s="63"/>
      <c r="O17" s="63"/>
      <c r="P17" s="63"/>
      <c r="Q17" s="63"/>
      <c r="R17" s="63"/>
      <c r="S17" s="63"/>
      <c r="T17" s="63"/>
      <c r="U17" s="72"/>
      <c r="V17" s="74"/>
      <c r="W17" s="74"/>
      <c r="X17" s="65"/>
      <c r="Y17" s="56"/>
      <c r="Z17" s="56"/>
      <c r="AA17" s="56"/>
      <c r="AB17" s="56"/>
      <c r="AC17" s="57"/>
    </row>
    <row r="18" spans="1:29">
      <c r="A18" s="466"/>
      <c r="B18" s="63"/>
      <c r="C18" s="471" t="s">
        <v>162</v>
      </c>
      <c r="D18" s="472"/>
      <c r="E18" s="469"/>
      <c r="F18" s="63"/>
      <c r="G18" s="63"/>
      <c r="H18" s="63"/>
      <c r="I18" s="63"/>
      <c r="J18" s="63"/>
      <c r="K18" s="63"/>
      <c r="L18" s="63"/>
      <c r="M18" s="63"/>
      <c r="N18" s="63"/>
      <c r="O18" s="63"/>
      <c r="P18" s="63"/>
      <c r="Q18" s="63"/>
      <c r="R18" s="63"/>
      <c r="S18" s="63"/>
      <c r="T18" s="63"/>
      <c r="U18" s="72"/>
      <c r="V18" s="74"/>
      <c r="W18" s="74"/>
      <c r="X18" s="65"/>
      <c r="Y18" s="56"/>
      <c r="Z18" s="56"/>
      <c r="AA18" s="56"/>
      <c r="AB18" s="56"/>
      <c r="AC18" s="57"/>
    </row>
    <row r="19" spans="1:29">
      <c r="A19" s="466"/>
      <c r="B19" s="63"/>
      <c r="C19" s="471" t="s">
        <v>163</v>
      </c>
      <c r="D19" s="472"/>
      <c r="E19" s="469"/>
      <c r="F19" s="63"/>
      <c r="G19" s="63"/>
      <c r="H19" s="63"/>
      <c r="I19" s="63"/>
      <c r="J19" s="63"/>
      <c r="K19" s="63"/>
      <c r="L19" s="63"/>
      <c r="M19" s="63"/>
      <c r="N19" s="63"/>
      <c r="O19" s="63"/>
      <c r="P19" s="63"/>
      <c r="Q19" s="63"/>
      <c r="R19" s="63"/>
      <c r="S19" s="63"/>
      <c r="T19" s="63"/>
      <c r="U19" s="72"/>
      <c r="V19" s="74"/>
      <c r="W19" s="74"/>
      <c r="X19" s="65"/>
      <c r="Y19" s="56"/>
      <c r="Z19" s="56"/>
      <c r="AA19" s="56"/>
      <c r="AB19" s="56"/>
      <c r="AC19" s="57"/>
    </row>
    <row r="20" spans="1:29">
      <c r="A20" s="466"/>
      <c r="B20" s="63"/>
      <c r="C20" s="471" t="s">
        <v>164</v>
      </c>
      <c r="D20" s="472"/>
      <c r="E20" s="469"/>
      <c r="F20" s="63"/>
      <c r="G20" s="63"/>
      <c r="H20" s="63"/>
      <c r="I20" s="63"/>
      <c r="J20" s="63"/>
      <c r="K20" s="63"/>
      <c r="L20" s="63"/>
      <c r="M20" s="63"/>
      <c r="N20" s="63"/>
      <c r="O20" s="63"/>
      <c r="P20" s="63"/>
      <c r="Q20" s="63"/>
      <c r="R20" s="63"/>
      <c r="S20" s="63"/>
      <c r="T20" s="63"/>
      <c r="U20" s="72"/>
      <c r="V20" s="74"/>
      <c r="W20" s="74"/>
      <c r="X20" s="65"/>
      <c r="Y20" s="56"/>
      <c r="Z20" s="56"/>
      <c r="AA20" s="56"/>
      <c r="AB20" s="56"/>
      <c r="AC20" s="57"/>
    </row>
    <row r="21" spans="1:29">
      <c r="A21" s="467"/>
      <c r="B21" s="63"/>
      <c r="C21" s="462" t="s">
        <v>104</v>
      </c>
      <c r="D21" s="464"/>
      <c r="E21" s="470"/>
      <c r="F21" s="63"/>
      <c r="G21" s="63"/>
      <c r="H21" s="63"/>
      <c r="I21" s="63"/>
      <c r="J21" s="63"/>
      <c r="K21" s="63"/>
      <c r="L21" s="63"/>
      <c r="M21" s="63"/>
      <c r="N21" s="63"/>
      <c r="O21" s="63"/>
      <c r="P21" s="63"/>
      <c r="Q21" s="63"/>
      <c r="R21" s="63"/>
      <c r="S21" s="63"/>
      <c r="T21" s="63"/>
      <c r="U21" s="72"/>
      <c r="V21" s="74"/>
      <c r="W21" s="74"/>
      <c r="X21" s="65"/>
      <c r="Y21" s="56"/>
      <c r="Z21" s="56"/>
      <c r="AA21" s="56"/>
      <c r="AB21" s="56"/>
      <c r="AC21" s="57"/>
    </row>
    <row r="22" spans="1:29">
      <c r="A22" s="465">
        <v>6</v>
      </c>
      <c r="B22" s="462" t="s">
        <v>195</v>
      </c>
      <c r="C22" s="463"/>
      <c r="D22" s="464"/>
      <c r="E22" s="468" t="s">
        <v>166</v>
      </c>
      <c r="F22" s="63"/>
      <c r="G22" s="63"/>
      <c r="H22" s="63"/>
      <c r="I22" s="63"/>
      <c r="J22" s="63"/>
      <c r="K22" s="63"/>
      <c r="L22" s="63"/>
      <c r="M22" s="63"/>
      <c r="N22" s="63"/>
      <c r="O22" s="63"/>
      <c r="P22" s="63"/>
      <c r="Q22" s="63"/>
      <c r="R22" s="63"/>
      <c r="S22" s="63"/>
      <c r="T22" s="63"/>
      <c r="U22" s="72"/>
      <c r="V22" s="74"/>
      <c r="W22" s="74"/>
      <c r="X22" s="65"/>
      <c r="Y22" s="56"/>
      <c r="Z22" s="56"/>
      <c r="AA22" s="56"/>
      <c r="AB22" s="56"/>
      <c r="AC22" s="57"/>
    </row>
    <row r="23" spans="1:29">
      <c r="A23" s="466"/>
      <c r="B23" s="63"/>
      <c r="C23" s="471" t="s">
        <v>196</v>
      </c>
      <c r="D23" s="472"/>
      <c r="E23" s="469"/>
      <c r="F23" s="63"/>
      <c r="G23" s="63"/>
      <c r="H23" s="63"/>
      <c r="I23" s="63"/>
      <c r="J23" s="63"/>
      <c r="K23" s="63"/>
      <c r="L23" s="63"/>
      <c r="M23" s="63"/>
      <c r="N23" s="63"/>
      <c r="O23" s="63"/>
      <c r="P23" s="63"/>
      <c r="Q23" s="63"/>
      <c r="R23" s="63"/>
      <c r="S23" s="63"/>
      <c r="T23" s="63"/>
      <c r="U23" s="72"/>
      <c r="V23" s="74"/>
      <c r="W23" s="74"/>
      <c r="X23" s="65"/>
      <c r="Y23" s="56"/>
      <c r="Z23" s="56"/>
      <c r="AA23" s="56"/>
      <c r="AB23" s="56"/>
      <c r="AC23" s="57"/>
    </row>
    <row r="24" spans="1:29">
      <c r="A24" s="466"/>
      <c r="B24" s="63"/>
      <c r="C24" s="471" t="s">
        <v>197</v>
      </c>
      <c r="D24" s="472"/>
      <c r="E24" s="469"/>
      <c r="F24" s="63" t="s">
        <v>198</v>
      </c>
      <c r="G24" s="63" t="s">
        <v>198</v>
      </c>
      <c r="H24" s="63" t="s">
        <v>198</v>
      </c>
      <c r="I24" s="63" t="s">
        <v>198</v>
      </c>
      <c r="J24" s="63" t="s">
        <v>198</v>
      </c>
      <c r="K24" s="63"/>
      <c r="L24" s="63"/>
      <c r="M24" s="63"/>
      <c r="N24" s="63"/>
      <c r="O24" s="63"/>
      <c r="P24" s="63"/>
      <c r="Q24" s="63"/>
      <c r="R24" s="63"/>
      <c r="S24" s="63"/>
      <c r="T24" s="63"/>
      <c r="U24" s="72"/>
      <c r="V24" s="74"/>
      <c r="W24" s="74"/>
      <c r="X24" s="65"/>
      <c r="Y24" s="56"/>
      <c r="Z24" s="56"/>
      <c r="AA24" s="56"/>
      <c r="AB24" s="56"/>
      <c r="AC24" s="57"/>
    </row>
    <row r="25" spans="1:29">
      <c r="A25" s="466"/>
      <c r="B25" s="63"/>
      <c r="C25" s="471" t="s">
        <v>199</v>
      </c>
      <c r="D25" s="472"/>
      <c r="E25" s="469"/>
      <c r="F25" s="63" t="s">
        <v>198</v>
      </c>
      <c r="G25" s="63" t="s">
        <v>198</v>
      </c>
      <c r="H25" s="63" t="s">
        <v>198</v>
      </c>
      <c r="I25" s="63" t="s">
        <v>198</v>
      </c>
      <c r="J25" s="63" t="s">
        <v>198</v>
      </c>
      <c r="K25" s="63"/>
      <c r="L25" s="63"/>
      <c r="M25" s="63"/>
      <c r="N25" s="63"/>
      <c r="O25" s="63"/>
      <c r="P25" s="63"/>
      <c r="Q25" s="63"/>
      <c r="R25" s="63"/>
      <c r="S25" s="63"/>
      <c r="T25" s="63"/>
      <c r="U25" s="72"/>
      <c r="V25" s="74"/>
      <c r="W25" s="74"/>
      <c r="X25" s="65"/>
      <c r="Y25" s="56"/>
      <c r="Z25" s="56"/>
      <c r="AA25" s="56"/>
      <c r="AB25" s="56"/>
      <c r="AC25" s="57"/>
    </row>
    <row r="26" spans="1:29">
      <c r="A26" s="466"/>
      <c r="B26" s="63"/>
      <c r="C26" s="471" t="s">
        <v>170</v>
      </c>
      <c r="D26" s="472"/>
      <c r="E26" s="469"/>
      <c r="F26" s="63" t="s">
        <v>198</v>
      </c>
      <c r="G26" s="63" t="s">
        <v>198</v>
      </c>
      <c r="H26" s="63" t="s">
        <v>198</v>
      </c>
      <c r="I26" s="63" t="s">
        <v>198</v>
      </c>
      <c r="J26" s="63" t="s">
        <v>198</v>
      </c>
      <c r="K26" s="63"/>
      <c r="L26" s="63"/>
      <c r="M26" s="63"/>
      <c r="N26" s="63"/>
      <c r="O26" s="63"/>
      <c r="P26" s="63"/>
      <c r="Q26" s="63"/>
      <c r="R26" s="63"/>
      <c r="S26" s="63"/>
      <c r="T26" s="63"/>
      <c r="U26" s="72"/>
      <c r="V26" s="74"/>
      <c r="W26" s="74"/>
      <c r="X26" s="65"/>
      <c r="Y26" s="56"/>
      <c r="Z26" s="56"/>
      <c r="AA26" s="56"/>
      <c r="AB26" s="56"/>
      <c r="AC26" s="57"/>
    </row>
    <row r="27" spans="1:29">
      <c r="A27" s="467"/>
      <c r="B27" s="63"/>
      <c r="C27" s="462" t="s">
        <v>104</v>
      </c>
      <c r="D27" s="464"/>
      <c r="E27" s="470"/>
      <c r="F27" s="63"/>
      <c r="G27" s="63"/>
      <c r="H27" s="63"/>
      <c r="I27" s="63"/>
      <c r="J27" s="63"/>
      <c r="K27" s="63"/>
      <c r="L27" s="63"/>
      <c r="M27" s="63"/>
      <c r="N27" s="63"/>
      <c r="O27" s="63"/>
      <c r="P27" s="63"/>
      <c r="Q27" s="63"/>
      <c r="R27" s="63"/>
      <c r="S27" s="63"/>
      <c r="T27" s="63"/>
      <c r="U27" s="72"/>
      <c r="V27" s="74"/>
      <c r="W27" s="74"/>
      <c r="X27" s="66"/>
      <c r="Y27" s="58"/>
      <c r="Z27" s="58"/>
      <c r="AA27" s="58"/>
      <c r="AB27" s="58"/>
      <c r="AC27" s="55"/>
    </row>
  </sheetData>
  <mergeCells count="28">
    <mergeCell ref="A22:A27"/>
    <mergeCell ref="B22:D22"/>
    <mergeCell ref="E22:E27"/>
    <mergeCell ref="C23:D23"/>
    <mergeCell ref="C24:D24"/>
    <mergeCell ref="C25:D25"/>
    <mergeCell ref="C26:D26"/>
    <mergeCell ref="C27:D27"/>
    <mergeCell ref="A17:A21"/>
    <mergeCell ref="B17:D17"/>
    <mergeCell ref="E17:E21"/>
    <mergeCell ref="C18:D18"/>
    <mergeCell ref="C19:D19"/>
    <mergeCell ref="C20:D20"/>
    <mergeCell ref="C21:D21"/>
    <mergeCell ref="A9:A16"/>
    <mergeCell ref="B9:D9"/>
    <mergeCell ref="E9:E16"/>
    <mergeCell ref="C5:D5"/>
    <mergeCell ref="C6:D6"/>
    <mergeCell ref="C7:D7"/>
    <mergeCell ref="C8:D8"/>
    <mergeCell ref="E4:E8"/>
    <mergeCell ref="B1:D1"/>
    <mergeCell ref="B2:D2"/>
    <mergeCell ref="B3:D3"/>
    <mergeCell ref="A4:A7"/>
    <mergeCell ref="B4:D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84C12-3B30-4B96-813D-966F219795A4}">
  <sheetPr>
    <tabColor theme="3" tint="0.89999084444715716"/>
  </sheetPr>
  <dimension ref="A1:AY86"/>
  <sheetViews>
    <sheetView workbookViewId="0">
      <pane xSplit="5" ySplit="1" topLeftCell="F2" activePane="bottomRight" state="frozen"/>
      <selection pane="bottomRight" activeCell="F8" sqref="F8"/>
      <selection pane="bottomLeft"/>
      <selection pane="topRight"/>
    </sheetView>
  </sheetViews>
  <sheetFormatPr defaultRowHeight="16.5"/>
  <cols>
    <col min="1" max="2" width="9" style="103"/>
    <col min="3" max="3" width="12.25" style="103" customWidth="1"/>
    <col min="4" max="4" width="19" style="103" customWidth="1"/>
    <col min="5" max="5" width="23.25" style="103" customWidth="1"/>
    <col min="6" max="23" width="9" style="103"/>
    <col min="24" max="24" width="18.75" style="103" customWidth="1"/>
    <col min="25" max="16384" width="9" style="103"/>
  </cols>
  <sheetData>
    <row r="1" spans="1:51" s="240" customFormat="1">
      <c r="A1" s="234" t="s">
        <v>3</v>
      </c>
      <c r="B1" s="478" t="s">
        <v>60</v>
      </c>
      <c r="C1" s="479"/>
      <c r="D1" s="480"/>
      <c r="E1" s="235" t="s">
        <v>61</v>
      </c>
      <c r="F1" s="236">
        <v>45658</v>
      </c>
      <c r="G1" s="236">
        <v>45689</v>
      </c>
      <c r="H1" s="236">
        <v>45717</v>
      </c>
      <c r="I1" s="236">
        <v>45748</v>
      </c>
      <c r="J1" s="236">
        <v>45778</v>
      </c>
      <c r="K1" s="236">
        <v>45809</v>
      </c>
      <c r="L1" s="236">
        <v>45839</v>
      </c>
      <c r="M1" s="236">
        <v>45870</v>
      </c>
      <c r="N1" s="236">
        <v>45901</v>
      </c>
      <c r="O1" s="236">
        <v>45931</v>
      </c>
      <c r="P1" s="236">
        <v>45962</v>
      </c>
      <c r="Q1" s="236">
        <v>45992</v>
      </c>
      <c r="R1" s="236">
        <v>46023</v>
      </c>
      <c r="S1" s="236">
        <v>46054</v>
      </c>
      <c r="T1" s="236">
        <v>46082</v>
      </c>
      <c r="U1" s="236">
        <v>46113</v>
      </c>
      <c r="V1" s="237">
        <v>46143</v>
      </c>
      <c r="W1" s="278">
        <v>46174</v>
      </c>
      <c r="X1" s="234" t="s">
        <v>200</v>
      </c>
      <c r="Y1" s="287"/>
      <c r="Z1" s="238"/>
      <c r="AA1" s="238"/>
      <c r="AB1" s="238"/>
      <c r="AC1" s="239"/>
    </row>
    <row r="2" spans="1:51" ht="36.75">
      <c r="A2" s="94">
        <v>1</v>
      </c>
      <c r="B2" s="373" t="s">
        <v>64</v>
      </c>
      <c r="C2" s="374"/>
      <c r="D2" s="375"/>
      <c r="E2" s="97" t="s">
        <v>65</v>
      </c>
      <c r="F2" s="214">
        <v>33</v>
      </c>
      <c r="G2" s="214">
        <v>33</v>
      </c>
      <c r="H2" s="214">
        <v>33</v>
      </c>
      <c r="I2" s="214">
        <v>33</v>
      </c>
      <c r="J2" s="214">
        <v>33</v>
      </c>
      <c r="K2" s="214">
        <v>33</v>
      </c>
      <c r="L2" s="214">
        <v>33</v>
      </c>
      <c r="M2" s="214">
        <v>33</v>
      </c>
      <c r="N2" s="214">
        <v>33</v>
      </c>
      <c r="O2" s="214">
        <v>33</v>
      </c>
      <c r="P2" s="214">
        <v>33</v>
      </c>
      <c r="Q2" s="214">
        <v>33</v>
      </c>
      <c r="R2" s="214">
        <v>34</v>
      </c>
      <c r="S2" s="214">
        <v>34</v>
      </c>
      <c r="T2" s="214">
        <v>34</v>
      </c>
      <c r="U2" s="95">
        <v>34</v>
      </c>
      <c r="V2" s="215">
        <v>34</v>
      </c>
      <c r="W2" s="279">
        <v>34</v>
      </c>
      <c r="X2" s="276" t="s">
        <v>201</v>
      </c>
      <c r="Y2" s="216"/>
      <c r="Z2" s="101"/>
      <c r="AA2" s="101"/>
      <c r="AB2" s="101"/>
      <c r="AC2" s="102"/>
    </row>
    <row r="3" spans="1:51" ht="36.75">
      <c r="A3" s="94">
        <v>2</v>
      </c>
      <c r="B3" s="481" t="s">
        <v>66</v>
      </c>
      <c r="C3" s="482"/>
      <c r="D3" s="483"/>
      <c r="E3" s="217" t="s">
        <v>155</v>
      </c>
      <c r="F3" s="214">
        <f>SUM(F5:F8)</f>
        <v>2</v>
      </c>
      <c r="G3" s="214">
        <f t="shared" ref="G3:W3" si="0">SUM(G5:G8)</f>
        <v>1</v>
      </c>
      <c r="H3" s="214">
        <f t="shared" si="0"/>
        <v>0</v>
      </c>
      <c r="I3" s="214">
        <f t="shared" si="0"/>
        <v>1</v>
      </c>
      <c r="J3" s="214">
        <f t="shared" si="0"/>
        <v>0</v>
      </c>
      <c r="K3" s="214">
        <f t="shared" si="0"/>
        <v>0</v>
      </c>
      <c r="L3" s="214">
        <f t="shared" si="0"/>
        <v>0</v>
      </c>
      <c r="M3" s="214">
        <f t="shared" si="0"/>
        <v>1</v>
      </c>
      <c r="N3" s="214">
        <f t="shared" si="0"/>
        <v>2</v>
      </c>
      <c r="O3" s="214">
        <f t="shared" si="0"/>
        <v>0</v>
      </c>
      <c r="P3" s="214">
        <f t="shared" si="0"/>
        <v>3</v>
      </c>
      <c r="Q3" s="214">
        <f t="shared" si="0"/>
        <v>0</v>
      </c>
      <c r="R3" s="214">
        <f t="shared" si="0"/>
        <v>0</v>
      </c>
      <c r="S3" s="214">
        <f t="shared" si="0"/>
        <v>0</v>
      </c>
      <c r="T3" s="214">
        <f t="shared" si="0"/>
        <v>1</v>
      </c>
      <c r="U3" s="214">
        <f t="shared" si="0"/>
        <v>1</v>
      </c>
      <c r="V3" s="214">
        <f t="shared" si="0"/>
        <v>0</v>
      </c>
      <c r="W3" s="214">
        <f t="shared" si="0"/>
        <v>0</v>
      </c>
      <c r="X3" s="276" t="s">
        <v>202</v>
      </c>
      <c r="Y3" s="216"/>
      <c r="Z3" s="101"/>
      <c r="AA3" s="101"/>
      <c r="AB3" s="101"/>
      <c r="AC3" s="102"/>
    </row>
    <row r="4" spans="1:51" s="93" customFormat="1">
      <c r="A4" s="314">
        <v>3</v>
      </c>
      <c r="B4" s="317" t="s">
        <v>68</v>
      </c>
      <c r="C4" s="353"/>
      <c r="D4" s="353"/>
      <c r="E4" s="218" t="s">
        <v>69</v>
      </c>
      <c r="F4" s="111" t="s">
        <v>69</v>
      </c>
      <c r="G4" s="111" t="s">
        <v>69</v>
      </c>
      <c r="H4" s="111" t="s">
        <v>69</v>
      </c>
      <c r="I4" s="111" t="s">
        <v>69</v>
      </c>
      <c r="J4" s="111" t="s">
        <v>69</v>
      </c>
      <c r="K4" s="111" t="s">
        <v>69</v>
      </c>
      <c r="L4" s="111" t="s">
        <v>69</v>
      </c>
      <c r="M4" s="111" t="s">
        <v>69</v>
      </c>
      <c r="N4" s="111" t="s">
        <v>69</v>
      </c>
      <c r="O4" s="111" t="s">
        <v>69</v>
      </c>
      <c r="P4" s="111" t="s">
        <v>69</v>
      </c>
      <c r="Q4" s="111" t="s">
        <v>69</v>
      </c>
      <c r="R4" s="111" t="s">
        <v>69</v>
      </c>
      <c r="S4" s="111" t="s">
        <v>69</v>
      </c>
      <c r="T4" s="112" t="s">
        <v>69</v>
      </c>
      <c r="U4" s="119" t="s">
        <v>69</v>
      </c>
      <c r="V4" s="119"/>
      <c r="W4" s="280"/>
      <c r="X4" s="119"/>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5"/>
      <c r="AY4" s="115"/>
    </row>
    <row r="5" spans="1:51" s="93" customFormat="1">
      <c r="A5" s="314"/>
      <c r="B5" s="112" t="s">
        <v>70</v>
      </c>
      <c r="C5" s="349" t="s">
        <v>71</v>
      </c>
      <c r="D5" s="349"/>
      <c r="E5" s="348" t="s">
        <v>72</v>
      </c>
      <c r="F5" s="96">
        <f>F10+F14+F18+F22+F26+F30+F34+F38+F42</f>
        <v>0</v>
      </c>
      <c r="G5" s="96">
        <f t="shared" ref="G5:W8" si="1">G10+G14+G18+G22+G26+G30+G34+G38+G42</f>
        <v>0</v>
      </c>
      <c r="H5" s="96">
        <f t="shared" si="1"/>
        <v>0</v>
      </c>
      <c r="I5" s="96">
        <f t="shared" si="1"/>
        <v>0</v>
      </c>
      <c r="J5" s="96">
        <f t="shared" si="1"/>
        <v>0</v>
      </c>
      <c r="K5" s="96">
        <f t="shared" si="1"/>
        <v>0</v>
      </c>
      <c r="L5" s="96">
        <f t="shared" si="1"/>
        <v>0</v>
      </c>
      <c r="M5" s="96">
        <f t="shared" si="1"/>
        <v>0</v>
      </c>
      <c r="N5" s="96">
        <f t="shared" si="1"/>
        <v>0</v>
      </c>
      <c r="O5" s="96">
        <f t="shared" si="1"/>
        <v>0</v>
      </c>
      <c r="P5" s="96">
        <f t="shared" si="1"/>
        <v>0</v>
      </c>
      <c r="Q5" s="96">
        <f t="shared" si="1"/>
        <v>0</v>
      </c>
      <c r="R5" s="96">
        <f t="shared" si="1"/>
        <v>0</v>
      </c>
      <c r="S5" s="96">
        <f t="shared" si="1"/>
        <v>0</v>
      </c>
      <c r="T5" s="96">
        <f t="shared" si="1"/>
        <v>0</v>
      </c>
      <c r="U5" s="96">
        <f t="shared" si="1"/>
        <v>0</v>
      </c>
      <c r="V5" s="96">
        <f t="shared" si="1"/>
        <v>0</v>
      </c>
      <c r="W5" s="96">
        <f t="shared" si="1"/>
        <v>0</v>
      </c>
      <c r="X5" s="119"/>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5"/>
      <c r="AY5" s="115"/>
    </row>
    <row r="6" spans="1:51" s="93" customFormat="1">
      <c r="A6" s="314"/>
      <c r="B6" s="112" t="s">
        <v>73</v>
      </c>
      <c r="C6" s="349" t="s">
        <v>74</v>
      </c>
      <c r="D6" s="349"/>
      <c r="E6" s="348"/>
      <c r="F6" s="96">
        <f t="shared" ref="F6:U8" si="2">F11+F15+F19+F23+F27+F31+F35+F39+F43</f>
        <v>0</v>
      </c>
      <c r="G6" s="96">
        <f t="shared" si="2"/>
        <v>0</v>
      </c>
      <c r="H6" s="96">
        <f t="shared" si="2"/>
        <v>0</v>
      </c>
      <c r="I6" s="96">
        <f t="shared" si="2"/>
        <v>0</v>
      </c>
      <c r="J6" s="96">
        <f t="shared" si="2"/>
        <v>0</v>
      </c>
      <c r="K6" s="96">
        <f t="shared" si="2"/>
        <v>0</v>
      </c>
      <c r="L6" s="96">
        <f t="shared" si="2"/>
        <v>0</v>
      </c>
      <c r="M6" s="96">
        <f t="shared" si="2"/>
        <v>0</v>
      </c>
      <c r="N6" s="96">
        <f t="shared" si="2"/>
        <v>0</v>
      </c>
      <c r="O6" s="96">
        <f t="shared" si="2"/>
        <v>0</v>
      </c>
      <c r="P6" s="96">
        <f t="shared" si="2"/>
        <v>0</v>
      </c>
      <c r="Q6" s="96">
        <f t="shared" si="2"/>
        <v>0</v>
      </c>
      <c r="R6" s="96">
        <f t="shared" si="2"/>
        <v>0</v>
      </c>
      <c r="S6" s="96">
        <f t="shared" si="2"/>
        <v>0</v>
      </c>
      <c r="T6" s="96">
        <f t="shared" si="2"/>
        <v>0</v>
      </c>
      <c r="U6" s="96">
        <f t="shared" si="2"/>
        <v>0</v>
      </c>
      <c r="V6" s="96">
        <f t="shared" si="1"/>
        <v>0</v>
      </c>
      <c r="W6" s="96">
        <f t="shared" si="1"/>
        <v>0</v>
      </c>
      <c r="X6" s="119"/>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5"/>
      <c r="AY6" s="115"/>
    </row>
    <row r="7" spans="1:51" s="93" customFormat="1">
      <c r="A7" s="314"/>
      <c r="B7" s="112" t="s">
        <v>75</v>
      </c>
      <c r="C7" s="504" t="s">
        <v>76</v>
      </c>
      <c r="D7" s="504"/>
      <c r="E7" s="348"/>
      <c r="F7" s="292">
        <f>F12+F16+F20+F24+F28+F32+F36+F40+F44</f>
        <v>2</v>
      </c>
      <c r="G7" s="292">
        <f t="shared" si="2"/>
        <v>1</v>
      </c>
      <c r="H7" s="292">
        <f t="shared" si="2"/>
        <v>0</v>
      </c>
      <c r="I7" s="292">
        <f t="shared" si="2"/>
        <v>1</v>
      </c>
      <c r="J7" s="292">
        <f t="shared" si="2"/>
        <v>0</v>
      </c>
      <c r="K7" s="292">
        <f t="shared" si="2"/>
        <v>0</v>
      </c>
      <c r="L7" s="292">
        <f t="shared" si="2"/>
        <v>0</v>
      </c>
      <c r="M7" s="292">
        <f t="shared" si="2"/>
        <v>1</v>
      </c>
      <c r="N7" s="292">
        <f t="shared" si="2"/>
        <v>2</v>
      </c>
      <c r="O7" s="292">
        <f t="shared" si="2"/>
        <v>0</v>
      </c>
      <c r="P7" s="292">
        <f t="shared" si="2"/>
        <v>3</v>
      </c>
      <c r="Q7" s="292">
        <f t="shared" si="2"/>
        <v>0</v>
      </c>
      <c r="R7" s="292">
        <f t="shared" si="2"/>
        <v>0</v>
      </c>
      <c r="S7" s="292">
        <f t="shared" si="2"/>
        <v>0</v>
      </c>
      <c r="T7" s="292">
        <f t="shared" si="2"/>
        <v>1</v>
      </c>
      <c r="U7" s="292">
        <f t="shared" si="2"/>
        <v>1</v>
      </c>
      <c r="V7" s="292">
        <f>V12+V16+V20+V24+V28+V32+V36+V40+V44</f>
        <v>0</v>
      </c>
      <c r="W7" s="292">
        <f>W12+W16+W20+W24+W28+W32+W36+W40+W44</f>
        <v>0</v>
      </c>
      <c r="X7" s="119"/>
      <c r="Y7" s="114"/>
      <c r="Z7" s="114"/>
      <c r="AA7" s="114"/>
      <c r="AB7" s="114"/>
      <c r="AC7" s="114"/>
      <c r="AD7" s="114"/>
      <c r="AE7" s="114"/>
      <c r="AF7" s="114"/>
      <c r="AG7" s="114"/>
      <c r="AH7" s="114"/>
      <c r="AI7" s="114"/>
      <c r="AJ7" s="114"/>
      <c r="AK7" s="114"/>
      <c r="AL7" s="114"/>
      <c r="AM7" s="114"/>
      <c r="AN7" s="114"/>
      <c r="AO7" s="114"/>
      <c r="AP7" s="114"/>
      <c r="AQ7" s="114"/>
      <c r="AR7" s="114"/>
      <c r="AS7" s="114"/>
      <c r="AT7" s="114"/>
      <c r="AU7" s="114"/>
      <c r="AV7" s="114"/>
      <c r="AW7" s="114"/>
      <c r="AX7" s="115"/>
      <c r="AY7" s="115"/>
    </row>
    <row r="8" spans="1:51" s="93" customFormat="1">
      <c r="A8" s="314"/>
      <c r="B8" s="112" t="s">
        <v>77</v>
      </c>
      <c r="C8" s="349" t="str">
        <f>'statistik The Nusa Dua'!C8</f>
        <v>Apresiasi</v>
      </c>
      <c r="D8" s="349"/>
      <c r="E8" s="348"/>
      <c r="F8" s="96">
        <f t="shared" si="2"/>
        <v>0</v>
      </c>
      <c r="G8" s="96">
        <f t="shared" si="2"/>
        <v>0</v>
      </c>
      <c r="H8" s="96">
        <f t="shared" si="2"/>
        <v>0</v>
      </c>
      <c r="I8" s="96">
        <f t="shared" si="2"/>
        <v>0</v>
      </c>
      <c r="J8" s="96">
        <f t="shared" si="2"/>
        <v>0</v>
      </c>
      <c r="K8" s="96">
        <f t="shared" si="2"/>
        <v>0</v>
      </c>
      <c r="L8" s="96">
        <f t="shared" si="2"/>
        <v>0</v>
      </c>
      <c r="M8" s="96">
        <f t="shared" si="2"/>
        <v>0</v>
      </c>
      <c r="N8" s="96">
        <f t="shared" si="2"/>
        <v>0</v>
      </c>
      <c r="O8" s="96">
        <f t="shared" si="2"/>
        <v>0</v>
      </c>
      <c r="P8" s="96">
        <f t="shared" si="2"/>
        <v>0</v>
      </c>
      <c r="Q8" s="96">
        <f t="shared" si="2"/>
        <v>0</v>
      </c>
      <c r="R8" s="96">
        <f t="shared" si="2"/>
        <v>0</v>
      </c>
      <c r="S8" s="96">
        <f t="shared" si="2"/>
        <v>0</v>
      </c>
      <c r="T8" s="96">
        <f t="shared" si="2"/>
        <v>0</v>
      </c>
      <c r="U8" s="96">
        <f t="shared" si="2"/>
        <v>0</v>
      </c>
      <c r="V8" s="96">
        <f t="shared" si="1"/>
        <v>0</v>
      </c>
      <c r="W8" s="96">
        <f t="shared" si="1"/>
        <v>0</v>
      </c>
      <c r="X8" s="119"/>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5"/>
      <c r="AY8" s="115"/>
    </row>
    <row r="9" spans="1:51" s="93" customFormat="1">
      <c r="A9" s="313">
        <v>4</v>
      </c>
      <c r="B9" s="317" t="s">
        <v>78</v>
      </c>
      <c r="C9" s="315"/>
      <c r="D9" s="315"/>
      <c r="E9" s="110" t="s">
        <v>69</v>
      </c>
      <c r="F9" s="111" t="s">
        <v>69</v>
      </c>
      <c r="G9" s="111" t="s">
        <v>69</v>
      </c>
      <c r="H9" s="111" t="s">
        <v>69</v>
      </c>
      <c r="I9" s="111" t="s">
        <v>69</v>
      </c>
      <c r="J9" s="111" t="s">
        <v>69</v>
      </c>
      <c r="K9" s="111" t="s">
        <v>69</v>
      </c>
      <c r="L9" s="111" t="s">
        <v>69</v>
      </c>
      <c r="M9" s="111" t="s">
        <v>69</v>
      </c>
      <c r="N9" s="111" t="s">
        <v>69</v>
      </c>
      <c r="O9" s="111" t="s">
        <v>69</v>
      </c>
      <c r="P9" s="111" t="s">
        <v>69</v>
      </c>
      <c r="Q9" s="111" t="s">
        <v>69</v>
      </c>
      <c r="R9" s="111" t="s">
        <v>69</v>
      </c>
      <c r="S9" s="111" t="s">
        <v>69</v>
      </c>
      <c r="T9" s="111" t="s">
        <v>69</v>
      </c>
      <c r="U9" s="112" t="s">
        <v>69</v>
      </c>
      <c r="V9" s="113"/>
      <c r="W9" s="281"/>
      <c r="X9" s="119"/>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5"/>
      <c r="AY9" s="115"/>
    </row>
    <row r="10" spans="1:51" s="93" customFormat="1">
      <c r="A10" s="314"/>
      <c r="B10" s="111" t="s">
        <v>70</v>
      </c>
      <c r="C10" s="117" t="s">
        <v>79</v>
      </c>
      <c r="D10" s="112" t="str">
        <f>C5</f>
        <v>Permintaan Informasi</v>
      </c>
      <c r="E10" s="110" t="s">
        <v>69</v>
      </c>
      <c r="F10" s="118">
        <v>0</v>
      </c>
      <c r="G10" s="118">
        <v>0</v>
      </c>
      <c r="H10" s="118">
        <v>0</v>
      </c>
      <c r="I10" s="118">
        <v>0</v>
      </c>
      <c r="J10" s="118">
        <v>0</v>
      </c>
      <c r="K10" s="118">
        <v>0</v>
      </c>
      <c r="L10" s="118">
        <v>0</v>
      </c>
      <c r="M10" s="118">
        <v>0</v>
      </c>
      <c r="N10" s="118">
        <v>0</v>
      </c>
      <c r="O10" s="118">
        <v>0</v>
      </c>
      <c r="P10" s="118">
        <v>0</v>
      </c>
      <c r="Q10" s="118">
        <v>0</v>
      </c>
      <c r="R10" s="118">
        <v>0</v>
      </c>
      <c r="S10" s="118">
        <v>0</v>
      </c>
      <c r="T10" s="118">
        <v>0</v>
      </c>
      <c r="U10" s="118">
        <v>0</v>
      </c>
      <c r="V10" s="118">
        <v>0</v>
      </c>
      <c r="W10" s="282">
        <v>0</v>
      </c>
      <c r="X10" s="119"/>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5"/>
      <c r="AY10" s="115"/>
    </row>
    <row r="11" spans="1:51" s="93" customFormat="1">
      <c r="A11" s="314"/>
      <c r="B11" s="111" t="s">
        <v>69</v>
      </c>
      <c r="C11" s="117" t="s">
        <v>69</v>
      </c>
      <c r="D11" s="112" t="str">
        <f>C6</f>
        <v>Request</v>
      </c>
      <c r="E11" s="110" t="s">
        <v>69</v>
      </c>
      <c r="F11" s="118">
        <v>0</v>
      </c>
      <c r="G11" s="118">
        <v>0</v>
      </c>
      <c r="H11" s="118">
        <v>0</v>
      </c>
      <c r="I11" s="118">
        <v>0</v>
      </c>
      <c r="J11" s="118">
        <v>0</v>
      </c>
      <c r="K11" s="118">
        <v>0</v>
      </c>
      <c r="L11" s="118">
        <v>0</v>
      </c>
      <c r="M11" s="118">
        <v>0</v>
      </c>
      <c r="N11" s="118">
        <v>0</v>
      </c>
      <c r="O11" s="118">
        <v>0</v>
      </c>
      <c r="P11" s="118">
        <v>0</v>
      </c>
      <c r="Q11" s="118">
        <v>0</v>
      </c>
      <c r="R11" s="118">
        <v>0</v>
      </c>
      <c r="S11" s="118">
        <v>0</v>
      </c>
      <c r="T11" s="118">
        <v>0</v>
      </c>
      <c r="U11" s="118">
        <v>0</v>
      </c>
      <c r="V11" s="118">
        <v>0</v>
      </c>
      <c r="W11" s="282">
        <v>0</v>
      </c>
      <c r="X11" s="119"/>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5"/>
      <c r="AY11" s="115"/>
    </row>
    <row r="12" spans="1:51" s="93" customFormat="1">
      <c r="A12" s="314"/>
      <c r="B12" s="111" t="s">
        <v>69</v>
      </c>
      <c r="C12" s="117" t="s">
        <v>69</v>
      </c>
      <c r="D12" s="112" t="str">
        <f>C7</f>
        <v>Keluhan</v>
      </c>
      <c r="E12" s="110" t="s">
        <v>69</v>
      </c>
      <c r="F12" s="118">
        <v>0</v>
      </c>
      <c r="G12" s="118">
        <v>0</v>
      </c>
      <c r="H12" s="118">
        <v>0</v>
      </c>
      <c r="I12" s="118">
        <v>0</v>
      </c>
      <c r="J12" s="118">
        <v>0</v>
      </c>
      <c r="K12" s="118">
        <v>0</v>
      </c>
      <c r="L12" s="118">
        <v>0</v>
      </c>
      <c r="M12" s="118">
        <v>0</v>
      </c>
      <c r="N12" s="118">
        <v>0</v>
      </c>
      <c r="O12" s="118">
        <v>0</v>
      </c>
      <c r="P12" s="118">
        <v>0</v>
      </c>
      <c r="Q12" s="118">
        <v>0</v>
      </c>
      <c r="R12" s="118">
        <v>0</v>
      </c>
      <c r="S12" s="118">
        <v>0</v>
      </c>
      <c r="T12" s="118">
        <v>0</v>
      </c>
      <c r="U12" s="118">
        <v>0</v>
      </c>
      <c r="V12" s="118">
        <v>0</v>
      </c>
      <c r="W12" s="282">
        <v>0</v>
      </c>
      <c r="X12" s="119"/>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5"/>
      <c r="AY12" s="115"/>
    </row>
    <row r="13" spans="1:51" s="93" customFormat="1">
      <c r="A13" s="314"/>
      <c r="B13" s="111" t="s">
        <v>69</v>
      </c>
      <c r="C13" s="117" t="s">
        <v>69</v>
      </c>
      <c r="D13" s="112" t="str">
        <f>C8</f>
        <v>Apresiasi</v>
      </c>
      <c r="E13" s="110" t="s">
        <v>69</v>
      </c>
      <c r="F13" s="118">
        <v>0</v>
      </c>
      <c r="G13" s="118">
        <v>0</v>
      </c>
      <c r="H13" s="118">
        <v>0</v>
      </c>
      <c r="I13" s="118">
        <v>0</v>
      </c>
      <c r="J13" s="118">
        <v>0</v>
      </c>
      <c r="K13" s="118">
        <v>0</v>
      </c>
      <c r="L13" s="118">
        <v>0</v>
      </c>
      <c r="M13" s="118">
        <v>0</v>
      </c>
      <c r="N13" s="118">
        <v>0</v>
      </c>
      <c r="O13" s="118">
        <v>0</v>
      </c>
      <c r="P13" s="118">
        <v>0</v>
      </c>
      <c r="Q13" s="118">
        <v>0</v>
      </c>
      <c r="R13" s="118">
        <v>0</v>
      </c>
      <c r="S13" s="118">
        <v>0</v>
      </c>
      <c r="T13" s="118">
        <v>0</v>
      </c>
      <c r="U13" s="118">
        <v>0</v>
      </c>
      <c r="V13" s="118">
        <v>0</v>
      </c>
      <c r="W13" s="282">
        <v>0</v>
      </c>
      <c r="X13" s="119"/>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5"/>
      <c r="AY13" s="115"/>
    </row>
    <row r="14" spans="1:51" s="93" customFormat="1" ht="36.75">
      <c r="A14" s="314"/>
      <c r="B14" s="111" t="s">
        <v>73</v>
      </c>
      <c r="C14" s="120" t="s">
        <v>80</v>
      </c>
      <c r="D14" s="112" t="str">
        <f>C5</f>
        <v>Permintaan Informasi</v>
      </c>
      <c r="E14" s="110" t="s">
        <v>69</v>
      </c>
      <c r="F14" s="118">
        <v>0</v>
      </c>
      <c r="G14" s="118">
        <v>0</v>
      </c>
      <c r="H14" s="118">
        <v>0</v>
      </c>
      <c r="I14" s="118">
        <v>0</v>
      </c>
      <c r="J14" s="118">
        <v>0</v>
      </c>
      <c r="K14" s="118">
        <v>0</v>
      </c>
      <c r="L14" s="118">
        <v>0</v>
      </c>
      <c r="M14" s="118">
        <v>0</v>
      </c>
      <c r="N14" s="118">
        <v>0</v>
      </c>
      <c r="O14" s="118">
        <v>0</v>
      </c>
      <c r="P14" s="118">
        <v>0</v>
      </c>
      <c r="Q14" s="118">
        <v>0</v>
      </c>
      <c r="R14" s="118">
        <v>0</v>
      </c>
      <c r="S14" s="118">
        <v>0</v>
      </c>
      <c r="T14" s="118">
        <v>0</v>
      </c>
      <c r="U14" s="118">
        <v>0</v>
      </c>
      <c r="V14" s="118">
        <v>0</v>
      </c>
      <c r="W14" s="282">
        <v>0</v>
      </c>
      <c r="X14" s="119"/>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5"/>
      <c r="AY14" s="115"/>
    </row>
    <row r="15" spans="1:51" s="93" customFormat="1">
      <c r="A15" s="314"/>
      <c r="B15" s="111" t="s">
        <v>69</v>
      </c>
      <c r="C15" s="117" t="s">
        <v>69</v>
      </c>
      <c r="D15" s="112" t="s">
        <v>81</v>
      </c>
      <c r="E15" s="110" t="s">
        <v>69</v>
      </c>
      <c r="F15" s="118">
        <v>0</v>
      </c>
      <c r="G15" s="118">
        <v>0</v>
      </c>
      <c r="H15" s="118">
        <v>0</v>
      </c>
      <c r="I15" s="118">
        <v>0</v>
      </c>
      <c r="J15" s="118">
        <v>0</v>
      </c>
      <c r="K15" s="118">
        <v>0</v>
      </c>
      <c r="L15" s="118">
        <v>0</v>
      </c>
      <c r="M15" s="118">
        <v>0</v>
      </c>
      <c r="N15" s="118">
        <v>0</v>
      </c>
      <c r="O15" s="118">
        <v>0</v>
      </c>
      <c r="P15" s="118">
        <v>0</v>
      </c>
      <c r="Q15" s="118">
        <v>0</v>
      </c>
      <c r="R15" s="118">
        <v>0</v>
      </c>
      <c r="S15" s="118">
        <v>0</v>
      </c>
      <c r="T15" s="118">
        <v>0</v>
      </c>
      <c r="U15" s="118">
        <v>0</v>
      </c>
      <c r="V15" s="118">
        <v>0</v>
      </c>
      <c r="W15" s="282">
        <v>0</v>
      </c>
      <c r="X15" s="119"/>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5"/>
      <c r="AY15" s="115"/>
    </row>
    <row r="16" spans="1:51" s="93" customFormat="1">
      <c r="A16" s="314"/>
      <c r="B16" s="111" t="s">
        <v>69</v>
      </c>
      <c r="C16" s="117" t="s">
        <v>69</v>
      </c>
      <c r="D16" s="112" t="str">
        <f>C7</f>
        <v>Keluhan</v>
      </c>
      <c r="E16" s="110" t="s">
        <v>69</v>
      </c>
      <c r="F16" s="118">
        <v>0</v>
      </c>
      <c r="G16" s="118">
        <v>0</v>
      </c>
      <c r="H16" s="118">
        <v>0</v>
      </c>
      <c r="I16" s="118">
        <v>0</v>
      </c>
      <c r="J16" s="118">
        <v>0</v>
      </c>
      <c r="K16" s="118">
        <v>0</v>
      </c>
      <c r="L16" s="118">
        <v>0</v>
      </c>
      <c r="M16" s="118">
        <v>0</v>
      </c>
      <c r="N16" s="118">
        <v>0</v>
      </c>
      <c r="O16" s="118">
        <v>0</v>
      </c>
      <c r="P16" s="118">
        <v>0</v>
      </c>
      <c r="Q16" s="118">
        <v>0</v>
      </c>
      <c r="R16" s="118">
        <v>0</v>
      </c>
      <c r="S16" s="118">
        <v>0</v>
      </c>
      <c r="T16" s="118">
        <v>0</v>
      </c>
      <c r="U16" s="118">
        <v>0</v>
      </c>
      <c r="V16" s="118">
        <v>0</v>
      </c>
      <c r="W16" s="282">
        <v>0</v>
      </c>
      <c r="X16" s="119"/>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5"/>
      <c r="AY16" s="115"/>
    </row>
    <row r="17" spans="1:51" s="93" customFormat="1">
      <c r="A17" s="314"/>
      <c r="B17" s="111" t="s">
        <v>69</v>
      </c>
      <c r="C17" s="117" t="s">
        <v>69</v>
      </c>
      <c r="D17" s="112" t="str">
        <f>C8</f>
        <v>Apresiasi</v>
      </c>
      <c r="E17" s="110" t="s">
        <v>69</v>
      </c>
      <c r="F17" s="118">
        <v>0</v>
      </c>
      <c r="G17" s="118">
        <v>0</v>
      </c>
      <c r="H17" s="118">
        <v>0</v>
      </c>
      <c r="I17" s="118">
        <v>0</v>
      </c>
      <c r="J17" s="118">
        <v>0</v>
      </c>
      <c r="K17" s="118">
        <v>0</v>
      </c>
      <c r="L17" s="118">
        <v>0</v>
      </c>
      <c r="M17" s="118">
        <v>0</v>
      </c>
      <c r="N17" s="118">
        <v>0</v>
      </c>
      <c r="O17" s="118">
        <v>0</v>
      </c>
      <c r="P17" s="118">
        <v>0</v>
      </c>
      <c r="Q17" s="118">
        <v>0</v>
      </c>
      <c r="R17" s="118">
        <v>0</v>
      </c>
      <c r="S17" s="118">
        <v>0</v>
      </c>
      <c r="T17" s="118">
        <v>0</v>
      </c>
      <c r="U17" s="118">
        <v>0</v>
      </c>
      <c r="V17" s="118">
        <v>0</v>
      </c>
      <c r="W17" s="282">
        <v>0</v>
      </c>
      <c r="X17" s="119"/>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5"/>
      <c r="AY17" s="115"/>
    </row>
    <row r="18" spans="1:51" s="93" customFormat="1">
      <c r="A18" s="314"/>
      <c r="B18" s="112" t="s">
        <v>75</v>
      </c>
      <c r="C18" s="119" t="s">
        <v>82</v>
      </c>
      <c r="D18" s="112" t="str">
        <f>C5</f>
        <v>Permintaan Informasi</v>
      </c>
      <c r="E18" s="110" t="s">
        <v>69</v>
      </c>
      <c r="F18" s="118">
        <v>0</v>
      </c>
      <c r="G18" s="118">
        <v>0</v>
      </c>
      <c r="H18" s="118">
        <v>0</v>
      </c>
      <c r="I18" s="118">
        <v>0</v>
      </c>
      <c r="J18" s="118">
        <v>0</v>
      </c>
      <c r="K18" s="118">
        <v>0</v>
      </c>
      <c r="L18" s="118">
        <v>0</v>
      </c>
      <c r="M18" s="118">
        <v>0</v>
      </c>
      <c r="N18" s="118">
        <v>0</v>
      </c>
      <c r="O18" s="118">
        <v>0</v>
      </c>
      <c r="P18" s="118">
        <v>0</v>
      </c>
      <c r="Q18" s="118">
        <v>0</v>
      </c>
      <c r="R18" s="118">
        <v>0</v>
      </c>
      <c r="S18" s="118">
        <v>0</v>
      </c>
      <c r="T18" s="118">
        <v>0</v>
      </c>
      <c r="U18" s="118">
        <v>0</v>
      </c>
      <c r="V18" s="118">
        <v>0</v>
      </c>
      <c r="W18" s="282">
        <v>0</v>
      </c>
      <c r="X18" s="119"/>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5"/>
      <c r="AY18" s="115"/>
    </row>
    <row r="19" spans="1:51" s="93" customFormat="1">
      <c r="A19" s="314"/>
      <c r="B19" s="111" t="s">
        <v>69</v>
      </c>
      <c r="C19" s="117" t="s">
        <v>69</v>
      </c>
      <c r="D19" s="112" t="str">
        <f>C6</f>
        <v>Request</v>
      </c>
      <c r="E19" s="110" t="s">
        <v>69</v>
      </c>
      <c r="F19" s="118">
        <v>0</v>
      </c>
      <c r="G19" s="118">
        <v>0</v>
      </c>
      <c r="H19" s="118">
        <v>0</v>
      </c>
      <c r="I19" s="118">
        <v>0</v>
      </c>
      <c r="J19" s="118">
        <v>0</v>
      </c>
      <c r="K19" s="118">
        <v>0</v>
      </c>
      <c r="L19" s="118">
        <v>0</v>
      </c>
      <c r="M19" s="118">
        <v>0</v>
      </c>
      <c r="N19" s="118">
        <v>0</v>
      </c>
      <c r="O19" s="118">
        <v>0</v>
      </c>
      <c r="P19" s="118">
        <v>0</v>
      </c>
      <c r="Q19" s="118">
        <v>0</v>
      </c>
      <c r="R19" s="118">
        <v>0</v>
      </c>
      <c r="S19" s="118">
        <v>0</v>
      </c>
      <c r="T19" s="118">
        <v>0</v>
      </c>
      <c r="U19" s="118">
        <v>0</v>
      </c>
      <c r="V19" s="118">
        <v>0</v>
      </c>
      <c r="W19" s="282">
        <v>0</v>
      </c>
      <c r="X19" s="119"/>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5"/>
      <c r="AY19" s="115"/>
    </row>
    <row r="20" spans="1:51" s="93" customFormat="1">
      <c r="A20" s="314"/>
      <c r="B20" s="111" t="s">
        <v>69</v>
      </c>
      <c r="C20" s="117" t="s">
        <v>69</v>
      </c>
      <c r="D20" s="112" t="str">
        <f>C7</f>
        <v>Keluhan</v>
      </c>
      <c r="E20" s="110" t="s">
        <v>69</v>
      </c>
      <c r="F20" s="118">
        <v>0</v>
      </c>
      <c r="G20" s="118">
        <v>0</v>
      </c>
      <c r="H20" s="118">
        <v>0</v>
      </c>
      <c r="I20" s="118">
        <v>0</v>
      </c>
      <c r="J20" s="118">
        <v>0</v>
      </c>
      <c r="K20" s="118">
        <v>0</v>
      </c>
      <c r="L20" s="118">
        <v>0</v>
      </c>
      <c r="M20" s="118">
        <v>0</v>
      </c>
      <c r="N20" s="118">
        <v>0</v>
      </c>
      <c r="O20" s="118">
        <v>0</v>
      </c>
      <c r="P20" s="118">
        <v>0</v>
      </c>
      <c r="Q20" s="118">
        <v>0</v>
      </c>
      <c r="R20" s="118">
        <v>0</v>
      </c>
      <c r="S20" s="118">
        <v>0</v>
      </c>
      <c r="T20" s="118">
        <v>0</v>
      </c>
      <c r="U20" s="118">
        <v>0</v>
      </c>
      <c r="V20" s="118">
        <v>0</v>
      </c>
      <c r="W20" s="282">
        <v>0</v>
      </c>
      <c r="X20" s="119"/>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5"/>
      <c r="AY20" s="115"/>
    </row>
    <row r="21" spans="1:51" s="93" customFormat="1">
      <c r="A21" s="314"/>
      <c r="B21" s="111" t="s">
        <v>69</v>
      </c>
      <c r="C21" s="117" t="s">
        <v>69</v>
      </c>
      <c r="D21" s="112" t="str">
        <f>C8</f>
        <v>Apresiasi</v>
      </c>
      <c r="E21" s="110" t="s">
        <v>69</v>
      </c>
      <c r="F21" s="118">
        <v>0</v>
      </c>
      <c r="G21" s="118">
        <v>0</v>
      </c>
      <c r="H21" s="118">
        <v>0</v>
      </c>
      <c r="I21" s="118">
        <v>0</v>
      </c>
      <c r="J21" s="118">
        <v>0</v>
      </c>
      <c r="K21" s="118">
        <v>0</v>
      </c>
      <c r="L21" s="118">
        <v>0</v>
      </c>
      <c r="M21" s="118">
        <v>0</v>
      </c>
      <c r="N21" s="118">
        <v>0</v>
      </c>
      <c r="O21" s="118">
        <v>0</v>
      </c>
      <c r="P21" s="118">
        <v>0</v>
      </c>
      <c r="Q21" s="118">
        <v>0</v>
      </c>
      <c r="R21" s="118">
        <v>0</v>
      </c>
      <c r="S21" s="118">
        <v>0</v>
      </c>
      <c r="T21" s="118">
        <v>0</v>
      </c>
      <c r="U21" s="118">
        <v>0</v>
      </c>
      <c r="V21" s="118">
        <v>0</v>
      </c>
      <c r="W21" s="282">
        <v>0</v>
      </c>
      <c r="X21" s="119"/>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5"/>
      <c r="AY21" s="115"/>
    </row>
    <row r="22" spans="1:51" s="93" customFormat="1">
      <c r="A22" s="314"/>
      <c r="B22" s="111" t="s">
        <v>77</v>
      </c>
      <c r="C22" s="117" t="s">
        <v>83</v>
      </c>
      <c r="D22" s="112" t="str">
        <f>D10</f>
        <v>Permintaan Informasi</v>
      </c>
      <c r="E22" s="110" t="s">
        <v>69</v>
      </c>
      <c r="F22" s="118">
        <v>0</v>
      </c>
      <c r="G22" s="118">
        <v>0</v>
      </c>
      <c r="H22" s="118">
        <v>0</v>
      </c>
      <c r="I22" s="118">
        <v>0</v>
      </c>
      <c r="J22" s="118">
        <v>0</v>
      </c>
      <c r="K22" s="118">
        <v>0</v>
      </c>
      <c r="L22" s="118">
        <v>0</v>
      </c>
      <c r="M22" s="118">
        <v>0</v>
      </c>
      <c r="N22" s="118">
        <v>0</v>
      </c>
      <c r="O22" s="118">
        <v>0</v>
      </c>
      <c r="P22" s="118">
        <v>0</v>
      </c>
      <c r="Q22" s="118">
        <v>0</v>
      </c>
      <c r="R22" s="118">
        <v>0</v>
      </c>
      <c r="S22" s="118">
        <v>0</v>
      </c>
      <c r="T22" s="118">
        <v>0</v>
      </c>
      <c r="U22" s="118">
        <v>0</v>
      </c>
      <c r="V22" s="118">
        <v>0</v>
      </c>
      <c r="W22" s="282">
        <v>0</v>
      </c>
      <c r="X22" s="119"/>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5"/>
      <c r="AY22" s="115"/>
    </row>
    <row r="23" spans="1:51" s="93" customFormat="1">
      <c r="A23" s="314"/>
      <c r="B23" s="111" t="s">
        <v>69</v>
      </c>
      <c r="C23" s="111" t="s">
        <v>69</v>
      </c>
      <c r="D23" s="112" t="str">
        <f>D11</f>
        <v>Request</v>
      </c>
      <c r="E23" s="110" t="s">
        <v>69</v>
      </c>
      <c r="F23" s="118">
        <v>0</v>
      </c>
      <c r="G23" s="118">
        <v>0</v>
      </c>
      <c r="H23" s="118">
        <v>0</v>
      </c>
      <c r="I23" s="118">
        <v>0</v>
      </c>
      <c r="J23" s="118">
        <v>0</v>
      </c>
      <c r="K23" s="118">
        <v>0</v>
      </c>
      <c r="L23" s="118">
        <v>0</v>
      </c>
      <c r="M23" s="118">
        <v>0</v>
      </c>
      <c r="N23" s="118">
        <v>0</v>
      </c>
      <c r="O23" s="118">
        <v>0</v>
      </c>
      <c r="P23" s="118">
        <v>0</v>
      </c>
      <c r="Q23" s="118">
        <v>0</v>
      </c>
      <c r="R23" s="118">
        <v>0</v>
      </c>
      <c r="S23" s="118">
        <v>0</v>
      </c>
      <c r="T23" s="118">
        <v>0</v>
      </c>
      <c r="U23" s="118">
        <v>0</v>
      </c>
      <c r="V23" s="118">
        <v>0</v>
      </c>
      <c r="W23" s="282">
        <v>0</v>
      </c>
      <c r="X23" s="119"/>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5"/>
      <c r="AY23" s="115"/>
    </row>
    <row r="24" spans="1:51" s="93" customFormat="1">
      <c r="A24" s="314"/>
      <c r="B24" s="111" t="s">
        <v>69</v>
      </c>
      <c r="C24" s="111" t="s">
        <v>69</v>
      </c>
      <c r="D24" s="112" t="str">
        <f>D12</f>
        <v>Keluhan</v>
      </c>
      <c r="E24" s="110" t="s">
        <v>69</v>
      </c>
      <c r="F24" s="118">
        <v>0</v>
      </c>
      <c r="G24" s="118">
        <v>0</v>
      </c>
      <c r="H24" s="118">
        <v>0</v>
      </c>
      <c r="I24" s="118">
        <v>0</v>
      </c>
      <c r="J24" s="118">
        <v>0</v>
      </c>
      <c r="K24" s="118">
        <v>0</v>
      </c>
      <c r="L24" s="118">
        <v>0</v>
      </c>
      <c r="M24" s="118">
        <v>0</v>
      </c>
      <c r="N24" s="118">
        <v>0</v>
      </c>
      <c r="O24" s="118">
        <v>0</v>
      </c>
      <c r="P24" s="118">
        <v>0</v>
      </c>
      <c r="Q24" s="118">
        <v>0</v>
      </c>
      <c r="R24" s="118">
        <v>0</v>
      </c>
      <c r="S24" s="118">
        <v>0</v>
      </c>
      <c r="T24" s="118">
        <v>0</v>
      </c>
      <c r="U24" s="118">
        <v>0</v>
      </c>
      <c r="V24" s="118">
        <v>0</v>
      </c>
      <c r="W24" s="282">
        <v>0</v>
      </c>
      <c r="X24" s="119"/>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5"/>
      <c r="AY24" s="115"/>
    </row>
    <row r="25" spans="1:51" s="93" customFormat="1">
      <c r="A25" s="314"/>
      <c r="B25" s="111" t="s">
        <v>69</v>
      </c>
      <c r="C25" s="111" t="s">
        <v>69</v>
      </c>
      <c r="D25" s="112" t="str">
        <f>D13</f>
        <v>Apresiasi</v>
      </c>
      <c r="E25" s="110" t="s">
        <v>69</v>
      </c>
      <c r="F25" s="118">
        <v>0</v>
      </c>
      <c r="G25" s="118">
        <v>0</v>
      </c>
      <c r="H25" s="118">
        <v>0</v>
      </c>
      <c r="I25" s="118">
        <v>0</v>
      </c>
      <c r="J25" s="118">
        <v>0</v>
      </c>
      <c r="K25" s="118">
        <v>0</v>
      </c>
      <c r="L25" s="118">
        <v>0</v>
      </c>
      <c r="M25" s="118">
        <v>0</v>
      </c>
      <c r="N25" s="118">
        <v>0</v>
      </c>
      <c r="O25" s="118">
        <v>0</v>
      </c>
      <c r="P25" s="118">
        <v>0</v>
      </c>
      <c r="Q25" s="118">
        <v>0</v>
      </c>
      <c r="R25" s="118">
        <v>0</v>
      </c>
      <c r="S25" s="118">
        <v>0</v>
      </c>
      <c r="T25" s="118">
        <v>0</v>
      </c>
      <c r="U25" s="118">
        <v>0</v>
      </c>
      <c r="V25" s="118">
        <v>0</v>
      </c>
      <c r="W25" s="282">
        <v>0</v>
      </c>
      <c r="X25" s="119"/>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5"/>
      <c r="AY25" s="115"/>
    </row>
    <row r="26" spans="1:51" s="93" customFormat="1">
      <c r="A26" s="314"/>
      <c r="B26" s="111" t="s">
        <v>84</v>
      </c>
      <c r="C26" s="117" t="s">
        <v>85</v>
      </c>
      <c r="D26" s="112" t="str">
        <f>D10</f>
        <v>Permintaan Informasi</v>
      </c>
      <c r="E26" s="110" t="s">
        <v>69</v>
      </c>
      <c r="F26" s="118">
        <v>0</v>
      </c>
      <c r="G26" s="118">
        <v>0</v>
      </c>
      <c r="H26" s="118">
        <v>0</v>
      </c>
      <c r="I26" s="118">
        <v>0</v>
      </c>
      <c r="J26" s="118">
        <v>0</v>
      </c>
      <c r="K26" s="118">
        <v>0</v>
      </c>
      <c r="L26" s="118">
        <v>0</v>
      </c>
      <c r="M26" s="118">
        <v>0</v>
      </c>
      <c r="N26" s="118">
        <v>0</v>
      </c>
      <c r="O26" s="118">
        <v>0</v>
      </c>
      <c r="P26" s="118">
        <v>0</v>
      </c>
      <c r="Q26" s="118">
        <v>0</v>
      </c>
      <c r="R26" s="118">
        <v>0</v>
      </c>
      <c r="S26" s="118">
        <v>0</v>
      </c>
      <c r="T26" s="118">
        <v>0</v>
      </c>
      <c r="U26" s="118">
        <v>0</v>
      </c>
      <c r="V26" s="118">
        <v>0</v>
      </c>
      <c r="W26" s="282">
        <v>0</v>
      </c>
      <c r="X26" s="119"/>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5"/>
      <c r="AY26" s="115"/>
    </row>
    <row r="27" spans="1:51" s="93" customFormat="1">
      <c r="A27" s="314"/>
      <c r="B27" s="121" t="s">
        <v>69</v>
      </c>
      <c r="C27" s="122" t="s">
        <v>69</v>
      </c>
      <c r="D27" s="112" t="str">
        <f>D11</f>
        <v>Request</v>
      </c>
      <c r="E27" s="110" t="s">
        <v>69</v>
      </c>
      <c r="F27" s="118">
        <v>0</v>
      </c>
      <c r="G27" s="118">
        <v>0</v>
      </c>
      <c r="H27" s="118">
        <v>0</v>
      </c>
      <c r="I27" s="118">
        <v>0</v>
      </c>
      <c r="J27" s="118">
        <v>0</v>
      </c>
      <c r="K27" s="118">
        <v>0</v>
      </c>
      <c r="L27" s="118">
        <v>0</v>
      </c>
      <c r="M27" s="118">
        <v>0</v>
      </c>
      <c r="N27" s="118">
        <v>0</v>
      </c>
      <c r="O27" s="118">
        <v>0</v>
      </c>
      <c r="P27" s="118">
        <v>0</v>
      </c>
      <c r="Q27" s="118">
        <v>0</v>
      </c>
      <c r="R27" s="118">
        <v>0</v>
      </c>
      <c r="S27" s="118">
        <v>0</v>
      </c>
      <c r="T27" s="118">
        <v>0</v>
      </c>
      <c r="U27" s="118">
        <v>0</v>
      </c>
      <c r="V27" s="118">
        <v>0</v>
      </c>
      <c r="W27" s="282">
        <v>0</v>
      </c>
      <c r="X27" s="119" t="s">
        <v>69</v>
      </c>
      <c r="Y27" s="114" t="s">
        <v>69</v>
      </c>
      <c r="Z27" s="114" t="s">
        <v>69</v>
      </c>
      <c r="AA27" s="114" t="s">
        <v>69</v>
      </c>
      <c r="AB27" s="114" t="s">
        <v>69</v>
      </c>
      <c r="AC27" s="114" t="s">
        <v>69</v>
      </c>
      <c r="AD27" s="114" t="s">
        <v>69</v>
      </c>
      <c r="AE27" s="114" t="s">
        <v>69</v>
      </c>
      <c r="AF27" s="114" t="s">
        <v>69</v>
      </c>
      <c r="AG27" s="114" t="s">
        <v>69</v>
      </c>
      <c r="AH27" s="114" t="s">
        <v>69</v>
      </c>
      <c r="AI27" s="114" t="s">
        <v>69</v>
      </c>
      <c r="AJ27" s="114" t="s">
        <v>69</v>
      </c>
      <c r="AK27" s="114" t="s">
        <v>69</v>
      </c>
      <c r="AL27" s="114" t="s">
        <v>69</v>
      </c>
      <c r="AM27" s="114" t="s">
        <v>69</v>
      </c>
      <c r="AN27" s="114" t="s">
        <v>69</v>
      </c>
      <c r="AO27" s="114" t="s">
        <v>69</v>
      </c>
      <c r="AP27" s="114" t="s">
        <v>69</v>
      </c>
      <c r="AQ27" s="114" t="s">
        <v>69</v>
      </c>
      <c r="AR27" s="114" t="s">
        <v>69</v>
      </c>
      <c r="AS27" s="114" t="s">
        <v>69</v>
      </c>
      <c r="AT27" s="114" t="s">
        <v>69</v>
      </c>
      <c r="AU27" s="114" t="s">
        <v>69</v>
      </c>
      <c r="AV27" s="114" t="s">
        <v>69</v>
      </c>
      <c r="AW27" s="114" t="s">
        <v>69</v>
      </c>
      <c r="AX27" s="115"/>
      <c r="AY27" s="115"/>
    </row>
    <row r="28" spans="1:51" s="93" customFormat="1">
      <c r="A28" s="314"/>
      <c r="B28" s="121" t="s">
        <v>69</v>
      </c>
      <c r="C28" s="122" t="s">
        <v>69</v>
      </c>
      <c r="D28" s="112" t="str">
        <f>D12</f>
        <v>Keluhan</v>
      </c>
      <c r="E28" s="110" t="s">
        <v>69</v>
      </c>
      <c r="F28" s="118">
        <v>0</v>
      </c>
      <c r="G28" s="118">
        <v>0</v>
      </c>
      <c r="H28" s="118">
        <v>0</v>
      </c>
      <c r="I28" s="118">
        <v>0</v>
      </c>
      <c r="J28" s="118">
        <v>0</v>
      </c>
      <c r="K28" s="118">
        <v>0</v>
      </c>
      <c r="L28" s="118">
        <v>0</v>
      </c>
      <c r="M28" s="118">
        <v>0</v>
      </c>
      <c r="N28" s="118">
        <v>0</v>
      </c>
      <c r="O28" s="118">
        <v>0</v>
      </c>
      <c r="P28" s="118">
        <v>0</v>
      </c>
      <c r="Q28" s="118">
        <v>0</v>
      </c>
      <c r="R28" s="118">
        <v>0</v>
      </c>
      <c r="S28" s="118">
        <v>0</v>
      </c>
      <c r="T28" s="118">
        <v>0</v>
      </c>
      <c r="U28" s="118">
        <v>0</v>
      </c>
      <c r="V28" s="118">
        <v>0</v>
      </c>
      <c r="W28" s="282">
        <v>0</v>
      </c>
      <c r="X28" s="119" t="s">
        <v>69</v>
      </c>
      <c r="Y28" s="114" t="s">
        <v>69</v>
      </c>
      <c r="Z28" s="114" t="s">
        <v>69</v>
      </c>
      <c r="AA28" s="114" t="s">
        <v>69</v>
      </c>
      <c r="AB28" s="114" t="s">
        <v>69</v>
      </c>
      <c r="AC28" s="114" t="s">
        <v>69</v>
      </c>
      <c r="AD28" s="114" t="s">
        <v>69</v>
      </c>
      <c r="AE28" s="114" t="s">
        <v>69</v>
      </c>
      <c r="AF28" s="114" t="s">
        <v>69</v>
      </c>
      <c r="AG28" s="114" t="s">
        <v>69</v>
      </c>
      <c r="AH28" s="114" t="s">
        <v>69</v>
      </c>
      <c r="AI28" s="114" t="s">
        <v>69</v>
      </c>
      <c r="AJ28" s="114" t="s">
        <v>69</v>
      </c>
      <c r="AK28" s="114" t="s">
        <v>69</v>
      </c>
      <c r="AL28" s="114" t="s">
        <v>69</v>
      </c>
      <c r="AM28" s="114" t="s">
        <v>69</v>
      </c>
      <c r="AN28" s="114" t="s">
        <v>69</v>
      </c>
      <c r="AO28" s="114" t="s">
        <v>69</v>
      </c>
      <c r="AP28" s="114" t="s">
        <v>69</v>
      </c>
      <c r="AQ28" s="114" t="s">
        <v>69</v>
      </c>
      <c r="AR28" s="114" t="s">
        <v>69</v>
      </c>
      <c r="AS28" s="114" t="s">
        <v>69</v>
      </c>
      <c r="AT28" s="114" t="s">
        <v>69</v>
      </c>
      <c r="AU28" s="114" t="s">
        <v>69</v>
      </c>
      <c r="AV28" s="114" t="s">
        <v>69</v>
      </c>
      <c r="AW28" s="114" t="s">
        <v>69</v>
      </c>
      <c r="AX28" s="115"/>
      <c r="AY28" s="115"/>
    </row>
    <row r="29" spans="1:51" s="93" customFormat="1">
      <c r="A29" s="314"/>
      <c r="B29" s="121" t="s">
        <v>69</v>
      </c>
      <c r="C29" s="122" t="s">
        <v>69</v>
      </c>
      <c r="D29" s="112" t="str">
        <f>D13</f>
        <v>Apresiasi</v>
      </c>
      <c r="E29" s="110" t="s">
        <v>69</v>
      </c>
      <c r="F29" s="118">
        <v>0</v>
      </c>
      <c r="G29" s="118">
        <v>0</v>
      </c>
      <c r="H29" s="118">
        <v>0</v>
      </c>
      <c r="I29" s="118">
        <v>0</v>
      </c>
      <c r="J29" s="118">
        <v>0</v>
      </c>
      <c r="K29" s="118">
        <v>0</v>
      </c>
      <c r="L29" s="118">
        <v>0</v>
      </c>
      <c r="M29" s="118">
        <v>0</v>
      </c>
      <c r="N29" s="118">
        <v>0</v>
      </c>
      <c r="O29" s="118">
        <v>0</v>
      </c>
      <c r="P29" s="118">
        <v>0</v>
      </c>
      <c r="Q29" s="118">
        <v>0</v>
      </c>
      <c r="R29" s="118">
        <v>0</v>
      </c>
      <c r="S29" s="118">
        <v>0</v>
      </c>
      <c r="T29" s="118">
        <v>0</v>
      </c>
      <c r="U29" s="118">
        <v>0</v>
      </c>
      <c r="V29" s="118">
        <v>0</v>
      </c>
      <c r="W29" s="282">
        <v>0</v>
      </c>
      <c r="X29" s="119" t="s">
        <v>69</v>
      </c>
      <c r="Y29" s="114" t="s">
        <v>69</v>
      </c>
      <c r="Z29" s="114" t="s">
        <v>69</v>
      </c>
      <c r="AA29" s="114" t="s">
        <v>69</v>
      </c>
      <c r="AB29" s="114" t="s">
        <v>69</v>
      </c>
      <c r="AC29" s="114" t="s">
        <v>69</v>
      </c>
      <c r="AD29" s="114" t="s">
        <v>69</v>
      </c>
      <c r="AE29" s="114" t="s">
        <v>69</v>
      </c>
      <c r="AF29" s="114" t="s">
        <v>69</v>
      </c>
      <c r="AG29" s="114" t="s">
        <v>69</v>
      </c>
      <c r="AH29" s="114" t="s">
        <v>69</v>
      </c>
      <c r="AI29" s="114" t="s">
        <v>69</v>
      </c>
      <c r="AJ29" s="114" t="s">
        <v>69</v>
      </c>
      <c r="AK29" s="114" t="s">
        <v>69</v>
      </c>
      <c r="AL29" s="114" t="s">
        <v>69</v>
      </c>
      <c r="AM29" s="114" t="s">
        <v>69</v>
      </c>
      <c r="AN29" s="114" t="s">
        <v>69</v>
      </c>
      <c r="AO29" s="114" t="s">
        <v>69</v>
      </c>
      <c r="AP29" s="114" t="s">
        <v>69</v>
      </c>
      <c r="AQ29" s="114" t="s">
        <v>69</v>
      </c>
      <c r="AR29" s="114" t="s">
        <v>69</v>
      </c>
      <c r="AS29" s="114" t="s">
        <v>69</v>
      </c>
      <c r="AT29" s="114" t="s">
        <v>69</v>
      </c>
      <c r="AU29" s="114" t="s">
        <v>69</v>
      </c>
      <c r="AV29" s="114" t="s">
        <v>69</v>
      </c>
      <c r="AW29" s="114" t="s">
        <v>69</v>
      </c>
      <c r="AX29" s="115"/>
      <c r="AY29" s="115"/>
    </row>
    <row r="30" spans="1:51" s="93" customFormat="1">
      <c r="A30" s="314"/>
      <c r="B30" s="121" t="s">
        <v>86</v>
      </c>
      <c r="C30" s="122" t="s">
        <v>87</v>
      </c>
      <c r="D30" s="123" t="str">
        <f>D26</f>
        <v>Permintaan Informasi</v>
      </c>
      <c r="E30" s="110" t="s">
        <v>69</v>
      </c>
      <c r="F30" s="118">
        <v>0</v>
      </c>
      <c r="G30" s="118">
        <v>0</v>
      </c>
      <c r="H30" s="118">
        <v>0</v>
      </c>
      <c r="I30" s="118">
        <v>0</v>
      </c>
      <c r="J30" s="118">
        <v>0</v>
      </c>
      <c r="K30" s="118">
        <v>0</v>
      </c>
      <c r="L30" s="118">
        <v>0</v>
      </c>
      <c r="M30" s="118">
        <v>0</v>
      </c>
      <c r="N30" s="118">
        <v>0</v>
      </c>
      <c r="O30" s="118">
        <v>0</v>
      </c>
      <c r="P30" s="118">
        <v>0</v>
      </c>
      <c r="Q30" s="118">
        <v>0</v>
      </c>
      <c r="R30" s="118">
        <v>0</v>
      </c>
      <c r="S30" s="118">
        <v>0</v>
      </c>
      <c r="T30" s="118">
        <v>0</v>
      </c>
      <c r="U30" s="118">
        <v>0</v>
      </c>
      <c r="V30" s="118">
        <v>0</v>
      </c>
      <c r="W30" s="282">
        <v>0</v>
      </c>
      <c r="X30" s="119" t="s">
        <v>69</v>
      </c>
      <c r="Y30" s="114" t="s">
        <v>69</v>
      </c>
      <c r="Z30" s="114" t="s">
        <v>69</v>
      </c>
      <c r="AA30" s="114" t="s">
        <v>69</v>
      </c>
      <c r="AB30" s="114" t="s">
        <v>69</v>
      </c>
      <c r="AC30" s="114" t="s">
        <v>69</v>
      </c>
      <c r="AD30" s="114" t="s">
        <v>69</v>
      </c>
      <c r="AE30" s="114" t="s">
        <v>69</v>
      </c>
      <c r="AF30" s="114" t="s">
        <v>69</v>
      </c>
      <c r="AG30" s="114" t="s">
        <v>69</v>
      </c>
      <c r="AH30" s="114" t="s">
        <v>69</v>
      </c>
      <c r="AI30" s="114" t="s">
        <v>69</v>
      </c>
      <c r="AJ30" s="114" t="s">
        <v>69</v>
      </c>
      <c r="AK30" s="114" t="s">
        <v>69</v>
      </c>
      <c r="AL30" s="114" t="s">
        <v>69</v>
      </c>
      <c r="AM30" s="114" t="s">
        <v>69</v>
      </c>
      <c r="AN30" s="114" t="s">
        <v>69</v>
      </c>
      <c r="AO30" s="114" t="s">
        <v>69</v>
      </c>
      <c r="AP30" s="114" t="s">
        <v>69</v>
      </c>
      <c r="AQ30" s="114" t="s">
        <v>69</v>
      </c>
      <c r="AR30" s="114" t="s">
        <v>69</v>
      </c>
      <c r="AS30" s="114" t="s">
        <v>69</v>
      </c>
      <c r="AT30" s="114" t="s">
        <v>69</v>
      </c>
      <c r="AU30" s="114" t="s">
        <v>69</v>
      </c>
      <c r="AV30" s="114" t="s">
        <v>69</v>
      </c>
      <c r="AW30" s="114" t="s">
        <v>69</v>
      </c>
      <c r="AX30" s="115"/>
      <c r="AY30" s="115"/>
    </row>
    <row r="31" spans="1:51" s="93" customFormat="1">
      <c r="A31" s="314"/>
      <c r="B31" s="121" t="s">
        <v>69</v>
      </c>
      <c r="C31" s="122" t="s">
        <v>69</v>
      </c>
      <c r="D31" s="123" t="str">
        <f>D27</f>
        <v>Request</v>
      </c>
      <c r="E31" s="110" t="s">
        <v>69</v>
      </c>
      <c r="F31" s="118">
        <v>0</v>
      </c>
      <c r="G31" s="118">
        <v>0</v>
      </c>
      <c r="H31" s="118">
        <v>0</v>
      </c>
      <c r="I31" s="118">
        <v>0</v>
      </c>
      <c r="J31" s="118">
        <v>0</v>
      </c>
      <c r="K31" s="118">
        <v>0</v>
      </c>
      <c r="L31" s="118">
        <v>0</v>
      </c>
      <c r="M31" s="118">
        <v>0</v>
      </c>
      <c r="N31" s="118">
        <v>0</v>
      </c>
      <c r="O31" s="118">
        <v>0</v>
      </c>
      <c r="P31" s="118">
        <v>0</v>
      </c>
      <c r="Q31" s="118">
        <v>0</v>
      </c>
      <c r="R31" s="118">
        <v>0</v>
      </c>
      <c r="S31" s="118">
        <v>0</v>
      </c>
      <c r="T31" s="118">
        <v>0</v>
      </c>
      <c r="U31" s="118">
        <v>0</v>
      </c>
      <c r="V31" s="118">
        <v>0</v>
      </c>
      <c r="W31" s="282">
        <v>0</v>
      </c>
      <c r="X31" s="119" t="s">
        <v>69</v>
      </c>
      <c r="Y31" s="114" t="s">
        <v>69</v>
      </c>
      <c r="Z31" s="114" t="s">
        <v>69</v>
      </c>
      <c r="AA31" s="114" t="s">
        <v>69</v>
      </c>
      <c r="AB31" s="114" t="s">
        <v>69</v>
      </c>
      <c r="AC31" s="114" t="s">
        <v>69</v>
      </c>
      <c r="AD31" s="114" t="s">
        <v>69</v>
      </c>
      <c r="AE31" s="114" t="s">
        <v>69</v>
      </c>
      <c r="AF31" s="114" t="s">
        <v>69</v>
      </c>
      <c r="AG31" s="114" t="s">
        <v>69</v>
      </c>
      <c r="AH31" s="114" t="s">
        <v>69</v>
      </c>
      <c r="AI31" s="114" t="s">
        <v>69</v>
      </c>
      <c r="AJ31" s="114" t="s">
        <v>69</v>
      </c>
      <c r="AK31" s="114" t="s">
        <v>69</v>
      </c>
      <c r="AL31" s="114" t="s">
        <v>69</v>
      </c>
      <c r="AM31" s="114" t="s">
        <v>69</v>
      </c>
      <c r="AN31" s="114" t="s">
        <v>69</v>
      </c>
      <c r="AO31" s="114" t="s">
        <v>69</v>
      </c>
      <c r="AP31" s="114" t="s">
        <v>69</v>
      </c>
      <c r="AQ31" s="114" t="s">
        <v>69</v>
      </c>
      <c r="AR31" s="114" t="s">
        <v>69</v>
      </c>
      <c r="AS31" s="114" t="s">
        <v>69</v>
      </c>
      <c r="AT31" s="114" t="s">
        <v>69</v>
      </c>
      <c r="AU31" s="114" t="s">
        <v>69</v>
      </c>
      <c r="AV31" s="114" t="s">
        <v>69</v>
      </c>
      <c r="AW31" s="114" t="s">
        <v>69</v>
      </c>
      <c r="AX31" s="115"/>
      <c r="AY31" s="115"/>
    </row>
    <row r="32" spans="1:51" s="93" customFormat="1">
      <c r="A32" s="314"/>
      <c r="B32" s="121" t="s">
        <v>69</v>
      </c>
      <c r="C32" s="122" t="s">
        <v>69</v>
      </c>
      <c r="D32" s="123" t="str">
        <f>D28</f>
        <v>Keluhan</v>
      </c>
      <c r="E32" s="110" t="s">
        <v>69</v>
      </c>
      <c r="F32" s="118">
        <v>0</v>
      </c>
      <c r="G32" s="118">
        <v>0</v>
      </c>
      <c r="H32" s="118">
        <v>0</v>
      </c>
      <c r="I32" s="118">
        <v>0</v>
      </c>
      <c r="J32" s="118">
        <v>0</v>
      </c>
      <c r="K32" s="118">
        <v>0</v>
      </c>
      <c r="L32" s="118">
        <v>0</v>
      </c>
      <c r="M32" s="118">
        <v>0</v>
      </c>
      <c r="N32" s="118">
        <v>0</v>
      </c>
      <c r="O32" s="118">
        <v>0</v>
      </c>
      <c r="P32" s="118">
        <v>0</v>
      </c>
      <c r="Q32" s="118">
        <v>0</v>
      </c>
      <c r="R32" s="118">
        <v>0</v>
      </c>
      <c r="S32" s="118">
        <v>0</v>
      </c>
      <c r="T32" s="118">
        <v>0</v>
      </c>
      <c r="U32" s="118">
        <v>0</v>
      </c>
      <c r="V32" s="118">
        <v>0</v>
      </c>
      <c r="W32" s="282">
        <v>0</v>
      </c>
      <c r="X32" s="119" t="s">
        <v>69</v>
      </c>
      <c r="Y32" s="114" t="s">
        <v>69</v>
      </c>
      <c r="Z32" s="114" t="s">
        <v>69</v>
      </c>
      <c r="AA32" s="114" t="s">
        <v>69</v>
      </c>
      <c r="AB32" s="114" t="s">
        <v>69</v>
      </c>
      <c r="AC32" s="114" t="s">
        <v>69</v>
      </c>
      <c r="AD32" s="114" t="s">
        <v>69</v>
      </c>
      <c r="AE32" s="114" t="s">
        <v>69</v>
      </c>
      <c r="AF32" s="114" t="s">
        <v>69</v>
      </c>
      <c r="AG32" s="114" t="s">
        <v>69</v>
      </c>
      <c r="AH32" s="114" t="s">
        <v>69</v>
      </c>
      <c r="AI32" s="114" t="s">
        <v>69</v>
      </c>
      <c r="AJ32" s="114" t="s">
        <v>69</v>
      </c>
      <c r="AK32" s="114" t="s">
        <v>69</v>
      </c>
      <c r="AL32" s="114" t="s">
        <v>69</v>
      </c>
      <c r="AM32" s="114" t="s">
        <v>69</v>
      </c>
      <c r="AN32" s="114" t="s">
        <v>69</v>
      </c>
      <c r="AO32" s="114" t="s">
        <v>69</v>
      </c>
      <c r="AP32" s="114" t="s">
        <v>69</v>
      </c>
      <c r="AQ32" s="114" t="s">
        <v>69</v>
      </c>
      <c r="AR32" s="114" t="s">
        <v>69</v>
      </c>
      <c r="AS32" s="114" t="s">
        <v>69</v>
      </c>
      <c r="AT32" s="114" t="s">
        <v>69</v>
      </c>
      <c r="AU32" s="114" t="s">
        <v>69</v>
      </c>
      <c r="AV32" s="114" t="s">
        <v>69</v>
      </c>
      <c r="AW32" s="114" t="s">
        <v>69</v>
      </c>
      <c r="AX32" s="115"/>
      <c r="AY32" s="115"/>
    </row>
    <row r="33" spans="1:51" s="93" customFormat="1">
      <c r="A33" s="314"/>
      <c r="B33" s="121" t="s">
        <v>69</v>
      </c>
      <c r="C33" s="122" t="s">
        <v>69</v>
      </c>
      <c r="D33" s="123" t="s">
        <v>88</v>
      </c>
      <c r="E33" s="110" t="s">
        <v>69</v>
      </c>
      <c r="F33" s="118">
        <v>0</v>
      </c>
      <c r="G33" s="118">
        <v>0</v>
      </c>
      <c r="H33" s="118">
        <v>0</v>
      </c>
      <c r="I33" s="118">
        <v>0</v>
      </c>
      <c r="J33" s="118">
        <v>0</v>
      </c>
      <c r="K33" s="118">
        <v>0</v>
      </c>
      <c r="L33" s="118">
        <v>0</v>
      </c>
      <c r="M33" s="118">
        <v>0</v>
      </c>
      <c r="N33" s="118">
        <v>0</v>
      </c>
      <c r="O33" s="118">
        <v>0</v>
      </c>
      <c r="P33" s="118">
        <v>0</v>
      </c>
      <c r="Q33" s="118">
        <v>0</v>
      </c>
      <c r="R33" s="118">
        <v>0</v>
      </c>
      <c r="S33" s="118">
        <v>0</v>
      </c>
      <c r="T33" s="118">
        <v>0</v>
      </c>
      <c r="U33" s="118">
        <v>0</v>
      </c>
      <c r="V33" s="118">
        <v>0</v>
      </c>
      <c r="W33" s="282">
        <v>0</v>
      </c>
      <c r="X33" s="119" t="s">
        <v>69</v>
      </c>
      <c r="Y33" s="114" t="s">
        <v>69</v>
      </c>
      <c r="Z33" s="114" t="s">
        <v>69</v>
      </c>
      <c r="AA33" s="114" t="s">
        <v>69</v>
      </c>
      <c r="AB33" s="114" t="s">
        <v>69</v>
      </c>
      <c r="AC33" s="114" t="s">
        <v>69</v>
      </c>
      <c r="AD33" s="114" t="s">
        <v>69</v>
      </c>
      <c r="AE33" s="114" t="s">
        <v>69</v>
      </c>
      <c r="AF33" s="114" t="s">
        <v>69</v>
      </c>
      <c r="AG33" s="114" t="s">
        <v>69</v>
      </c>
      <c r="AH33" s="114" t="s">
        <v>69</v>
      </c>
      <c r="AI33" s="114" t="s">
        <v>69</v>
      </c>
      <c r="AJ33" s="114" t="s">
        <v>69</v>
      </c>
      <c r="AK33" s="114" t="s">
        <v>69</v>
      </c>
      <c r="AL33" s="114" t="s">
        <v>69</v>
      </c>
      <c r="AM33" s="114" t="s">
        <v>69</v>
      </c>
      <c r="AN33" s="114" t="s">
        <v>69</v>
      </c>
      <c r="AO33" s="114" t="s">
        <v>69</v>
      </c>
      <c r="AP33" s="114" t="s">
        <v>69</v>
      </c>
      <c r="AQ33" s="114" t="s">
        <v>69</v>
      </c>
      <c r="AR33" s="114" t="s">
        <v>69</v>
      </c>
      <c r="AS33" s="114" t="s">
        <v>69</v>
      </c>
      <c r="AT33" s="114" t="s">
        <v>69</v>
      </c>
      <c r="AU33" s="114" t="s">
        <v>69</v>
      </c>
      <c r="AV33" s="114" t="s">
        <v>69</v>
      </c>
      <c r="AW33" s="114" t="s">
        <v>69</v>
      </c>
      <c r="AX33" s="115"/>
      <c r="AY33" s="115"/>
    </row>
    <row r="34" spans="1:51" s="93" customFormat="1">
      <c r="A34" s="314"/>
      <c r="B34" s="121" t="s">
        <v>89</v>
      </c>
      <c r="C34" s="122" t="s">
        <v>90</v>
      </c>
      <c r="D34" s="123" t="str">
        <f>D30</f>
        <v>Permintaan Informasi</v>
      </c>
      <c r="E34" s="110" t="s">
        <v>69</v>
      </c>
      <c r="F34" s="118">
        <v>0</v>
      </c>
      <c r="G34" s="118">
        <v>0</v>
      </c>
      <c r="H34" s="118">
        <v>0</v>
      </c>
      <c r="I34" s="118">
        <v>0</v>
      </c>
      <c r="J34" s="118">
        <v>0</v>
      </c>
      <c r="K34" s="118">
        <v>0</v>
      </c>
      <c r="L34" s="118">
        <v>0</v>
      </c>
      <c r="M34" s="118">
        <v>0</v>
      </c>
      <c r="N34" s="118">
        <v>0</v>
      </c>
      <c r="O34" s="118">
        <v>0</v>
      </c>
      <c r="P34" s="118">
        <v>0</v>
      </c>
      <c r="Q34" s="118">
        <v>0</v>
      </c>
      <c r="R34" s="118">
        <v>0</v>
      </c>
      <c r="S34" s="118">
        <v>0</v>
      </c>
      <c r="T34" s="118">
        <v>0</v>
      </c>
      <c r="U34" s="118">
        <v>0</v>
      </c>
      <c r="V34" s="118">
        <v>0</v>
      </c>
      <c r="W34" s="282">
        <v>0</v>
      </c>
      <c r="X34" s="119" t="s">
        <v>69</v>
      </c>
      <c r="Y34" s="114" t="s">
        <v>69</v>
      </c>
      <c r="Z34" s="114" t="s">
        <v>69</v>
      </c>
      <c r="AA34" s="114" t="s">
        <v>69</v>
      </c>
      <c r="AB34" s="114" t="s">
        <v>69</v>
      </c>
      <c r="AC34" s="114" t="s">
        <v>69</v>
      </c>
      <c r="AD34" s="114" t="s">
        <v>69</v>
      </c>
      <c r="AE34" s="114" t="s">
        <v>69</v>
      </c>
      <c r="AF34" s="114" t="s">
        <v>69</v>
      </c>
      <c r="AG34" s="114" t="s">
        <v>69</v>
      </c>
      <c r="AH34" s="114" t="s">
        <v>69</v>
      </c>
      <c r="AI34" s="114" t="s">
        <v>69</v>
      </c>
      <c r="AJ34" s="114" t="s">
        <v>69</v>
      </c>
      <c r="AK34" s="114" t="s">
        <v>69</v>
      </c>
      <c r="AL34" s="114" t="s">
        <v>69</v>
      </c>
      <c r="AM34" s="114" t="s">
        <v>69</v>
      </c>
      <c r="AN34" s="114" t="s">
        <v>69</v>
      </c>
      <c r="AO34" s="114" t="s">
        <v>69</v>
      </c>
      <c r="AP34" s="114" t="s">
        <v>69</v>
      </c>
      <c r="AQ34" s="114" t="s">
        <v>69</v>
      </c>
      <c r="AR34" s="114" t="s">
        <v>69</v>
      </c>
      <c r="AS34" s="114" t="s">
        <v>69</v>
      </c>
      <c r="AT34" s="114" t="s">
        <v>69</v>
      </c>
      <c r="AU34" s="114" t="s">
        <v>69</v>
      </c>
      <c r="AV34" s="114" t="s">
        <v>69</v>
      </c>
      <c r="AW34" s="114" t="s">
        <v>69</v>
      </c>
      <c r="AX34" s="115"/>
      <c r="AY34" s="115"/>
    </row>
    <row r="35" spans="1:51" s="93" customFormat="1">
      <c r="A35" s="314"/>
      <c r="B35" s="121" t="s">
        <v>69</v>
      </c>
      <c r="C35" s="122" t="s">
        <v>69</v>
      </c>
      <c r="D35" s="123" t="str">
        <f>D31</f>
        <v>Request</v>
      </c>
      <c r="E35" s="110" t="s">
        <v>69</v>
      </c>
      <c r="F35" s="118">
        <v>0</v>
      </c>
      <c r="G35" s="118">
        <v>0</v>
      </c>
      <c r="H35" s="118">
        <v>0</v>
      </c>
      <c r="I35" s="118">
        <v>0</v>
      </c>
      <c r="J35" s="118">
        <v>0</v>
      </c>
      <c r="K35" s="118">
        <v>0</v>
      </c>
      <c r="L35" s="118">
        <v>0</v>
      </c>
      <c r="M35" s="118">
        <v>0</v>
      </c>
      <c r="N35" s="118">
        <v>0</v>
      </c>
      <c r="O35" s="118">
        <v>0</v>
      </c>
      <c r="P35" s="118">
        <v>0</v>
      </c>
      <c r="Q35" s="118">
        <v>0</v>
      </c>
      <c r="R35" s="118">
        <v>0</v>
      </c>
      <c r="S35" s="118">
        <v>0</v>
      </c>
      <c r="T35" s="118">
        <v>0</v>
      </c>
      <c r="U35" s="118">
        <v>0</v>
      </c>
      <c r="V35" s="118">
        <v>0</v>
      </c>
      <c r="W35" s="282">
        <v>0</v>
      </c>
      <c r="X35" s="119" t="s">
        <v>69</v>
      </c>
      <c r="Y35" s="114" t="s">
        <v>69</v>
      </c>
      <c r="Z35" s="114" t="s">
        <v>69</v>
      </c>
      <c r="AA35" s="114" t="s">
        <v>69</v>
      </c>
      <c r="AB35" s="114" t="s">
        <v>69</v>
      </c>
      <c r="AC35" s="114" t="s">
        <v>69</v>
      </c>
      <c r="AD35" s="114" t="s">
        <v>69</v>
      </c>
      <c r="AE35" s="114" t="s">
        <v>69</v>
      </c>
      <c r="AF35" s="114" t="s">
        <v>69</v>
      </c>
      <c r="AG35" s="114" t="s">
        <v>69</v>
      </c>
      <c r="AH35" s="114" t="s">
        <v>69</v>
      </c>
      <c r="AI35" s="114" t="s">
        <v>69</v>
      </c>
      <c r="AJ35" s="114" t="s">
        <v>69</v>
      </c>
      <c r="AK35" s="114" t="s">
        <v>69</v>
      </c>
      <c r="AL35" s="114" t="s">
        <v>69</v>
      </c>
      <c r="AM35" s="114" t="s">
        <v>69</v>
      </c>
      <c r="AN35" s="114" t="s">
        <v>69</v>
      </c>
      <c r="AO35" s="114" t="s">
        <v>69</v>
      </c>
      <c r="AP35" s="114" t="s">
        <v>69</v>
      </c>
      <c r="AQ35" s="114" t="s">
        <v>69</v>
      </c>
      <c r="AR35" s="114" t="s">
        <v>69</v>
      </c>
      <c r="AS35" s="114" t="s">
        <v>69</v>
      </c>
      <c r="AT35" s="114" t="s">
        <v>69</v>
      </c>
      <c r="AU35" s="114" t="s">
        <v>69</v>
      </c>
      <c r="AV35" s="114" t="s">
        <v>69</v>
      </c>
      <c r="AW35" s="114" t="s">
        <v>69</v>
      </c>
      <c r="AX35" s="115"/>
      <c r="AY35" s="115"/>
    </row>
    <row r="36" spans="1:51" s="93" customFormat="1" ht="49.5">
      <c r="A36" s="314"/>
      <c r="B36" s="121" t="s">
        <v>69</v>
      </c>
      <c r="C36" s="122" t="s">
        <v>69</v>
      </c>
      <c r="D36" s="123" t="str">
        <f>D32</f>
        <v>Keluhan</v>
      </c>
      <c r="E36" s="110" t="s">
        <v>69</v>
      </c>
      <c r="F36" s="111">
        <v>2</v>
      </c>
      <c r="G36" s="219">
        <v>1</v>
      </c>
      <c r="H36" s="219">
        <v>0</v>
      </c>
      <c r="I36" s="219">
        <v>1</v>
      </c>
      <c r="J36" s="219">
        <v>0</v>
      </c>
      <c r="K36" s="219">
        <v>0</v>
      </c>
      <c r="L36" s="219">
        <v>0</v>
      </c>
      <c r="M36" s="219">
        <v>1</v>
      </c>
      <c r="N36" s="219">
        <v>2</v>
      </c>
      <c r="O36" s="219">
        <v>0</v>
      </c>
      <c r="P36" s="219">
        <v>3</v>
      </c>
      <c r="Q36" s="219">
        <v>0</v>
      </c>
      <c r="R36" s="219">
        <v>0</v>
      </c>
      <c r="S36" s="219">
        <v>0</v>
      </c>
      <c r="T36" s="219">
        <v>1</v>
      </c>
      <c r="U36" s="220">
        <v>1</v>
      </c>
      <c r="V36" s="221">
        <v>0</v>
      </c>
      <c r="W36" s="283">
        <v>0</v>
      </c>
      <c r="X36" s="277" t="s">
        <v>203</v>
      </c>
      <c r="Y36" s="114" t="s">
        <v>69</v>
      </c>
      <c r="Z36" s="114" t="s">
        <v>69</v>
      </c>
      <c r="AA36" s="114" t="s">
        <v>69</v>
      </c>
      <c r="AB36" s="114" t="s">
        <v>69</v>
      </c>
      <c r="AC36" s="114" t="s">
        <v>69</v>
      </c>
      <c r="AD36" s="114" t="s">
        <v>69</v>
      </c>
      <c r="AE36" s="114" t="s">
        <v>69</v>
      </c>
      <c r="AF36" s="114" t="s">
        <v>69</v>
      </c>
      <c r="AG36" s="114" t="s">
        <v>69</v>
      </c>
      <c r="AH36" s="114" t="s">
        <v>69</v>
      </c>
      <c r="AI36" s="114" t="s">
        <v>69</v>
      </c>
      <c r="AJ36" s="114" t="s">
        <v>69</v>
      </c>
      <c r="AK36" s="114" t="s">
        <v>69</v>
      </c>
      <c r="AL36" s="114" t="s">
        <v>69</v>
      </c>
      <c r="AM36" s="114" t="s">
        <v>69</v>
      </c>
      <c r="AN36" s="114" t="s">
        <v>69</v>
      </c>
      <c r="AO36" s="114" t="s">
        <v>69</v>
      </c>
      <c r="AP36" s="114" t="s">
        <v>69</v>
      </c>
      <c r="AQ36" s="114" t="s">
        <v>69</v>
      </c>
      <c r="AR36" s="114" t="s">
        <v>69</v>
      </c>
      <c r="AS36" s="114" t="s">
        <v>69</v>
      </c>
      <c r="AT36" s="114" t="s">
        <v>69</v>
      </c>
      <c r="AU36" s="114" t="s">
        <v>69</v>
      </c>
      <c r="AV36" s="114" t="s">
        <v>69</v>
      </c>
      <c r="AW36" s="114" t="s">
        <v>69</v>
      </c>
      <c r="AX36" s="115"/>
      <c r="AY36" s="115"/>
    </row>
    <row r="37" spans="1:51" s="93" customFormat="1">
      <c r="A37" s="314"/>
      <c r="B37" s="121" t="s">
        <v>69</v>
      </c>
      <c r="C37" s="122" t="s">
        <v>69</v>
      </c>
      <c r="D37" s="123" t="str">
        <f>D33</f>
        <v>Apresiasi</v>
      </c>
      <c r="E37" s="110" t="s">
        <v>69</v>
      </c>
      <c r="F37" s="111">
        <v>0</v>
      </c>
      <c r="G37" s="111">
        <v>0</v>
      </c>
      <c r="H37" s="111">
        <v>0</v>
      </c>
      <c r="I37" s="111">
        <v>0</v>
      </c>
      <c r="J37" s="111">
        <v>0</v>
      </c>
      <c r="K37" s="111">
        <v>0</v>
      </c>
      <c r="L37" s="111">
        <v>0</v>
      </c>
      <c r="M37" s="111">
        <v>0</v>
      </c>
      <c r="N37" s="111">
        <v>0</v>
      </c>
      <c r="O37" s="111">
        <v>0</v>
      </c>
      <c r="P37" s="111">
        <v>0</v>
      </c>
      <c r="Q37" s="111">
        <v>0</v>
      </c>
      <c r="R37" s="111">
        <v>0</v>
      </c>
      <c r="S37" s="111">
        <v>0</v>
      </c>
      <c r="T37" s="111">
        <v>0</v>
      </c>
      <c r="U37" s="111">
        <v>0</v>
      </c>
      <c r="V37" s="111">
        <v>0</v>
      </c>
      <c r="W37" s="112">
        <v>0</v>
      </c>
      <c r="X37" s="119" t="s">
        <v>69</v>
      </c>
      <c r="Y37" s="114" t="s">
        <v>69</v>
      </c>
      <c r="Z37" s="114" t="s">
        <v>69</v>
      </c>
      <c r="AA37" s="114" t="s">
        <v>69</v>
      </c>
      <c r="AB37" s="114" t="s">
        <v>69</v>
      </c>
      <c r="AC37" s="114" t="s">
        <v>69</v>
      </c>
      <c r="AD37" s="114" t="s">
        <v>69</v>
      </c>
      <c r="AE37" s="114" t="s">
        <v>69</v>
      </c>
      <c r="AF37" s="114" t="s">
        <v>69</v>
      </c>
      <c r="AG37" s="114" t="s">
        <v>69</v>
      </c>
      <c r="AH37" s="114" t="s">
        <v>69</v>
      </c>
      <c r="AI37" s="114" t="s">
        <v>69</v>
      </c>
      <c r="AJ37" s="114" t="s">
        <v>69</v>
      </c>
      <c r="AK37" s="114" t="s">
        <v>69</v>
      </c>
      <c r="AL37" s="114" t="s">
        <v>69</v>
      </c>
      <c r="AM37" s="114" t="s">
        <v>69</v>
      </c>
      <c r="AN37" s="114" t="s">
        <v>69</v>
      </c>
      <c r="AO37" s="114" t="s">
        <v>69</v>
      </c>
      <c r="AP37" s="114" t="s">
        <v>69</v>
      </c>
      <c r="AQ37" s="114" t="s">
        <v>69</v>
      </c>
      <c r="AR37" s="114" t="s">
        <v>69</v>
      </c>
      <c r="AS37" s="114" t="s">
        <v>69</v>
      </c>
      <c r="AT37" s="114" t="s">
        <v>69</v>
      </c>
      <c r="AU37" s="114" t="s">
        <v>69</v>
      </c>
      <c r="AV37" s="114" t="s">
        <v>69</v>
      </c>
      <c r="AW37" s="114" t="s">
        <v>69</v>
      </c>
      <c r="AX37" s="115"/>
      <c r="AY37" s="115"/>
    </row>
    <row r="38" spans="1:51" s="93" customFormat="1">
      <c r="A38" s="314"/>
      <c r="B38" s="111" t="s">
        <v>91</v>
      </c>
      <c r="C38" s="117" t="s">
        <v>92</v>
      </c>
      <c r="D38" s="112" t="str">
        <f>D34</f>
        <v>Permintaan Informasi</v>
      </c>
      <c r="E38" s="110" t="s">
        <v>69</v>
      </c>
      <c r="F38" s="111">
        <v>0</v>
      </c>
      <c r="G38" s="111">
        <v>0</v>
      </c>
      <c r="H38" s="111">
        <v>0</v>
      </c>
      <c r="I38" s="111">
        <v>0</v>
      </c>
      <c r="J38" s="111">
        <v>0</v>
      </c>
      <c r="K38" s="111">
        <v>0</v>
      </c>
      <c r="L38" s="111">
        <v>0</v>
      </c>
      <c r="M38" s="111">
        <v>0</v>
      </c>
      <c r="N38" s="111">
        <v>0</v>
      </c>
      <c r="O38" s="111">
        <v>0</v>
      </c>
      <c r="P38" s="111">
        <v>0</v>
      </c>
      <c r="Q38" s="111">
        <v>0</v>
      </c>
      <c r="R38" s="111">
        <v>0</v>
      </c>
      <c r="S38" s="111">
        <v>0</v>
      </c>
      <c r="T38" s="111">
        <v>0</v>
      </c>
      <c r="U38" s="111">
        <v>0</v>
      </c>
      <c r="V38" s="111">
        <v>0</v>
      </c>
      <c r="W38" s="112">
        <v>0</v>
      </c>
      <c r="X38" s="119"/>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5"/>
      <c r="AY38" s="115"/>
    </row>
    <row r="39" spans="1:51" s="93" customFormat="1">
      <c r="A39" s="314"/>
      <c r="B39" s="121" t="s">
        <v>69</v>
      </c>
      <c r="C39" s="121" t="s">
        <v>69</v>
      </c>
      <c r="D39" s="112" t="str">
        <f>D35</f>
        <v>Request</v>
      </c>
      <c r="E39" s="110" t="s">
        <v>69</v>
      </c>
      <c r="F39" s="111">
        <v>0</v>
      </c>
      <c r="G39" s="111">
        <v>0</v>
      </c>
      <c r="H39" s="111">
        <v>0</v>
      </c>
      <c r="I39" s="111">
        <v>0</v>
      </c>
      <c r="J39" s="111">
        <v>0</v>
      </c>
      <c r="K39" s="111">
        <v>0</v>
      </c>
      <c r="L39" s="111">
        <v>0</v>
      </c>
      <c r="M39" s="111">
        <v>0</v>
      </c>
      <c r="N39" s="111">
        <v>0</v>
      </c>
      <c r="O39" s="111">
        <v>0</v>
      </c>
      <c r="P39" s="111">
        <v>0</v>
      </c>
      <c r="Q39" s="111">
        <v>0</v>
      </c>
      <c r="R39" s="111">
        <v>0</v>
      </c>
      <c r="S39" s="111">
        <v>0</v>
      </c>
      <c r="T39" s="111">
        <v>0</v>
      </c>
      <c r="U39" s="111">
        <v>0</v>
      </c>
      <c r="V39" s="111">
        <v>0</v>
      </c>
      <c r="W39" s="112">
        <v>0</v>
      </c>
      <c r="X39" s="119" t="s">
        <v>69</v>
      </c>
      <c r="Y39" s="114" t="s">
        <v>69</v>
      </c>
      <c r="Z39" s="114" t="s">
        <v>69</v>
      </c>
      <c r="AA39" s="114" t="s">
        <v>69</v>
      </c>
      <c r="AB39" s="114" t="s">
        <v>69</v>
      </c>
      <c r="AC39" s="114" t="s">
        <v>69</v>
      </c>
      <c r="AD39" s="114" t="s">
        <v>69</v>
      </c>
      <c r="AE39" s="114" t="s">
        <v>69</v>
      </c>
      <c r="AF39" s="114" t="s">
        <v>69</v>
      </c>
      <c r="AG39" s="114" t="s">
        <v>69</v>
      </c>
      <c r="AH39" s="114" t="s">
        <v>69</v>
      </c>
      <c r="AI39" s="114" t="s">
        <v>69</v>
      </c>
      <c r="AJ39" s="114" t="s">
        <v>69</v>
      </c>
      <c r="AK39" s="114" t="s">
        <v>69</v>
      </c>
      <c r="AL39" s="114" t="s">
        <v>69</v>
      </c>
      <c r="AM39" s="114" t="s">
        <v>69</v>
      </c>
      <c r="AN39" s="114" t="s">
        <v>69</v>
      </c>
      <c r="AO39" s="114" t="s">
        <v>69</v>
      </c>
      <c r="AP39" s="114" t="s">
        <v>69</v>
      </c>
      <c r="AQ39" s="114" t="s">
        <v>69</v>
      </c>
      <c r="AR39" s="114" t="s">
        <v>69</v>
      </c>
      <c r="AS39" s="114" t="s">
        <v>69</v>
      </c>
      <c r="AT39" s="114" t="s">
        <v>69</v>
      </c>
      <c r="AU39" s="114" t="s">
        <v>69</v>
      </c>
      <c r="AV39" s="114" t="s">
        <v>69</v>
      </c>
      <c r="AW39" s="114" t="s">
        <v>69</v>
      </c>
      <c r="AX39" s="115"/>
      <c r="AY39" s="115"/>
    </row>
    <row r="40" spans="1:51" s="93" customFormat="1">
      <c r="A40" s="314"/>
      <c r="B40" s="111" t="s">
        <v>69</v>
      </c>
      <c r="C40" s="111" t="s">
        <v>69</v>
      </c>
      <c r="D40" s="112" t="str">
        <f>D36</f>
        <v>Keluhan</v>
      </c>
      <c r="E40" s="110" t="s">
        <v>69</v>
      </c>
      <c r="F40" s="111">
        <v>0</v>
      </c>
      <c r="G40" s="111">
        <v>0</v>
      </c>
      <c r="H40" s="111">
        <v>0</v>
      </c>
      <c r="I40" s="111">
        <v>0</v>
      </c>
      <c r="J40" s="111">
        <v>0</v>
      </c>
      <c r="K40" s="111">
        <v>0</v>
      </c>
      <c r="L40" s="111">
        <v>0</v>
      </c>
      <c r="M40" s="111">
        <v>0</v>
      </c>
      <c r="N40" s="111">
        <v>0</v>
      </c>
      <c r="O40" s="111">
        <v>0</v>
      </c>
      <c r="P40" s="111">
        <v>0</v>
      </c>
      <c r="Q40" s="111">
        <v>0</v>
      </c>
      <c r="R40" s="111">
        <v>0</v>
      </c>
      <c r="S40" s="111">
        <v>0</v>
      </c>
      <c r="T40" s="111">
        <v>0</v>
      </c>
      <c r="U40" s="111">
        <v>0</v>
      </c>
      <c r="V40" s="111">
        <v>0</v>
      </c>
      <c r="W40" s="112">
        <v>0</v>
      </c>
      <c r="X40" s="119"/>
      <c r="Y40" s="114"/>
      <c r="Z40" s="114"/>
      <c r="AA40" s="114"/>
      <c r="AB40" s="114"/>
      <c r="AC40" s="114"/>
      <c r="AD40" s="114"/>
      <c r="AE40" s="114"/>
      <c r="AF40" s="114"/>
      <c r="AG40" s="114"/>
      <c r="AH40" s="114"/>
      <c r="AI40" s="114"/>
      <c r="AJ40" s="114"/>
      <c r="AK40" s="114"/>
      <c r="AL40" s="114"/>
      <c r="AM40" s="114"/>
      <c r="AN40" s="114"/>
      <c r="AO40" s="114"/>
      <c r="AP40" s="114"/>
      <c r="AQ40" s="114"/>
      <c r="AR40" s="114"/>
      <c r="AS40" s="114"/>
      <c r="AT40" s="114"/>
      <c r="AU40" s="114"/>
      <c r="AV40" s="114"/>
      <c r="AW40" s="114"/>
      <c r="AX40" s="115"/>
      <c r="AY40" s="115"/>
    </row>
    <row r="41" spans="1:51" s="93" customFormat="1">
      <c r="A41" s="314"/>
      <c r="B41" s="111" t="s">
        <v>69</v>
      </c>
      <c r="C41" s="111" t="s">
        <v>69</v>
      </c>
      <c r="D41" s="112" t="str">
        <f>D37</f>
        <v>Apresiasi</v>
      </c>
      <c r="E41" s="110" t="s">
        <v>69</v>
      </c>
      <c r="F41" s="111">
        <v>0</v>
      </c>
      <c r="G41" s="111">
        <v>0</v>
      </c>
      <c r="H41" s="111">
        <v>0</v>
      </c>
      <c r="I41" s="111">
        <v>0</v>
      </c>
      <c r="J41" s="111">
        <v>0</v>
      </c>
      <c r="K41" s="111">
        <v>0</v>
      </c>
      <c r="L41" s="111">
        <v>0</v>
      </c>
      <c r="M41" s="111">
        <v>0</v>
      </c>
      <c r="N41" s="111">
        <v>0</v>
      </c>
      <c r="O41" s="111">
        <v>0</v>
      </c>
      <c r="P41" s="111">
        <v>0</v>
      </c>
      <c r="Q41" s="111">
        <v>0</v>
      </c>
      <c r="R41" s="111">
        <v>0</v>
      </c>
      <c r="S41" s="111">
        <v>0</v>
      </c>
      <c r="T41" s="111">
        <v>0</v>
      </c>
      <c r="U41" s="111">
        <v>0</v>
      </c>
      <c r="V41" s="111">
        <v>0</v>
      </c>
      <c r="W41" s="112">
        <v>0</v>
      </c>
      <c r="X41" s="119"/>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4"/>
      <c r="AX41" s="115"/>
      <c r="AY41" s="115"/>
    </row>
    <row r="42" spans="1:51" s="93" customFormat="1">
      <c r="A42" s="314"/>
      <c r="B42" s="112" t="s">
        <v>93</v>
      </c>
      <c r="C42" s="124" t="s">
        <v>94</v>
      </c>
      <c r="D42" s="112" t="str">
        <f>D38</f>
        <v>Permintaan Informasi</v>
      </c>
      <c r="E42" s="110" t="s">
        <v>69</v>
      </c>
      <c r="F42" s="111">
        <v>0</v>
      </c>
      <c r="G42" s="111">
        <v>0</v>
      </c>
      <c r="H42" s="111">
        <v>0</v>
      </c>
      <c r="I42" s="111">
        <v>0</v>
      </c>
      <c r="J42" s="111">
        <v>0</v>
      </c>
      <c r="K42" s="111">
        <v>0</v>
      </c>
      <c r="L42" s="111">
        <v>0</v>
      </c>
      <c r="M42" s="111">
        <v>0</v>
      </c>
      <c r="N42" s="111">
        <v>0</v>
      </c>
      <c r="O42" s="111">
        <v>0</v>
      </c>
      <c r="P42" s="111">
        <v>0</v>
      </c>
      <c r="Q42" s="111">
        <v>0</v>
      </c>
      <c r="R42" s="111">
        <v>0</v>
      </c>
      <c r="S42" s="111">
        <v>0</v>
      </c>
      <c r="T42" s="111">
        <v>0</v>
      </c>
      <c r="U42" s="111">
        <v>0</v>
      </c>
      <c r="V42" s="111">
        <v>0</v>
      </c>
      <c r="W42" s="112">
        <v>0</v>
      </c>
      <c r="X42" s="119"/>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114"/>
      <c r="AX42" s="115"/>
      <c r="AY42" s="115"/>
    </row>
    <row r="43" spans="1:51" s="93" customFormat="1">
      <c r="A43" s="314"/>
      <c r="B43" s="123" t="s">
        <v>69</v>
      </c>
      <c r="C43" s="125" t="s">
        <v>69</v>
      </c>
      <c r="D43" s="112" t="str">
        <f>D39</f>
        <v>Request</v>
      </c>
      <c r="E43" s="110" t="s">
        <v>69</v>
      </c>
      <c r="F43" s="111">
        <v>0</v>
      </c>
      <c r="G43" s="111">
        <v>0</v>
      </c>
      <c r="H43" s="111">
        <v>0</v>
      </c>
      <c r="I43" s="111">
        <v>0</v>
      </c>
      <c r="J43" s="111">
        <v>0</v>
      </c>
      <c r="K43" s="111">
        <v>0</v>
      </c>
      <c r="L43" s="111">
        <v>0</v>
      </c>
      <c r="M43" s="111">
        <v>0</v>
      </c>
      <c r="N43" s="111">
        <v>0</v>
      </c>
      <c r="O43" s="111">
        <v>0</v>
      </c>
      <c r="P43" s="111">
        <v>0</v>
      </c>
      <c r="Q43" s="111">
        <v>0</v>
      </c>
      <c r="R43" s="111">
        <v>0</v>
      </c>
      <c r="S43" s="111">
        <v>0</v>
      </c>
      <c r="T43" s="111">
        <v>0</v>
      </c>
      <c r="U43" s="111">
        <v>0</v>
      </c>
      <c r="V43" s="111">
        <v>0</v>
      </c>
      <c r="W43" s="112">
        <v>0</v>
      </c>
      <c r="X43" s="119" t="s">
        <v>69</v>
      </c>
      <c r="Y43" s="114" t="s">
        <v>69</v>
      </c>
      <c r="Z43" s="114" t="s">
        <v>69</v>
      </c>
      <c r="AA43" s="114" t="s">
        <v>69</v>
      </c>
      <c r="AB43" s="114" t="s">
        <v>69</v>
      </c>
      <c r="AC43" s="114" t="s">
        <v>69</v>
      </c>
      <c r="AD43" s="114" t="s">
        <v>69</v>
      </c>
      <c r="AE43" s="114" t="s">
        <v>69</v>
      </c>
      <c r="AF43" s="114" t="s">
        <v>69</v>
      </c>
      <c r="AG43" s="114" t="s">
        <v>69</v>
      </c>
      <c r="AH43" s="114" t="s">
        <v>69</v>
      </c>
      <c r="AI43" s="114" t="s">
        <v>69</v>
      </c>
      <c r="AJ43" s="114" t="s">
        <v>69</v>
      </c>
      <c r="AK43" s="114" t="s">
        <v>69</v>
      </c>
      <c r="AL43" s="114" t="s">
        <v>69</v>
      </c>
      <c r="AM43" s="114" t="s">
        <v>69</v>
      </c>
      <c r="AN43" s="114" t="s">
        <v>69</v>
      </c>
      <c r="AO43" s="114" t="s">
        <v>69</v>
      </c>
      <c r="AP43" s="114" t="s">
        <v>69</v>
      </c>
      <c r="AQ43" s="114" t="s">
        <v>69</v>
      </c>
      <c r="AR43" s="114" t="s">
        <v>69</v>
      </c>
      <c r="AS43" s="114" t="s">
        <v>69</v>
      </c>
      <c r="AT43" s="114" t="s">
        <v>69</v>
      </c>
      <c r="AU43" s="114" t="s">
        <v>69</v>
      </c>
      <c r="AV43" s="114" t="s">
        <v>69</v>
      </c>
      <c r="AW43" s="114" t="s">
        <v>69</v>
      </c>
      <c r="AX43" s="115"/>
      <c r="AY43" s="115"/>
    </row>
    <row r="44" spans="1:51" s="93" customFormat="1">
      <c r="A44" s="314"/>
      <c r="B44" s="112" t="s">
        <v>69</v>
      </c>
      <c r="C44" s="126" t="s">
        <v>69</v>
      </c>
      <c r="D44" s="112" t="str">
        <f>D40</f>
        <v>Keluhan</v>
      </c>
      <c r="E44" s="110" t="s">
        <v>69</v>
      </c>
      <c r="F44" s="111">
        <v>0</v>
      </c>
      <c r="G44" s="111">
        <v>0</v>
      </c>
      <c r="H44" s="111">
        <v>0</v>
      </c>
      <c r="I44" s="111">
        <v>0</v>
      </c>
      <c r="J44" s="111">
        <v>0</v>
      </c>
      <c r="K44" s="111">
        <v>0</v>
      </c>
      <c r="L44" s="111">
        <v>0</v>
      </c>
      <c r="M44" s="111">
        <v>0</v>
      </c>
      <c r="N44" s="111">
        <v>0</v>
      </c>
      <c r="O44" s="111">
        <v>0</v>
      </c>
      <c r="P44" s="111">
        <v>0</v>
      </c>
      <c r="Q44" s="111">
        <v>0</v>
      </c>
      <c r="R44" s="111">
        <v>0</v>
      </c>
      <c r="S44" s="111">
        <v>0</v>
      </c>
      <c r="T44" s="111">
        <v>0</v>
      </c>
      <c r="U44" s="111">
        <v>0</v>
      </c>
      <c r="V44" s="111">
        <v>0</v>
      </c>
      <c r="W44" s="112">
        <v>0</v>
      </c>
      <c r="X44" s="119"/>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s="115"/>
      <c r="AY44" s="115"/>
    </row>
    <row r="45" spans="1:51" s="93" customFormat="1">
      <c r="A45" s="314"/>
      <c r="B45" s="123" t="s">
        <v>69</v>
      </c>
      <c r="C45" s="125" t="s">
        <v>69</v>
      </c>
      <c r="D45" s="112" t="s">
        <v>88</v>
      </c>
      <c r="E45" s="110" t="s">
        <v>69</v>
      </c>
      <c r="F45" s="111">
        <v>0</v>
      </c>
      <c r="G45" s="111">
        <v>0</v>
      </c>
      <c r="H45" s="111">
        <v>0</v>
      </c>
      <c r="I45" s="111">
        <v>0</v>
      </c>
      <c r="J45" s="111">
        <v>0</v>
      </c>
      <c r="K45" s="111">
        <v>0</v>
      </c>
      <c r="L45" s="111">
        <v>0</v>
      </c>
      <c r="M45" s="111">
        <v>0</v>
      </c>
      <c r="N45" s="111">
        <v>0</v>
      </c>
      <c r="O45" s="111">
        <v>0</v>
      </c>
      <c r="P45" s="111">
        <v>0</v>
      </c>
      <c r="Q45" s="111">
        <v>0</v>
      </c>
      <c r="R45" s="111">
        <v>0</v>
      </c>
      <c r="S45" s="111">
        <v>0</v>
      </c>
      <c r="T45" s="111">
        <v>0</v>
      </c>
      <c r="U45" s="111">
        <v>0</v>
      </c>
      <c r="V45" s="111">
        <v>0</v>
      </c>
      <c r="W45" s="112">
        <v>0</v>
      </c>
      <c r="X45" s="119" t="s">
        <v>69</v>
      </c>
      <c r="Y45" s="114" t="s">
        <v>69</v>
      </c>
      <c r="Z45" s="114" t="s">
        <v>69</v>
      </c>
      <c r="AA45" s="114" t="s">
        <v>69</v>
      </c>
      <c r="AB45" s="114" t="s">
        <v>69</v>
      </c>
      <c r="AC45" s="114" t="s">
        <v>69</v>
      </c>
      <c r="AD45" s="114" t="s">
        <v>69</v>
      </c>
      <c r="AE45" s="114" t="s">
        <v>69</v>
      </c>
      <c r="AF45" s="114" t="s">
        <v>69</v>
      </c>
      <c r="AG45" s="114" t="s">
        <v>69</v>
      </c>
      <c r="AH45" s="114" t="s">
        <v>69</v>
      </c>
      <c r="AI45" s="114" t="s">
        <v>69</v>
      </c>
      <c r="AJ45" s="114" t="s">
        <v>69</v>
      </c>
      <c r="AK45" s="114" t="s">
        <v>69</v>
      </c>
      <c r="AL45" s="114" t="s">
        <v>69</v>
      </c>
      <c r="AM45" s="114" t="s">
        <v>69</v>
      </c>
      <c r="AN45" s="114" t="s">
        <v>69</v>
      </c>
      <c r="AO45" s="114" t="s">
        <v>69</v>
      </c>
      <c r="AP45" s="114" t="s">
        <v>69</v>
      </c>
      <c r="AQ45" s="114" t="s">
        <v>69</v>
      </c>
      <c r="AR45" s="114" t="s">
        <v>69</v>
      </c>
      <c r="AS45" s="114" t="s">
        <v>69</v>
      </c>
      <c r="AT45" s="114" t="s">
        <v>69</v>
      </c>
      <c r="AU45" s="114" t="s">
        <v>69</v>
      </c>
      <c r="AV45" s="114" t="s">
        <v>69</v>
      </c>
      <c r="AW45" s="114" t="s">
        <v>69</v>
      </c>
      <c r="AX45" s="115"/>
      <c r="AY45" s="115"/>
    </row>
    <row r="46" spans="1:51" s="93" customFormat="1" ht="87" customHeight="1">
      <c r="A46" s="313">
        <v>5</v>
      </c>
      <c r="B46" s="317" t="s">
        <v>97</v>
      </c>
      <c r="C46" s="317"/>
      <c r="D46" s="317"/>
      <c r="E46" s="110" t="s">
        <v>98</v>
      </c>
      <c r="F46" s="111" t="s">
        <v>69</v>
      </c>
      <c r="G46" s="127" t="s">
        <v>69</v>
      </c>
      <c r="H46" s="128" t="s">
        <v>69</v>
      </c>
      <c r="I46" s="113" t="s">
        <v>69</v>
      </c>
      <c r="J46" s="111" t="s">
        <v>69</v>
      </c>
      <c r="K46" s="127" t="s">
        <v>69</v>
      </c>
      <c r="L46" s="111" t="s">
        <v>69</v>
      </c>
      <c r="M46" s="111" t="s">
        <v>69</v>
      </c>
      <c r="N46" s="127" t="s">
        <v>69</v>
      </c>
      <c r="O46" s="127" t="s">
        <v>69</v>
      </c>
      <c r="P46" s="127" t="s">
        <v>69</v>
      </c>
      <c r="Q46" s="127" t="s">
        <v>69</v>
      </c>
      <c r="R46" s="127" t="s">
        <v>69</v>
      </c>
      <c r="S46" s="127" t="s">
        <v>69</v>
      </c>
      <c r="T46" s="127" t="s">
        <v>69</v>
      </c>
      <c r="U46" s="128" t="s">
        <v>69</v>
      </c>
      <c r="V46" s="129" t="s">
        <v>69</v>
      </c>
      <c r="W46" s="284"/>
      <c r="X46" s="129"/>
      <c r="Y46" s="130"/>
      <c r="Z46" s="130"/>
      <c r="AA46" s="130"/>
      <c r="AB46" s="130"/>
      <c r="AC46" s="130"/>
      <c r="AD46" s="130"/>
      <c r="AE46" s="130"/>
      <c r="AF46" s="130"/>
      <c r="AG46" s="130"/>
      <c r="AH46" s="130"/>
      <c r="AI46" s="130"/>
      <c r="AJ46" s="130"/>
      <c r="AK46" s="130" t="s">
        <v>69</v>
      </c>
      <c r="AL46" s="130" t="s">
        <v>69</v>
      </c>
      <c r="AM46" s="130" t="s">
        <v>69</v>
      </c>
      <c r="AN46" s="130" t="s">
        <v>69</v>
      </c>
      <c r="AO46" s="130" t="s">
        <v>69</v>
      </c>
      <c r="AP46" s="130" t="s">
        <v>69</v>
      </c>
      <c r="AQ46" s="130" t="s">
        <v>69</v>
      </c>
      <c r="AR46" s="130" t="s">
        <v>69</v>
      </c>
      <c r="AS46" s="130" t="s">
        <v>69</v>
      </c>
      <c r="AT46" s="130" t="s">
        <v>69</v>
      </c>
      <c r="AU46" s="130" t="s">
        <v>69</v>
      </c>
      <c r="AV46" s="130" t="s">
        <v>69</v>
      </c>
      <c r="AW46" s="130" t="s">
        <v>69</v>
      </c>
      <c r="AX46" s="115"/>
      <c r="AY46" s="115"/>
    </row>
    <row r="47" spans="1:51" s="93" customFormat="1" ht="36" customHeight="1">
      <c r="A47" s="314"/>
      <c r="B47" s="111" t="s">
        <v>70</v>
      </c>
      <c r="C47" s="316" t="s">
        <v>99</v>
      </c>
      <c r="D47" s="316"/>
      <c r="E47" s="357" t="s">
        <v>100</v>
      </c>
      <c r="F47" s="111" t="s">
        <v>69</v>
      </c>
      <c r="G47" s="127" t="s">
        <v>69</v>
      </c>
      <c r="H47" s="128" t="s">
        <v>69</v>
      </c>
      <c r="I47" s="113" t="s">
        <v>69</v>
      </c>
      <c r="J47" s="111" t="s">
        <v>69</v>
      </c>
      <c r="K47" s="127" t="s">
        <v>69</v>
      </c>
      <c r="L47" s="111" t="s">
        <v>69</v>
      </c>
      <c r="M47" s="111" t="s">
        <v>69</v>
      </c>
      <c r="N47" s="127" t="s">
        <v>69</v>
      </c>
      <c r="O47" s="127" t="s">
        <v>69</v>
      </c>
      <c r="P47" s="127" t="s">
        <v>69</v>
      </c>
      <c r="Q47" s="127" t="s">
        <v>69</v>
      </c>
      <c r="R47" s="127" t="s">
        <v>69</v>
      </c>
      <c r="S47" s="127" t="s">
        <v>69</v>
      </c>
      <c r="T47" s="127" t="s">
        <v>69</v>
      </c>
      <c r="U47" s="128" t="s">
        <v>69</v>
      </c>
      <c r="V47" s="129" t="s">
        <v>69</v>
      </c>
      <c r="W47" s="284"/>
      <c r="X47" s="129"/>
      <c r="Y47" s="130"/>
      <c r="Z47" s="130"/>
      <c r="AA47" s="130"/>
      <c r="AB47" s="130"/>
      <c r="AC47" s="130"/>
      <c r="AD47" s="130"/>
      <c r="AE47" s="130"/>
      <c r="AF47" s="130"/>
      <c r="AG47" s="130"/>
      <c r="AH47" s="130"/>
      <c r="AI47" s="130"/>
      <c r="AJ47" s="130"/>
      <c r="AK47" s="130" t="s">
        <v>69</v>
      </c>
      <c r="AL47" s="130" t="s">
        <v>69</v>
      </c>
      <c r="AM47" s="130" t="s">
        <v>69</v>
      </c>
      <c r="AN47" s="130" t="s">
        <v>69</v>
      </c>
      <c r="AO47" s="130" t="s">
        <v>69</v>
      </c>
      <c r="AP47" s="130" t="s">
        <v>69</v>
      </c>
      <c r="AQ47" s="130" t="s">
        <v>69</v>
      </c>
      <c r="AR47" s="130" t="s">
        <v>69</v>
      </c>
      <c r="AS47" s="130" t="s">
        <v>69</v>
      </c>
      <c r="AT47" s="130" t="s">
        <v>69</v>
      </c>
      <c r="AU47" s="130" t="s">
        <v>69</v>
      </c>
      <c r="AV47" s="130" t="s">
        <v>69</v>
      </c>
      <c r="AW47" s="130" t="s">
        <v>69</v>
      </c>
      <c r="AX47" s="115"/>
      <c r="AY47" s="115"/>
    </row>
    <row r="48" spans="1:51" s="93" customFormat="1" ht="17.25">
      <c r="A48" s="314"/>
      <c r="B48" s="111" t="s">
        <v>73</v>
      </c>
      <c r="C48" s="132" t="s">
        <v>101</v>
      </c>
      <c r="D48" s="133" t="s">
        <v>69</v>
      </c>
      <c r="E48" s="358"/>
      <c r="F48" s="131">
        <v>1</v>
      </c>
      <c r="G48" s="131">
        <v>1</v>
      </c>
      <c r="H48" s="131">
        <v>1</v>
      </c>
      <c r="I48" s="131">
        <v>1</v>
      </c>
      <c r="J48" s="131">
        <v>1</v>
      </c>
      <c r="K48" s="131">
        <v>1</v>
      </c>
      <c r="L48" s="131">
        <v>1</v>
      </c>
      <c r="M48" s="131">
        <v>1</v>
      </c>
      <c r="N48" s="131">
        <v>1</v>
      </c>
      <c r="O48" s="131">
        <v>1</v>
      </c>
      <c r="P48" s="131">
        <v>1</v>
      </c>
      <c r="Q48" s="131">
        <v>1</v>
      </c>
      <c r="R48" s="131">
        <v>1</v>
      </c>
      <c r="S48" s="131">
        <v>1</v>
      </c>
      <c r="T48" s="131">
        <v>1</v>
      </c>
      <c r="U48" s="131">
        <v>1</v>
      </c>
      <c r="V48" s="131">
        <v>1</v>
      </c>
      <c r="W48" s="131">
        <v>1</v>
      </c>
      <c r="X48" s="129"/>
      <c r="Y48" s="130"/>
      <c r="Z48" s="130"/>
      <c r="AA48" s="130"/>
      <c r="AB48" s="130"/>
      <c r="AC48" s="130"/>
      <c r="AD48" s="130"/>
      <c r="AE48" s="130"/>
      <c r="AF48" s="130"/>
      <c r="AG48" s="130"/>
      <c r="AH48" s="130"/>
      <c r="AI48" s="130"/>
      <c r="AJ48" s="130"/>
      <c r="AK48" s="130" t="s">
        <v>69</v>
      </c>
      <c r="AL48" s="130" t="s">
        <v>69</v>
      </c>
      <c r="AM48" s="130" t="s">
        <v>69</v>
      </c>
      <c r="AN48" s="130" t="s">
        <v>69</v>
      </c>
      <c r="AO48" s="130" t="s">
        <v>69</v>
      </c>
      <c r="AP48" s="130" t="s">
        <v>69</v>
      </c>
      <c r="AQ48" s="130" t="s">
        <v>69</v>
      </c>
      <c r="AR48" s="130" t="s">
        <v>69</v>
      </c>
      <c r="AS48" s="130" t="s">
        <v>69</v>
      </c>
      <c r="AT48" s="130" t="s">
        <v>69</v>
      </c>
      <c r="AU48" s="130" t="s">
        <v>69</v>
      </c>
      <c r="AV48" s="130" t="s">
        <v>69</v>
      </c>
      <c r="AW48" s="130" t="s">
        <v>69</v>
      </c>
      <c r="AX48" s="115"/>
      <c r="AY48" s="115"/>
    </row>
    <row r="49" spans="1:51" s="93" customFormat="1" ht="17.25">
      <c r="A49" s="314"/>
      <c r="B49" s="111" t="s">
        <v>75</v>
      </c>
      <c r="C49" s="316" t="s">
        <v>102</v>
      </c>
      <c r="D49" s="316"/>
      <c r="E49" s="358"/>
      <c r="F49" s="131">
        <v>0</v>
      </c>
      <c r="G49" s="131">
        <v>0</v>
      </c>
      <c r="H49" s="131">
        <v>0</v>
      </c>
      <c r="I49" s="131">
        <v>0</v>
      </c>
      <c r="J49" s="131">
        <v>0</v>
      </c>
      <c r="K49" s="131">
        <v>0</v>
      </c>
      <c r="L49" s="131">
        <v>0</v>
      </c>
      <c r="M49" s="131">
        <v>0</v>
      </c>
      <c r="N49" s="131">
        <v>0</v>
      </c>
      <c r="O49" s="131">
        <v>0</v>
      </c>
      <c r="P49" s="131">
        <v>0</v>
      </c>
      <c r="Q49" s="131">
        <v>0</v>
      </c>
      <c r="R49" s="131">
        <v>0</v>
      </c>
      <c r="S49" s="131">
        <v>0</v>
      </c>
      <c r="T49" s="131">
        <v>0</v>
      </c>
      <c r="U49" s="131">
        <v>0</v>
      </c>
      <c r="V49" s="131">
        <v>0</v>
      </c>
      <c r="W49" s="186">
        <v>0</v>
      </c>
      <c r="X49" s="129"/>
      <c r="Y49" s="130"/>
      <c r="Z49" s="130"/>
      <c r="AA49" s="130"/>
      <c r="AB49" s="130"/>
      <c r="AC49" s="130"/>
      <c r="AD49" s="130"/>
      <c r="AE49" s="130"/>
      <c r="AF49" s="130"/>
      <c r="AG49" s="130"/>
      <c r="AH49" s="130"/>
      <c r="AI49" s="130"/>
      <c r="AJ49" s="130"/>
      <c r="AK49" s="130" t="s">
        <v>69</v>
      </c>
      <c r="AL49" s="130" t="s">
        <v>69</v>
      </c>
      <c r="AM49" s="130" t="s">
        <v>69</v>
      </c>
      <c r="AN49" s="130" t="s">
        <v>69</v>
      </c>
      <c r="AO49" s="130" t="s">
        <v>69</v>
      </c>
      <c r="AP49" s="130" t="s">
        <v>69</v>
      </c>
      <c r="AQ49" s="130" t="s">
        <v>69</v>
      </c>
      <c r="AR49" s="130" t="s">
        <v>69</v>
      </c>
      <c r="AS49" s="130" t="s">
        <v>69</v>
      </c>
      <c r="AT49" s="130" t="s">
        <v>69</v>
      </c>
      <c r="AU49" s="130" t="s">
        <v>69</v>
      </c>
      <c r="AV49" s="130" t="s">
        <v>69</v>
      </c>
      <c r="AW49" s="130" t="s">
        <v>69</v>
      </c>
      <c r="AX49" s="115"/>
      <c r="AY49" s="115"/>
    </row>
    <row r="50" spans="1:51" s="93" customFormat="1">
      <c r="A50" s="314"/>
      <c r="B50" s="111" t="s">
        <v>77</v>
      </c>
      <c r="C50" s="316" t="s">
        <v>103</v>
      </c>
      <c r="D50" s="316"/>
      <c r="E50" s="358"/>
      <c r="F50" s="131">
        <v>0</v>
      </c>
      <c r="G50" s="131">
        <v>0</v>
      </c>
      <c r="H50" s="131">
        <v>0</v>
      </c>
      <c r="I50" s="131">
        <v>0</v>
      </c>
      <c r="J50" s="131">
        <v>0</v>
      </c>
      <c r="K50" s="131">
        <v>0</v>
      </c>
      <c r="L50" s="131">
        <v>0</v>
      </c>
      <c r="M50" s="131">
        <v>0</v>
      </c>
      <c r="N50" s="131">
        <v>0</v>
      </c>
      <c r="O50" s="131">
        <v>0</v>
      </c>
      <c r="P50" s="131">
        <v>0</v>
      </c>
      <c r="Q50" s="131">
        <v>0</v>
      </c>
      <c r="R50" s="131">
        <v>0</v>
      </c>
      <c r="S50" s="131">
        <v>0</v>
      </c>
      <c r="T50" s="131">
        <v>0</v>
      </c>
      <c r="U50" s="131">
        <v>0</v>
      </c>
      <c r="V50" s="131">
        <v>0</v>
      </c>
      <c r="W50" s="186">
        <v>0</v>
      </c>
      <c r="X50" s="119"/>
      <c r="Y50" s="114"/>
      <c r="Z50" s="114"/>
      <c r="AA50" s="114"/>
      <c r="AB50" s="114"/>
      <c r="AC50" s="114"/>
      <c r="AD50" s="114"/>
      <c r="AE50" s="114"/>
      <c r="AF50" s="114"/>
      <c r="AG50" s="114"/>
      <c r="AH50" s="114"/>
      <c r="AI50" s="114"/>
      <c r="AJ50" s="114"/>
      <c r="AK50" s="114"/>
      <c r="AL50" s="114"/>
      <c r="AM50" s="114"/>
      <c r="AN50" s="114"/>
      <c r="AO50" s="114"/>
      <c r="AP50" s="114"/>
      <c r="AQ50" s="114"/>
      <c r="AR50" s="114"/>
      <c r="AS50" s="114"/>
      <c r="AT50" s="114"/>
      <c r="AU50" s="114"/>
      <c r="AV50" s="114"/>
      <c r="AW50" s="114"/>
      <c r="AX50" s="115"/>
      <c r="AY50" s="115"/>
    </row>
    <row r="51" spans="1:51" s="93" customFormat="1">
      <c r="A51" s="314"/>
      <c r="B51" s="134" t="s">
        <v>84</v>
      </c>
      <c r="C51" s="324" t="s">
        <v>104</v>
      </c>
      <c r="D51" s="324"/>
      <c r="E51" s="359"/>
      <c r="F51" s="131">
        <v>0</v>
      </c>
      <c r="G51" s="131">
        <v>0</v>
      </c>
      <c r="H51" s="131">
        <v>0</v>
      </c>
      <c r="I51" s="131">
        <v>0</v>
      </c>
      <c r="J51" s="131">
        <v>0</v>
      </c>
      <c r="K51" s="131">
        <v>0</v>
      </c>
      <c r="L51" s="131">
        <v>0</v>
      </c>
      <c r="M51" s="131">
        <v>0</v>
      </c>
      <c r="N51" s="131">
        <v>0</v>
      </c>
      <c r="O51" s="131">
        <v>0</v>
      </c>
      <c r="P51" s="131">
        <v>0</v>
      </c>
      <c r="Q51" s="131">
        <v>0</v>
      </c>
      <c r="R51" s="131">
        <v>0</v>
      </c>
      <c r="S51" s="131">
        <v>0</v>
      </c>
      <c r="T51" s="131">
        <v>0</v>
      </c>
      <c r="U51" s="131">
        <v>0</v>
      </c>
      <c r="V51" s="131">
        <v>0</v>
      </c>
      <c r="W51" s="186">
        <v>0</v>
      </c>
      <c r="X51" s="119"/>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5"/>
      <c r="AY51" s="115"/>
    </row>
    <row r="52" spans="1:51" s="93" customFormat="1" ht="33.75" customHeight="1">
      <c r="A52" s="325">
        <v>6</v>
      </c>
      <c r="B52" s="326" t="s">
        <v>105</v>
      </c>
      <c r="C52" s="326"/>
      <c r="D52" s="327"/>
      <c r="E52" s="136" t="s">
        <v>106</v>
      </c>
      <c r="F52" s="134" t="s">
        <v>69</v>
      </c>
      <c r="G52" s="134" t="s">
        <v>69</v>
      </c>
      <c r="H52" s="134" t="s">
        <v>69</v>
      </c>
      <c r="I52" s="134" t="s">
        <v>69</v>
      </c>
      <c r="J52" s="134" t="s">
        <v>69</v>
      </c>
      <c r="K52" s="134" t="s">
        <v>69</v>
      </c>
      <c r="L52" s="134" t="s">
        <v>69</v>
      </c>
      <c r="M52" s="134" t="s">
        <v>69</v>
      </c>
      <c r="N52" s="134" t="s">
        <v>69</v>
      </c>
      <c r="O52" s="134" t="s">
        <v>69</v>
      </c>
      <c r="P52" s="134" t="s">
        <v>69</v>
      </c>
      <c r="Q52" s="134" t="s">
        <v>69</v>
      </c>
      <c r="R52" s="134" t="s">
        <v>69</v>
      </c>
      <c r="S52" s="134" t="s">
        <v>69</v>
      </c>
      <c r="T52" s="134" t="s">
        <v>69</v>
      </c>
      <c r="U52" s="114" t="s">
        <v>69</v>
      </c>
      <c r="V52" s="119"/>
      <c r="W52" s="280"/>
      <c r="X52" s="119"/>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5"/>
      <c r="AY52" s="115"/>
    </row>
    <row r="53" spans="1:51" s="93" customFormat="1">
      <c r="A53" s="325"/>
      <c r="B53" s="137" t="s">
        <v>70</v>
      </c>
      <c r="C53" s="328" t="s">
        <v>79</v>
      </c>
      <c r="D53" s="329"/>
      <c r="E53" s="330" t="s">
        <v>107</v>
      </c>
      <c r="F53" s="138" t="s">
        <v>38</v>
      </c>
      <c r="G53" s="138" t="s">
        <v>38</v>
      </c>
      <c r="H53" s="138" t="s">
        <v>38</v>
      </c>
      <c r="I53" s="138" t="s">
        <v>38</v>
      </c>
      <c r="J53" s="138" t="s">
        <v>38</v>
      </c>
      <c r="K53" s="138" t="s">
        <v>38</v>
      </c>
      <c r="L53" s="138" t="s">
        <v>38</v>
      </c>
      <c r="M53" s="138" t="s">
        <v>38</v>
      </c>
      <c r="N53" s="138" t="s">
        <v>38</v>
      </c>
      <c r="O53" s="138" t="s">
        <v>38</v>
      </c>
      <c r="P53" s="138" t="s">
        <v>38</v>
      </c>
      <c r="Q53" s="138" t="s">
        <v>38</v>
      </c>
      <c r="R53" s="138" t="s">
        <v>38</v>
      </c>
      <c r="S53" s="138" t="s">
        <v>38</v>
      </c>
      <c r="T53" s="138" t="s">
        <v>38</v>
      </c>
      <c r="U53" s="138" t="s">
        <v>38</v>
      </c>
      <c r="V53" s="138" t="s">
        <v>38</v>
      </c>
      <c r="W53" s="285" t="s">
        <v>38</v>
      </c>
      <c r="X53" s="119"/>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5"/>
      <c r="AY53" s="115"/>
    </row>
    <row r="54" spans="1:51" s="93" customFormat="1">
      <c r="A54" s="325"/>
      <c r="B54" s="137" t="s">
        <v>73</v>
      </c>
      <c r="C54" s="328" t="s">
        <v>80</v>
      </c>
      <c r="D54" s="329"/>
      <c r="E54" s="330"/>
      <c r="F54" s="138" t="s">
        <v>38</v>
      </c>
      <c r="G54" s="138" t="s">
        <v>38</v>
      </c>
      <c r="H54" s="138" t="s">
        <v>38</v>
      </c>
      <c r="I54" s="138" t="s">
        <v>38</v>
      </c>
      <c r="J54" s="138" t="s">
        <v>38</v>
      </c>
      <c r="K54" s="138" t="s">
        <v>38</v>
      </c>
      <c r="L54" s="138" t="s">
        <v>38</v>
      </c>
      <c r="M54" s="138" t="s">
        <v>38</v>
      </c>
      <c r="N54" s="138" t="s">
        <v>38</v>
      </c>
      <c r="O54" s="138" t="s">
        <v>38</v>
      </c>
      <c r="P54" s="138" t="s">
        <v>38</v>
      </c>
      <c r="Q54" s="138" t="s">
        <v>38</v>
      </c>
      <c r="R54" s="138" t="s">
        <v>38</v>
      </c>
      <c r="S54" s="138" t="s">
        <v>38</v>
      </c>
      <c r="T54" s="138" t="s">
        <v>38</v>
      </c>
      <c r="U54" s="138" t="s">
        <v>38</v>
      </c>
      <c r="V54" s="138" t="s">
        <v>38</v>
      </c>
      <c r="W54" s="285" t="s">
        <v>38</v>
      </c>
      <c r="X54" s="119"/>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5"/>
      <c r="AY54" s="115"/>
    </row>
    <row r="55" spans="1:51" s="93" customFormat="1">
      <c r="A55" s="325"/>
      <c r="B55" s="137" t="s">
        <v>75</v>
      </c>
      <c r="C55" s="328" t="s">
        <v>82</v>
      </c>
      <c r="D55" s="329"/>
      <c r="E55" s="330"/>
      <c r="F55" s="138" t="s">
        <v>38</v>
      </c>
      <c r="G55" s="138" t="s">
        <v>38</v>
      </c>
      <c r="H55" s="138" t="s">
        <v>38</v>
      </c>
      <c r="I55" s="138" t="s">
        <v>38</v>
      </c>
      <c r="J55" s="138" t="s">
        <v>38</v>
      </c>
      <c r="K55" s="138" t="s">
        <v>38</v>
      </c>
      <c r="L55" s="138" t="s">
        <v>38</v>
      </c>
      <c r="M55" s="138" t="s">
        <v>38</v>
      </c>
      <c r="N55" s="138" t="s">
        <v>38</v>
      </c>
      <c r="O55" s="138" t="s">
        <v>38</v>
      </c>
      <c r="P55" s="138" t="s">
        <v>38</v>
      </c>
      <c r="Q55" s="138" t="s">
        <v>38</v>
      </c>
      <c r="R55" s="138" t="s">
        <v>38</v>
      </c>
      <c r="S55" s="138" t="s">
        <v>38</v>
      </c>
      <c r="T55" s="138" t="s">
        <v>38</v>
      </c>
      <c r="U55" s="138" t="s">
        <v>38</v>
      </c>
      <c r="V55" s="138" t="s">
        <v>38</v>
      </c>
      <c r="W55" s="285" t="s">
        <v>38</v>
      </c>
      <c r="X55" s="119"/>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5"/>
      <c r="AY55" s="115"/>
    </row>
    <row r="56" spans="1:51" s="93" customFormat="1">
      <c r="A56" s="325"/>
      <c r="B56" s="137" t="s">
        <v>77</v>
      </c>
      <c r="C56" s="328" t="s">
        <v>83</v>
      </c>
      <c r="D56" s="329"/>
      <c r="E56" s="330"/>
      <c r="F56" s="138" t="s">
        <v>38</v>
      </c>
      <c r="G56" s="138" t="s">
        <v>38</v>
      </c>
      <c r="H56" s="138" t="s">
        <v>38</v>
      </c>
      <c r="I56" s="138" t="s">
        <v>38</v>
      </c>
      <c r="J56" s="138" t="s">
        <v>38</v>
      </c>
      <c r="K56" s="138" t="s">
        <v>38</v>
      </c>
      <c r="L56" s="138" t="s">
        <v>38</v>
      </c>
      <c r="M56" s="138" t="s">
        <v>38</v>
      </c>
      <c r="N56" s="138" t="s">
        <v>38</v>
      </c>
      <c r="O56" s="138" t="s">
        <v>38</v>
      </c>
      <c r="P56" s="138" t="s">
        <v>38</v>
      </c>
      <c r="Q56" s="138" t="s">
        <v>38</v>
      </c>
      <c r="R56" s="138" t="s">
        <v>38</v>
      </c>
      <c r="S56" s="138" t="s">
        <v>38</v>
      </c>
      <c r="T56" s="138" t="s">
        <v>38</v>
      </c>
      <c r="U56" s="138" t="s">
        <v>38</v>
      </c>
      <c r="V56" s="138" t="s">
        <v>38</v>
      </c>
      <c r="W56" s="285" t="s">
        <v>38</v>
      </c>
      <c r="X56" s="119"/>
      <c r="Y56" s="114"/>
      <c r="Z56" s="114"/>
      <c r="AA56" s="114"/>
      <c r="AB56" s="114"/>
      <c r="AC56" s="114"/>
      <c r="AD56" s="114"/>
      <c r="AE56" s="114"/>
      <c r="AF56" s="114"/>
      <c r="AG56" s="114"/>
      <c r="AH56" s="114"/>
      <c r="AI56" s="114"/>
      <c r="AJ56" s="114"/>
      <c r="AK56" s="114"/>
      <c r="AL56" s="114"/>
      <c r="AM56" s="114"/>
      <c r="AN56" s="114"/>
      <c r="AO56" s="114"/>
      <c r="AP56" s="114"/>
      <c r="AQ56" s="114"/>
      <c r="AR56" s="114"/>
      <c r="AS56" s="114"/>
      <c r="AT56" s="114"/>
      <c r="AU56" s="114"/>
      <c r="AV56" s="114"/>
      <c r="AW56" s="114"/>
      <c r="AX56" s="115"/>
      <c r="AY56" s="115"/>
    </row>
    <row r="57" spans="1:51" s="93" customFormat="1">
      <c r="A57" s="325"/>
      <c r="B57" s="137" t="s">
        <v>84</v>
      </c>
      <c r="C57" s="328" t="s">
        <v>85</v>
      </c>
      <c r="D57" s="329"/>
      <c r="E57" s="330"/>
      <c r="F57" s="138" t="s">
        <v>38</v>
      </c>
      <c r="G57" s="138" t="s">
        <v>38</v>
      </c>
      <c r="H57" s="138" t="s">
        <v>38</v>
      </c>
      <c r="I57" s="138" t="s">
        <v>38</v>
      </c>
      <c r="J57" s="138" t="s">
        <v>38</v>
      </c>
      <c r="K57" s="138" t="s">
        <v>38</v>
      </c>
      <c r="L57" s="138" t="s">
        <v>38</v>
      </c>
      <c r="M57" s="138" t="s">
        <v>38</v>
      </c>
      <c r="N57" s="138" t="s">
        <v>38</v>
      </c>
      <c r="O57" s="138" t="s">
        <v>38</v>
      </c>
      <c r="P57" s="138" t="s">
        <v>38</v>
      </c>
      <c r="Q57" s="138" t="s">
        <v>38</v>
      </c>
      <c r="R57" s="138" t="s">
        <v>38</v>
      </c>
      <c r="S57" s="138" t="s">
        <v>38</v>
      </c>
      <c r="T57" s="138" t="s">
        <v>38</v>
      </c>
      <c r="U57" s="138" t="s">
        <v>38</v>
      </c>
      <c r="V57" s="138" t="s">
        <v>38</v>
      </c>
      <c r="W57" s="285" t="s">
        <v>38</v>
      </c>
      <c r="X57" s="119"/>
      <c r="Y57" s="114"/>
      <c r="Z57" s="114"/>
      <c r="AA57" s="114"/>
      <c r="AB57" s="114"/>
      <c r="AC57" s="114"/>
      <c r="AD57" s="114"/>
      <c r="AE57" s="114"/>
      <c r="AF57" s="114"/>
      <c r="AG57" s="114"/>
      <c r="AH57" s="114"/>
      <c r="AI57" s="114"/>
      <c r="AJ57" s="114"/>
      <c r="AK57" s="114"/>
      <c r="AL57" s="114"/>
      <c r="AM57" s="114"/>
      <c r="AN57" s="114"/>
      <c r="AO57" s="114"/>
      <c r="AP57" s="114"/>
      <c r="AQ57" s="114"/>
      <c r="AR57" s="114"/>
      <c r="AS57" s="114"/>
      <c r="AT57" s="114"/>
      <c r="AU57" s="114"/>
      <c r="AV57" s="114"/>
      <c r="AW57" s="114"/>
      <c r="AX57" s="115"/>
      <c r="AY57" s="115"/>
    </row>
    <row r="58" spans="1:51" s="93" customFormat="1">
      <c r="A58" s="325"/>
      <c r="B58" s="137" t="s">
        <v>86</v>
      </c>
      <c r="C58" s="328" t="s">
        <v>87</v>
      </c>
      <c r="D58" s="329"/>
      <c r="E58" s="330"/>
      <c r="F58" s="138" t="s">
        <v>38</v>
      </c>
      <c r="G58" s="138" t="s">
        <v>38</v>
      </c>
      <c r="H58" s="138" t="s">
        <v>38</v>
      </c>
      <c r="I58" s="138" t="s">
        <v>38</v>
      </c>
      <c r="J58" s="138" t="s">
        <v>38</v>
      </c>
      <c r="K58" s="138" t="s">
        <v>38</v>
      </c>
      <c r="L58" s="138" t="s">
        <v>38</v>
      </c>
      <c r="M58" s="138" t="s">
        <v>38</v>
      </c>
      <c r="N58" s="138" t="s">
        <v>38</v>
      </c>
      <c r="O58" s="138" t="s">
        <v>38</v>
      </c>
      <c r="P58" s="138" t="s">
        <v>38</v>
      </c>
      <c r="Q58" s="138" t="s">
        <v>38</v>
      </c>
      <c r="R58" s="138" t="s">
        <v>38</v>
      </c>
      <c r="S58" s="138" t="s">
        <v>38</v>
      </c>
      <c r="T58" s="138" t="s">
        <v>38</v>
      </c>
      <c r="U58" s="138" t="s">
        <v>38</v>
      </c>
      <c r="V58" s="138" t="s">
        <v>38</v>
      </c>
      <c r="W58" s="285" t="s">
        <v>38</v>
      </c>
      <c r="X58" s="119"/>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5"/>
      <c r="AY58" s="115"/>
    </row>
    <row r="59" spans="1:51" s="93" customFormat="1">
      <c r="A59" s="325"/>
      <c r="B59" s="137" t="s">
        <v>89</v>
      </c>
      <c r="C59" s="328" t="s">
        <v>90</v>
      </c>
      <c r="D59" s="329"/>
      <c r="E59" s="330"/>
      <c r="F59" s="138" t="s">
        <v>38</v>
      </c>
      <c r="G59" s="138" t="s">
        <v>38</v>
      </c>
      <c r="H59" s="138" t="s">
        <v>38</v>
      </c>
      <c r="I59" s="138" t="s">
        <v>38</v>
      </c>
      <c r="J59" s="138" t="s">
        <v>38</v>
      </c>
      <c r="K59" s="138" t="s">
        <v>38</v>
      </c>
      <c r="L59" s="138" t="s">
        <v>38</v>
      </c>
      <c r="M59" s="138" t="s">
        <v>38</v>
      </c>
      <c r="N59" s="138" t="s">
        <v>38</v>
      </c>
      <c r="O59" s="138" t="s">
        <v>38</v>
      </c>
      <c r="P59" s="138" t="s">
        <v>38</v>
      </c>
      <c r="Q59" s="138" t="s">
        <v>38</v>
      </c>
      <c r="R59" s="138" t="s">
        <v>38</v>
      </c>
      <c r="S59" s="138" t="s">
        <v>38</v>
      </c>
      <c r="T59" s="138" t="s">
        <v>38</v>
      </c>
      <c r="U59" s="138" t="s">
        <v>38</v>
      </c>
      <c r="V59" s="138" t="s">
        <v>38</v>
      </c>
      <c r="W59" s="285" t="s">
        <v>38</v>
      </c>
      <c r="X59" s="119"/>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5"/>
      <c r="AY59" s="115"/>
    </row>
    <row r="60" spans="1:51" s="93" customFormat="1">
      <c r="A60" s="325"/>
      <c r="B60" s="137" t="s">
        <v>91</v>
      </c>
      <c r="C60" s="328" t="s">
        <v>92</v>
      </c>
      <c r="D60" s="332"/>
      <c r="E60" s="330"/>
      <c r="F60" s="138" t="s">
        <v>38</v>
      </c>
      <c r="G60" s="138" t="s">
        <v>38</v>
      </c>
      <c r="H60" s="138" t="s">
        <v>38</v>
      </c>
      <c r="I60" s="138" t="s">
        <v>38</v>
      </c>
      <c r="J60" s="138" t="s">
        <v>38</v>
      </c>
      <c r="K60" s="138" t="s">
        <v>38</v>
      </c>
      <c r="L60" s="138" t="s">
        <v>38</v>
      </c>
      <c r="M60" s="138" t="s">
        <v>38</v>
      </c>
      <c r="N60" s="138" t="s">
        <v>38</v>
      </c>
      <c r="O60" s="138" t="s">
        <v>38</v>
      </c>
      <c r="P60" s="138" t="s">
        <v>38</v>
      </c>
      <c r="Q60" s="138" t="s">
        <v>38</v>
      </c>
      <c r="R60" s="138" t="s">
        <v>38</v>
      </c>
      <c r="S60" s="138" t="s">
        <v>38</v>
      </c>
      <c r="T60" s="138" t="s">
        <v>38</v>
      </c>
      <c r="U60" s="138" t="s">
        <v>38</v>
      </c>
      <c r="V60" s="138" t="s">
        <v>38</v>
      </c>
      <c r="W60" s="285" t="s">
        <v>38</v>
      </c>
      <c r="X60" s="119"/>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5"/>
      <c r="AY60" s="115"/>
    </row>
    <row r="61" spans="1:51" s="93" customFormat="1">
      <c r="A61" s="325"/>
      <c r="B61" s="137" t="s">
        <v>93</v>
      </c>
      <c r="C61" s="328" t="s">
        <v>94</v>
      </c>
      <c r="D61" s="332"/>
      <c r="E61" s="331"/>
      <c r="F61" s="138" t="s">
        <v>38</v>
      </c>
      <c r="G61" s="138" t="s">
        <v>38</v>
      </c>
      <c r="H61" s="138" t="s">
        <v>38</v>
      </c>
      <c r="I61" s="138" t="s">
        <v>38</v>
      </c>
      <c r="J61" s="138" t="s">
        <v>38</v>
      </c>
      <c r="K61" s="138" t="s">
        <v>38</v>
      </c>
      <c r="L61" s="138" t="s">
        <v>38</v>
      </c>
      <c r="M61" s="138" t="s">
        <v>38</v>
      </c>
      <c r="N61" s="138" t="s">
        <v>38</v>
      </c>
      <c r="O61" s="138" t="s">
        <v>38</v>
      </c>
      <c r="P61" s="138" t="s">
        <v>38</v>
      </c>
      <c r="Q61" s="138" t="s">
        <v>38</v>
      </c>
      <c r="R61" s="138" t="s">
        <v>38</v>
      </c>
      <c r="S61" s="138" t="s">
        <v>38</v>
      </c>
      <c r="T61" s="138" t="s">
        <v>38</v>
      </c>
      <c r="U61" s="138" t="s">
        <v>38</v>
      </c>
      <c r="V61" s="138" t="s">
        <v>38</v>
      </c>
      <c r="W61" s="285" t="s">
        <v>38</v>
      </c>
      <c r="X61" s="119"/>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4"/>
      <c r="AX61" s="115"/>
      <c r="AY61" s="115"/>
    </row>
    <row r="62" spans="1:51" s="93" customFormat="1">
      <c r="A62" s="222"/>
      <c r="B62" s="114"/>
      <c r="C62" s="139"/>
      <c r="D62" s="140"/>
      <c r="E62" s="223"/>
      <c r="F62" s="114"/>
      <c r="G62" s="114"/>
      <c r="H62" s="114"/>
      <c r="I62" s="114"/>
      <c r="J62" s="114"/>
      <c r="K62" s="114"/>
      <c r="L62" s="114"/>
      <c r="M62" s="114"/>
      <c r="N62" s="114"/>
      <c r="O62" s="114"/>
      <c r="P62" s="114"/>
      <c r="Q62" s="114"/>
      <c r="R62" s="114"/>
      <c r="S62" s="114"/>
      <c r="T62" s="114"/>
      <c r="U62" s="114"/>
      <c r="V62" s="119"/>
      <c r="W62" s="280"/>
      <c r="X62" s="119"/>
      <c r="Y62" s="114"/>
      <c r="Z62" s="114"/>
      <c r="AA62" s="114"/>
      <c r="AB62" s="114"/>
      <c r="AC62" s="114"/>
      <c r="AD62" s="114"/>
      <c r="AE62" s="114"/>
      <c r="AF62" s="114"/>
      <c r="AG62" s="114"/>
      <c r="AH62" s="114"/>
      <c r="AI62" s="114"/>
      <c r="AJ62" s="114"/>
      <c r="AK62" s="114"/>
      <c r="AL62" s="114"/>
      <c r="AM62" s="114"/>
      <c r="AN62" s="114"/>
      <c r="AO62" s="114"/>
      <c r="AP62" s="114"/>
      <c r="AQ62" s="114"/>
      <c r="AR62" s="114"/>
      <c r="AS62" s="114"/>
      <c r="AT62" s="114"/>
      <c r="AU62" s="114"/>
      <c r="AV62" s="114"/>
      <c r="AW62" s="114"/>
      <c r="AX62" s="115"/>
      <c r="AY62" s="115"/>
    </row>
    <row r="63" spans="1:51" s="231" customFormat="1" ht="16.5" customHeight="1">
      <c r="A63" s="491">
        <v>3</v>
      </c>
      <c r="B63" s="484" t="s">
        <v>68</v>
      </c>
      <c r="C63" s="484"/>
      <c r="D63" s="484"/>
      <c r="E63" s="496" t="s">
        <v>156</v>
      </c>
      <c r="F63" s="225"/>
      <c r="G63" s="226"/>
      <c r="H63" s="226"/>
      <c r="I63" s="226"/>
      <c r="J63" s="226"/>
      <c r="K63" s="226"/>
      <c r="L63" s="226"/>
      <c r="M63" s="226"/>
      <c r="N63" s="226"/>
      <c r="O63" s="226"/>
      <c r="P63" s="226"/>
      <c r="Q63" s="226"/>
      <c r="R63" s="226"/>
      <c r="S63" s="226"/>
      <c r="T63" s="226"/>
      <c r="U63" s="227"/>
      <c r="V63" s="224"/>
      <c r="W63" s="286"/>
      <c r="X63" s="224"/>
      <c r="Y63" s="228"/>
      <c r="Z63" s="229"/>
      <c r="AA63" s="229"/>
      <c r="AB63" s="229"/>
      <c r="AC63" s="230"/>
    </row>
    <row r="64" spans="1:51" s="231" customFormat="1">
      <c r="A64" s="492"/>
      <c r="B64" s="224"/>
      <c r="C64" s="494" t="s">
        <v>186</v>
      </c>
      <c r="D64" s="494"/>
      <c r="E64" s="496"/>
      <c r="F64" s="225"/>
      <c r="G64" s="226"/>
      <c r="H64" s="226"/>
      <c r="I64" s="226"/>
      <c r="J64" s="226"/>
      <c r="K64" s="226"/>
      <c r="L64" s="226"/>
      <c r="M64" s="226"/>
      <c r="N64" s="226"/>
      <c r="O64" s="226"/>
      <c r="P64" s="226"/>
      <c r="Q64" s="226"/>
      <c r="R64" s="226"/>
      <c r="S64" s="226"/>
      <c r="T64" s="226"/>
      <c r="U64" s="227"/>
      <c r="V64" s="224"/>
      <c r="W64" s="286"/>
      <c r="X64" s="224"/>
      <c r="Y64" s="228"/>
      <c r="Z64" s="229"/>
      <c r="AA64" s="229"/>
      <c r="AB64" s="229"/>
      <c r="AC64" s="230"/>
    </row>
    <row r="65" spans="1:29" s="231" customFormat="1">
      <c r="A65" s="492"/>
      <c r="B65" s="224"/>
      <c r="C65" s="494" t="s">
        <v>187</v>
      </c>
      <c r="D65" s="494"/>
      <c r="E65" s="496"/>
      <c r="F65" s="225"/>
      <c r="G65" s="226"/>
      <c r="H65" s="226"/>
      <c r="I65" s="226"/>
      <c r="J65" s="226"/>
      <c r="K65" s="226"/>
      <c r="L65" s="226"/>
      <c r="M65" s="226"/>
      <c r="N65" s="226"/>
      <c r="O65" s="226"/>
      <c r="P65" s="226"/>
      <c r="Q65" s="226"/>
      <c r="R65" s="226"/>
      <c r="S65" s="226"/>
      <c r="T65" s="226"/>
      <c r="U65" s="227"/>
      <c r="V65" s="224"/>
      <c r="W65" s="286"/>
      <c r="X65" s="224"/>
      <c r="Y65" s="228"/>
      <c r="Z65" s="229"/>
      <c r="AA65" s="229"/>
      <c r="AB65" s="229"/>
      <c r="AC65" s="230"/>
    </row>
    <row r="66" spans="1:29" s="231" customFormat="1">
      <c r="A66" s="492"/>
      <c r="B66" s="224"/>
      <c r="C66" s="494" t="s">
        <v>188</v>
      </c>
      <c r="D66" s="494"/>
      <c r="E66" s="496"/>
      <c r="F66" s="225"/>
      <c r="G66" s="226">
        <v>1</v>
      </c>
      <c r="H66" s="226"/>
      <c r="I66" s="226">
        <v>1</v>
      </c>
      <c r="J66" s="226"/>
      <c r="K66" s="226"/>
      <c r="L66" s="226"/>
      <c r="M66" s="226">
        <v>1</v>
      </c>
      <c r="N66" s="226">
        <v>2</v>
      </c>
      <c r="O66" s="226"/>
      <c r="P66" s="226">
        <v>3</v>
      </c>
      <c r="Q66" s="226"/>
      <c r="R66" s="226"/>
      <c r="S66" s="226"/>
      <c r="T66" s="226">
        <v>1</v>
      </c>
      <c r="U66" s="227">
        <v>1</v>
      </c>
      <c r="V66" s="224"/>
      <c r="W66" s="286"/>
      <c r="X66" s="224" t="s">
        <v>203</v>
      </c>
      <c r="Y66" s="228"/>
      <c r="Z66" s="229"/>
      <c r="AA66" s="229"/>
      <c r="AB66" s="229"/>
      <c r="AC66" s="230"/>
    </row>
    <row r="67" spans="1:29" s="231" customFormat="1">
      <c r="A67" s="493"/>
      <c r="B67" s="224"/>
      <c r="C67" s="495" t="s">
        <v>88</v>
      </c>
      <c r="D67" s="495"/>
      <c r="E67" s="496"/>
      <c r="F67" s="225"/>
      <c r="G67" s="226"/>
      <c r="H67" s="226"/>
      <c r="I67" s="226"/>
      <c r="J67" s="226"/>
      <c r="K67" s="226"/>
      <c r="L67" s="226"/>
      <c r="M67" s="226"/>
      <c r="N67" s="226"/>
      <c r="O67" s="226"/>
      <c r="P67" s="226"/>
      <c r="Q67" s="226"/>
      <c r="R67" s="226"/>
      <c r="S67" s="226"/>
      <c r="T67" s="226"/>
      <c r="U67" s="227"/>
      <c r="V67" s="224"/>
      <c r="W67" s="286"/>
      <c r="X67" s="224"/>
      <c r="Y67" s="228"/>
      <c r="Z67" s="229"/>
      <c r="AA67" s="229"/>
      <c r="AB67" s="229"/>
      <c r="AC67" s="230"/>
    </row>
    <row r="68" spans="1:29" s="231" customFormat="1">
      <c r="A68" s="485">
        <v>4</v>
      </c>
      <c r="B68" s="488" t="s">
        <v>78</v>
      </c>
      <c r="C68" s="489"/>
      <c r="D68" s="490"/>
      <c r="E68" s="404" t="s">
        <v>192</v>
      </c>
      <c r="F68" s="226"/>
      <c r="G68" s="226"/>
      <c r="H68" s="226"/>
      <c r="I68" s="226"/>
      <c r="J68" s="226"/>
      <c r="K68" s="226"/>
      <c r="L68" s="226"/>
      <c r="M68" s="226"/>
      <c r="N68" s="226"/>
      <c r="O68" s="226"/>
      <c r="P68" s="226"/>
      <c r="Q68" s="226"/>
      <c r="R68" s="226"/>
      <c r="S68" s="226"/>
      <c r="T68" s="226"/>
      <c r="U68" s="227"/>
      <c r="V68" s="224"/>
      <c r="W68" s="224"/>
      <c r="X68" s="288"/>
      <c r="Y68" s="229"/>
      <c r="Z68" s="229"/>
      <c r="AA68" s="229"/>
      <c r="AB68" s="229"/>
      <c r="AC68" s="230"/>
    </row>
    <row r="69" spans="1:29" s="231" customFormat="1">
      <c r="A69" s="486"/>
      <c r="B69" s="226"/>
      <c r="C69" s="232" t="s">
        <v>82</v>
      </c>
      <c r="D69" s="226" t="s">
        <v>118</v>
      </c>
      <c r="E69" s="404"/>
      <c r="F69" s="226"/>
      <c r="G69" s="226"/>
      <c r="H69" s="226"/>
      <c r="I69" s="226"/>
      <c r="J69" s="226"/>
      <c r="K69" s="226"/>
      <c r="L69" s="226"/>
      <c r="M69" s="226"/>
      <c r="N69" s="226"/>
      <c r="O69" s="226"/>
      <c r="P69" s="226"/>
      <c r="Q69" s="226"/>
      <c r="R69" s="226"/>
      <c r="S69" s="226"/>
      <c r="T69" s="226"/>
      <c r="U69" s="227"/>
      <c r="V69" s="224"/>
      <c r="W69" s="224"/>
      <c r="X69" s="228"/>
      <c r="Y69" s="229"/>
      <c r="Z69" s="229"/>
      <c r="AA69" s="229"/>
      <c r="AB69" s="229"/>
      <c r="AC69" s="230"/>
    </row>
    <row r="70" spans="1:29" s="231" customFormat="1">
      <c r="A70" s="486"/>
      <c r="B70" s="226"/>
      <c r="C70" s="226"/>
      <c r="D70" s="226" t="s">
        <v>76</v>
      </c>
      <c r="E70" s="404"/>
      <c r="F70" s="226"/>
      <c r="G70" s="226"/>
      <c r="H70" s="226"/>
      <c r="I70" s="226"/>
      <c r="J70" s="226"/>
      <c r="K70" s="226"/>
      <c r="L70" s="226"/>
      <c r="M70" s="226"/>
      <c r="N70" s="226"/>
      <c r="O70" s="226"/>
      <c r="P70" s="226"/>
      <c r="Q70" s="226"/>
      <c r="R70" s="226"/>
      <c r="S70" s="226"/>
      <c r="T70" s="226"/>
      <c r="U70" s="227"/>
      <c r="V70" s="224"/>
      <c r="W70" s="224"/>
      <c r="X70" s="228"/>
      <c r="Y70" s="229"/>
      <c r="Z70" s="229"/>
      <c r="AA70" s="229"/>
      <c r="AB70" s="229"/>
      <c r="AC70" s="230"/>
    </row>
    <row r="71" spans="1:29" s="231" customFormat="1">
      <c r="A71" s="486"/>
      <c r="B71" s="226"/>
      <c r="C71" s="232" t="s">
        <v>193</v>
      </c>
      <c r="D71" s="226" t="s">
        <v>118</v>
      </c>
      <c r="E71" s="404"/>
      <c r="F71" s="226"/>
      <c r="G71" s="226"/>
      <c r="H71" s="226"/>
      <c r="I71" s="226"/>
      <c r="J71" s="226"/>
      <c r="K71" s="226"/>
      <c r="L71" s="226"/>
      <c r="M71" s="226"/>
      <c r="N71" s="226"/>
      <c r="O71" s="226"/>
      <c r="P71" s="226"/>
      <c r="Q71" s="226"/>
      <c r="R71" s="226"/>
      <c r="S71" s="226"/>
      <c r="T71" s="226"/>
      <c r="U71" s="227"/>
      <c r="V71" s="224"/>
      <c r="W71" s="224"/>
      <c r="X71" s="228"/>
      <c r="Y71" s="229"/>
      <c r="Z71" s="229"/>
      <c r="AA71" s="229"/>
      <c r="AB71" s="229"/>
      <c r="AC71" s="230"/>
    </row>
    <row r="72" spans="1:29" s="231" customFormat="1">
      <c r="A72" s="486"/>
      <c r="B72" s="226"/>
      <c r="C72" s="226"/>
      <c r="D72" s="226" t="s">
        <v>76</v>
      </c>
      <c r="E72" s="404"/>
      <c r="F72" s="226"/>
      <c r="G72" s="226"/>
      <c r="H72" s="226"/>
      <c r="I72" s="226"/>
      <c r="J72" s="226"/>
      <c r="K72" s="226"/>
      <c r="L72" s="226"/>
      <c r="M72" s="226"/>
      <c r="N72" s="226"/>
      <c r="O72" s="226"/>
      <c r="P72" s="226"/>
      <c r="Q72" s="226"/>
      <c r="R72" s="226"/>
      <c r="S72" s="226"/>
      <c r="T72" s="226"/>
      <c r="U72" s="227"/>
      <c r="V72" s="224"/>
      <c r="W72" s="224"/>
      <c r="X72" s="228"/>
      <c r="Y72" s="229"/>
      <c r="Z72" s="229"/>
      <c r="AA72" s="229"/>
      <c r="AB72" s="229"/>
      <c r="AC72" s="230"/>
    </row>
    <row r="73" spans="1:29" s="231" customFormat="1">
      <c r="A73" s="486"/>
      <c r="B73" s="226"/>
      <c r="C73" s="232" t="s">
        <v>194</v>
      </c>
      <c r="D73" s="226" t="s">
        <v>118</v>
      </c>
      <c r="E73" s="404"/>
      <c r="F73" s="226"/>
      <c r="G73" s="226"/>
      <c r="H73" s="226"/>
      <c r="I73" s="226"/>
      <c r="J73" s="226"/>
      <c r="K73" s="226"/>
      <c r="L73" s="226"/>
      <c r="M73" s="226"/>
      <c r="N73" s="226"/>
      <c r="O73" s="226"/>
      <c r="P73" s="226"/>
      <c r="Q73" s="226"/>
      <c r="R73" s="226"/>
      <c r="S73" s="226"/>
      <c r="T73" s="226"/>
      <c r="U73" s="227"/>
      <c r="V73" s="224"/>
      <c r="W73" s="224"/>
      <c r="X73" s="228"/>
      <c r="Y73" s="229"/>
      <c r="Z73" s="229"/>
      <c r="AA73" s="229"/>
      <c r="AB73" s="229"/>
      <c r="AC73" s="230"/>
    </row>
    <row r="74" spans="1:29" s="231" customFormat="1">
      <c r="A74" s="486"/>
      <c r="B74" s="226"/>
      <c r="C74" s="226"/>
      <c r="D74" s="226" t="s">
        <v>76</v>
      </c>
      <c r="E74" s="404"/>
      <c r="F74" s="226"/>
      <c r="G74" s="226">
        <v>1</v>
      </c>
      <c r="H74" s="226"/>
      <c r="I74" s="226">
        <v>1</v>
      </c>
      <c r="J74" s="226"/>
      <c r="K74" s="226"/>
      <c r="L74" s="226"/>
      <c r="M74" s="226">
        <v>1</v>
      </c>
      <c r="N74" s="226">
        <v>2</v>
      </c>
      <c r="O74" s="226"/>
      <c r="P74" s="226">
        <v>3</v>
      </c>
      <c r="Q74" s="226"/>
      <c r="R74" s="226"/>
      <c r="S74" s="226"/>
      <c r="T74" s="226">
        <v>1</v>
      </c>
      <c r="U74" s="227">
        <v>1</v>
      </c>
      <c r="V74" s="224"/>
      <c r="W74" s="224"/>
      <c r="X74" s="228" t="s">
        <v>203</v>
      </c>
      <c r="Y74" s="229"/>
      <c r="Z74" s="229"/>
      <c r="AA74" s="229"/>
      <c r="AB74" s="229"/>
      <c r="AC74" s="230"/>
    </row>
    <row r="75" spans="1:29" s="231" customFormat="1">
      <c r="A75" s="487"/>
      <c r="B75" s="226"/>
      <c r="C75" s="226" t="s">
        <v>104</v>
      </c>
      <c r="D75" s="226"/>
      <c r="E75" s="405"/>
      <c r="F75" s="226"/>
      <c r="G75" s="226"/>
      <c r="H75" s="226"/>
      <c r="I75" s="226"/>
      <c r="J75" s="226"/>
      <c r="K75" s="226"/>
      <c r="L75" s="226"/>
      <c r="M75" s="226"/>
      <c r="N75" s="226"/>
      <c r="O75" s="226"/>
      <c r="P75" s="226"/>
      <c r="Q75" s="226"/>
      <c r="R75" s="226"/>
      <c r="S75" s="226"/>
      <c r="T75" s="226"/>
      <c r="U75" s="227"/>
      <c r="V75" s="224"/>
      <c r="W75" s="224"/>
      <c r="X75" s="228"/>
      <c r="Y75" s="229"/>
      <c r="Z75" s="229"/>
      <c r="AA75" s="229"/>
      <c r="AB75" s="229"/>
      <c r="AC75" s="230"/>
    </row>
    <row r="76" spans="1:29" s="231" customFormat="1">
      <c r="A76" s="485">
        <v>5</v>
      </c>
      <c r="B76" s="497" t="s">
        <v>161</v>
      </c>
      <c r="C76" s="498"/>
      <c r="D76" s="499"/>
      <c r="E76" s="403" t="s">
        <v>98</v>
      </c>
      <c r="F76" s="226"/>
      <c r="G76" s="226"/>
      <c r="H76" s="226"/>
      <c r="I76" s="226"/>
      <c r="J76" s="226"/>
      <c r="K76" s="226"/>
      <c r="L76" s="226"/>
      <c r="M76" s="226"/>
      <c r="N76" s="226"/>
      <c r="O76" s="226"/>
      <c r="P76" s="226"/>
      <c r="Q76" s="226"/>
      <c r="R76" s="226"/>
      <c r="S76" s="226"/>
      <c r="T76" s="226"/>
      <c r="U76" s="227"/>
      <c r="V76" s="224"/>
      <c r="W76" s="224"/>
      <c r="X76" s="228"/>
      <c r="Y76" s="229"/>
      <c r="Z76" s="229"/>
      <c r="AA76" s="229"/>
      <c r="AB76" s="229"/>
      <c r="AC76" s="230"/>
    </row>
    <row r="77" spans="1:29" s="231" customFormat="1">
      <c r="A77" s="486"/>
      <c r="B77" s="226"/>
      <c r="C77" s="500" t="s">
        <v>162</v>
      </c>
      <c r="D77" s="501"/>
      <c r="E77" s="404"/>
      <c r="F77" s="226"/>
      <c r="G77" s="226" t="s">
        <v>162</v>
      </c>
      <c r="H77" s="226"/>
      <c r="I77" s="226" t="s">
        <v>162</v>
      </c>
      <c r="J77" s="226"/>
      <c r="K77" s="226"/>
      <c r="L77" s="226"/>
      <c r="M77" s="226" t="s">
        <v>162</v>
      </c>
      <c r="N77" s="226" t="s">
        <v>162</v>
      </c>
      <c r="O77" s="226"/>
      <c r="P77" s="226" t="s">
        <v>162</v>
      </c>
      <c r="Q77" s="226"/>
      <c r="R77" s="226"/>
      <c r="S77" s="226"/>
      <c r="T77" s="226" t="s">
        <v>162</v>
      </c>
      <c r="U77" s="227" t="s">
        <v>162</v>
      </c>
      <c r="V77" s="224"/>
      <c r="W77" s="224"/>
      <c r="X77" s="228" t="s">
        <v>204</v>
      </c>
      <c r="Y77" s="229"/>
      <c r="Z77" s="229"/>
      <c r="AA77" s="229"/>
      <c r="AB77" s="229"/>
      <c r="AC77" s="230"/>
    </row>
    <row r="78" spans="1:29" s="231" customFormat="1">
      <c r="A78" s="486"/>
      <c r="B78" s="226"/>
      <c r="C78" s="500" t="s">
        <v>163</v>
      </c>
      <c r="D78" s="501"/>
      <c r="E78" s="404"/>
      <c r="F78" s="226"/>
      <c r="G78" s="226"/>
      <c r="H78" s="226"/>
      <c r="I78" s="226"/>
      <c r="J78" s="226"/>
      <c r="K78" s="226"/>
      <c r="L78" s="226"/>
      <c r="M78" s="226"/>
      <c r="N78" s="226"/>
      <c r="O78" s="226"/>
      <c r="P78" s="226"/>
      <c r="Q78" s="226"/>
      <c r="R78" s="226"/>
      <c r="S78" s="226"/>
      <c r="T78" s="226"/>
      <c r="U78" s="227"/>
      <c r="V78" s="224"/>
      <c r="W78" s="224"/>
      <c r="X78" s="228"/>
      <c r="Y78" s="229"/>
      <c r="Z78" s="229"/>
      <c r="AA78" s="229"/>
      <c r="AB78" s="229"/>
      <c r="AC78" s="230"/>
    </row>
    <row r="79" spans="1:29" s="231" customFormat="1">
      <c r="A79" s="486"/>
      <c r="B79" s="226"/>
      <c r="C79" s="500" t="s">
        <v>164</v>
      </c>
      <c r="D79" s="501"/>
      <c r="E79" s="404"/>
      <c r="F79" s="226"/>
      <c r="G79" s="226"/>
      <c r="H79" s="226"/>
      <c r="I79" s="226"/>
      <c r="J79" s="226"/>
      <c r="K79" s="226"/>
      <c r="L79" s="226"/>
      <c r="M79" s="226"/>
      <c r="N79" s="226"/>
      <c r="O79" s="226"/>
      <c r="P79" s="226"/>
      <c r="Q79" s="226"/>
      <c r="R79" s="226"/>
      <c r="S79" s="226"/>
      <c r="T79" s="226"/>
      <c r="U79" s="227"/>
      <c r="V79" s="224"/>
      <c r="W79" s="224"/>
      <c r="X79" s="228"/>
      <c r="Y79" s="229"/>
      <c r="Z79" s="229"/>
      <c r="AA79" s="229"/>
      <c r="AB79" s="229"/>
      <c r="AC79" s="230"/>
    </row>
    <row r="80" spans="1:29" s="231" customFormat="1">
      <c r="A80" s="487"/>
      <c r="B80" s="226"/>
      <c r="C80" s="497" t="s">
        <v>104</v>
      </c>
      <c r="D80" s="499"/>
      <c r="E80" s="405"/>
      <c r="F80" s="226"/>
      <c r="G80" s="226"/>
      <c r="H80" s="226"/>
      <c r="I80" s="226"/>
      <c r="J80" s="226"/>
      <c r="K80" s="226"/>
      <c r="L80" s="226"/>
      <c r="M80" s="226"/>
      <c r="N80" s="226"/>
      <c r="O80" s="226"/>
      <c r="P80" s="226"/>
      <c r="Q80" s="226"/>
      <c r="R80" s="226"/>
      <c r="S80" s="226"/>
      <c r="T80" s="226"/>
      <c r="U80" s="227"/>
      <c r="V80" s="224"/>
      <c r="W80" s="224"/>
      <c r="X80" s="228"/>
      <c r="Y80" s="229"/>
      <c r="Z80" s="229"/>
      <c r="AA80" s="229"/>
      <c r="AB80" s="229"/>
      <c r="AC80" s="230"/>
    </row>
    <row r="81" spans="1:29" s="231" customFormat="1">
      <c r="A81" s="485">
        <v>6</v>
      </c>
      <c r="B81" s="497" t="s">
        <v>195</v>
      </c>
      <c r="C81" s="498"/>
      <c r="D81" s="499"/>
      <c r="E81" s="403" t="s">
        <v>166</v>
      </c>
      <c r="F81" s="226"/>
      <c r="G81" s="226"/>
      <c r="H81" s="226"/>
      <c r="I81" s="226"/>
      <c r="J81" s="226"/>
      <c r="K81" s="226"/>
      <c r="L81" s="226"/>
      <c r="M81" s="226"/>
      <c r="N81" s="226"/>
      <c r="O81" s="226"/>
      <c r="P81" s="226"/>
      <c r="Q81" s="226"/>
      <c r="R81" s="226"/>
      <c r="S81" s="226"/>
      <c r="T81" s="226"/>
      <c r="U81" s="227"/>
      <c r="V81" s="224"/>
      <c r="W81" s="224"/>
      <c r="X81" s="228"/>
      <c r="Y81" s="229"/>
      <c r="Z81" s="229"/>
      <c r="AA81" s="229"/>
      <c r="AB81" s="229"/>
      <c r="AC81" s="230"/>
    </row>
    <row r="82" spans="1:29" s="231" customFormat="1">
      <c r="A82" s="486"/>
      <c r="B82" s="226"/>
      <c r="C82" s="500" t="s">
        <v>196</v>
      </c>
      <c r="D82" s="501"/>
      <c r="E82" s="404"/>
      <c r="F82" s="226"/>
      <c r="G82" s="226"/>
      <c r="H82" s="226"/>
      <c r="I82" s="226"/>
      <c r="J82" s="226"/>
      <c r="K82" s="226"/>
      <c r="L82" s="226"/>
      <c r="M82" s="226"/>
      <c r="N82" s="226"/>
      <c r="O82" s="226"/>
      <c r="P82" s="226"/>
      <c r="Q82" s="226"/>
      <c r="R82" s="226"/>
      <c r="S82" s="226"/>
      <c r="T82" s="226"/>
      <c r="U82" s="227"/>
      <c r="V82" s="224"/>
      <c r="W82" s="224"/>
      <c r="X82" s="228"/>
      <c r="Y82" s="229"/>
      <c r="Z82" s="229"/>
      <c r="AA82" s="229"/>
      <c r="AB82" s="229"/>
      <c r="AC82" s="230"/>
    </row>
    <row r="83" spans="1:29" s="231" customFormat="1">
      <c r="A83" s="486"/>
      <c r="B83" s="226"/>
      <c r="C83" s="500" t="s">
        <v>197</v>
      </c>
      <c r="D83" s="501"/>
      <c r="E83" s="404"/>
      <c r="F83" s="226"/>
      <c r="G83" s="226"/>
      <c r="H83" s="226"/>
      <c r="I83" s="226"/>
      <c r="J83" s="226"/>
      <c r="K83" s="226"/>
      <c r="L83" s="226"/>
      <c r="M83" s="226"/>
      <c r="N83" s="226"/>
      <c r="O83" s="226"/>
      <c r="P83" s="226"/>
      <c r="Q83" s="226"/>
      <c r="R83" s="226"/>
      <c r="S83" s="226"/>
      <c r="T83" s="226"/>
      <c r="U83" s="227"/>
      <c r="V83" s="224"/>
      <c r="W83" s="224"/>
      <c r="X83" s="228"/>
      <c r="Y83" s="229"/>
      <c r="Z83" s="229"/>
      <c r="AA83" s="229"/>
      <c r="AB83" s="229"/>
      <c r="AC83" s="230"/>
    </row>
    <row r="84" spans="1:29" s="231" customFormat="1">
      <c r="A84" s="486"/>
      <c r="B84" s="226"/>
      <c r="C84" s="500" t="s">
        <v>199</v>
      </c>
      <c r="D84" s="501"/>
      <c r="E84" s="404"/>
      <c r="F84" s="226"/>
      <c r="G84" s="226">
        <v>1</v>
      </c>
      <c r="H84" s="226"/>
      <c r="I84" s="226">
        <v>1</v>
      </c>
      <c r="J84" s="226"/>
      <c r="K84" s="226"/>
      <c r="L84" s="226"/>
      <c r="M84" s="226">
        <v>1</v>
      </c>
      <c r="N84" s="226">
        <v>2</v>
      </c>
      <c r="O84" s="226"/>
      <c r="P84" s="226">
        <v>3</v>
      </c>
      <c r="Q84" s="226"/>
      <c r="R84" s="226"/>
      <c r="S84" s="226"/>
      <c r="T84" s="226">
        <v>1</v>
      </c>
      <c r="U84" s="227">
        <v>1</v>
      </c>
      <c r="V84" s="224"/>
      <c r="W84" s="224"/>
      <c r="X84" s="228" t="s">
        <v>203</v>
      </c>
      <c r="Y84" s="229"/>
      <c r="Z84" s="229"/>
      <c r="AA84" s="229"/>
      <c r="AB84" s="229"/>
      <c r="AC84" s="230"/>
    </row>
    <row r="85" spans="1:29" s="231" customFormat="1">
      <c r="A85" s="486"/>
      <c r="B85" s="226"/>
      <c r="C85" s="500" t="s">
        <v>170</v>
      </c>
      <c r="D85" s="501"/>
      <c r="E85" s="404"/>
      <c r="F85" s="226"/>
      <c r="G85" s="226"/>
      <c r="H85" s="226"/>
      <c r="I85" s="226"/>
      <c r="J85" s="226"/>
      <c r="K85" s="226"/>
      <c r="L85" s="226"/>
      <c r="M85" s="226"/>
      <c r="N85" s="226"/>
      <c r="O85" s="226"/>
      <c r="P85" s="226"/>
      <c r="Q85" s="226"/>
      <c r="R85" s="226"/>
      <c r="S85" s="226"/>
      <c r="T85" s="226"/>
      <c r="U85" s="227"/>
      <c r="V85" s="224"/>
      <c r="W85" s="224"/>
      <c r="X85" s="228"/>
      <c r="Y85" s="229"/>
      <c r="Z85" s="229"/>
      <c r="AA85" s="229"/>
      <c r="AB85" s="229"/>
      <c r="AC85" s="230"/>
    </row>
    <row r="86" spans="1:29" s="231" customFormat="1" ht="42" customHeight="1">
      <c r="A86" s="487"/>
      <c r="B86" s="226"/>
      <c r="C86" s="502" t="s">
        <v>205</v>
      </c>
      <c r="D86" s="503"/>
      <c r="E86" s="405"/>
      <c r="F86" s="226">
        <v>3</v>
      </c>
      <c r="G86" s="226">
        <v>4</v>
      </c>
      <c r="H86" s="226">
        <v>2</v>
      </c>
      <c r="I86" s="226">
        <v>2</v>
      </c>
      <c r="J86" s="226">
        <v>2</v>
      </c>
      <c r="K86" s="226">
        <v>1</v>
      </c>
      <c r="L86" s="226">
        <v>5</v>
      </c>
      <c r="M86" s="226">
        <v>1</v>
      </c>
      <c r="N86" s="226">
        <v>4</v>
      </c>
      <c r="O86" s="226">
        <v>4</v>
      </c>
      <c r="P86" s="226"/>
      <c r="Q86" s="226"/>
      <c r="R86" s="226">
        <v>7</v>
      </c>
      <c r="S86" s="226"/>
      <c r="T86" s="226">
        <v>8</v>
      </c>
      <c r="U86" s="227"/>
      <c r="V86" s="224">
        <v>3</v>
      </c>
      <c r="W86" s="224">
        <v>2</v>
      </c>
      <c r="X86" s="228" t="s">
        <v>202</v>
      </c>
      <c r="Y86" s="233"/>
      <c r="Z86" s="233"/>
      <c r="AA86" s="233"/>
      <c r="AB86" s="233"/>
      <c r="AC86" s="226"/>
    </row>
  </sheetData>
  <mergeCells count="56">
    <mergeCell ref="E47:E51"/>
    <mergeCell ref="A52:A61"/>
    <mergeCell ref="B52:D52"/>
    <mergeCell ref="C53:D53"/>
    <mergeCell ref="E53:E61"/>
    <mergeCell ref="C54:D54"/>
    <mergeCell ref="C55:D55"/>
    <mergeCell ref="C56:D56"/>
    <mergeCell ref="C57:D57"/>
    <mergeCell ref="C58:D58"/>
    <mergeCell ref="C59:D59"/>
    <mergeCell ref="C60:D60"/>
    <mergeCell ref="C61:D61"/>
    <mergeCell ref="E5:E8"/>
    <mergeCell ref="C6:D6"/>
    <mergeCell ref="C7:D7"/>
    <mergeCell ref="C8:D8"/>
    <mergeCell ref="A9:A45"/>
    <mergeCell ref="B9:D9"/>
    <mergeCell ref="A81:A86"/>
    <mergeCell ref="B81:D81"/>
    <mergeCell ref="E81:E86"/>
    <mergeCell ref="C82:D82"/>
    <mergeCell ref="C83:D83"/>
    <mergeCell ref="C84:D84"/>
    <mergeCell ref="C85:D85"/>
    <mergeCell ref="C86:D86"/>
    <mergeCell ref="A76:A80"/>
    <mergeCell ref="B76:D76"/>
    <mergeCell ref="E76:E80"/>
    <mergeCell ref="C77:D77"/>
    <mergeCell ref="C78:D78"/>
    <mergeCell ref="C79:D79"/>
    <mergeCell ref="C80:D80"/>
    <mergeCell ref="E68:E75"/>
    <mergeCell ref="C64:D64"/>
    <mergeCell ref="C65:D65"/>
    <mergeCell ref="C66:D66"/>
    <mergeCell ref="C67:D67"/>
    <mergeCell ref="E63:E67"/>
    <mergeCell ref="B1:D1"/>
    <mergeCell ref="B2:D2"/>
    <mergeCell ref="B3:D3"/>
    <mergeCell ref="B63:D63"/>
    <mergeCell ref="A68:A75"/>
    <mergeCell ref="B68:D68"/>
    <mergeCell ref="A63:A67"/>
    <mergeCell ref="A4:A8"/>
    <mergeCell ref="B4:D4"/>
    <mergeCell ref="C5:D5"/>
    <mergeCell ref="A46:A51"/>
    <mergeCell ref="B46:D46"/>
    <mergeCell ref="C47:D47"/>
    <mergeCell ref="C49:D49"/>
    <mergeCell ref="C50:D50"/>
    <mergeCell ref="C51:D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Fachri Nasution</dc:creator>
  <cp:keywords/>
  <dc:description/>
  <cp:lastModifiedBy/>
  <cp:revision/>
  <dcterms:created xsi:type="dcterms:W3CDTF">2026-04-17T07:58:09Z</dcterms:created>
  <dcterms:modified xsi:type="dcterms:W3CDTF">2026-07-14T07:07:23Z</dcterms:modified>
  <cp:category/>
  <cp:contentStatus/>
</cp:coreProperties>
</file>