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D:\InJourney Group\01 - Apr - CX Forum\Template Data\Template to Members\"/>
    </mc:Choice>
  </mc:AlternateContent>
  <xr:revisionPtr revIDLastSave="0" documentId="8_{E7CC98A1-13E1-4B0E-AFFB-D527EAFA4D8B}" xr6:coauthVersionLast="47" xr6:coauthVersionMax="47" xr10:uidLastSave="{00000000-0000-0000-0000-000000000000}"/>
  <bookViews>
    <workbookView xWindow="-108" yWindow="-108" windowWidth="23256" windowHeight="13896" xr2:uid="{D392A135-0FB3-4730-9D50-69E5334B438B}"/>
  </bookViews>
  <sheets>
    <sheet name="Data Performa" sheetId="3" r:id="rId1"/>
    <sheet name="IDM - TWC Borobudur" sheetId="1" r:id="rId2"/>
    <sheet name="IDM - TWC Prambanan" sheetId="2" r:id="rId3"/>
    <sheet name="Data Statistik-TWC" sheetId="5" r:id="rId4"/>
    <sheet name="Data"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0" i="3" l="1"/>
  <c r="T10" i="3"/>
  <c r="U10" i="3"/>
  <c r="V10" i="3"/>
  <c r="W10" i="3"/>
  <c r="X10" i="3"/>
  <c r="S11" i="3"/>
  <c r="T11" i="3"/>
  <c r="U11" i="3"/>
  <c r="V11" i="3"/>
  <c r="W11" i="3"/>
  <c r="X11" i="3"/>
  <c r="S12" i="3"/>
  <c r="T12" i="3"/>
  <c r="U12" i="3"/>
  <c r="V12" i="3"/>
  <c r="W12" i="3"/>
  <c r="X12" i="3"/>
  <c r="T9" i="3"/>
  <c r="U9" i="3"/>
  <c r="V9" i="3"/>
  <c r="W9" i="3"/>
  <c r="X9" i="3"/>
  <c r="S9" i="3"/>
  <c r="W9" i="5"/>
  <c r="W10" i="5"/>
  <c r="W11" i="5"/>
  <c r="W12" i="5"/>
  <c r="W13" i="5"/>
  <c r="W14" i="5"/>
  <c r="W15" i="5"/>
  <c r="V7" i="5"/>
  <c r="V9" i="5"/>
  <c r="R14" i="2"/>
  <c r="R14" i="1"/>
  <c r="F14" i="3"/>
  <c r="G14" i="3"/>
  <c r="H14" i="3"/>
  <c r="I14" i="3"/>
  <c r="J14" i="3"/>
  <c r="K14" i="3"/>
  <c r="L14" i="3"/>
  <c r="M14" i="3"/>
  <c r="N14" i="3"/>
  <c r="O14" i="3"/>
  <c r="P14" i="3"/>
  <c r="Q14" i="3"/>
  <c r="R14" i="3"/>
  <c r="T14" i="3"/>
  <c r="U14" i="3"/>
  <c r="V14" i="3"/>
  <c r="W14" i="3"/>
  <c r="X14" i="3"/>
  <c r="S14" i="3"/>
  <c r="F31" i="3"/>
  <c r="V15" i="5"/>
  <c r="G9" i="5"/>
  <c r="H9" i="5"/>
  <c r="I9" i="5"/>
  <c r="J9" i="5"/>
  <c r="K9" i="5"/>
  <c r="L9" i="5"/>
  <c r="M9" i="5"/>
  <c r="N9" i="5"/>
  <c r="O9" i="5"/>
  <c r="P9" i="5"/>
  <c r="Q9" i="5"/>
  <c r="R9" i="5"/>
  <c r="S9" i="5"/>
  <c r="T9" i="5"/>
  <c r="U9" i="5"/>
  <c r="G10" i="5"/>
  <c r="H10" i="5"/>
  <c r="I10" i="5"/>
  <c r="J10" i="5"/>
  <c r="K10" i="5"/>
  <c r="L10" i="5"/>
  <c r="M10" i="5"/>
  <c r="N10" i="5"/>
  <c r="O10" i="5"/>
  <c r="P10" i="5"/>
  <c r="Q10" i="5"/>
  <c r="R10" i="5"/>
  <c r="S10" i="5"/>
  <c r="T10" i="5"/>
  <c r="U10" i="5"/>
  <c r="V10" i="5"/>
  <c r="G11" i="5"/>
  <c r="H11" i="5"/>
  <c r="I11" i="5"/>
  <c r="J11" i="5"/>
  <c r="K11" i="5"/>
  <c r="L11" i="5"/>
  <c r="M11" i="5"/>
  <c r="N11" i="5"/>
  <c r="O11" i="5"/>
  <c r="P11" i="5"/>
  <c r="Q11" i="5"/>
  <c r="R11" i="5"/>
  <c r="S11" i="5"/>
  <c r="T11" i="5"/>
  <c r="U11" i="5"/>
  <c r="V11" i="5"/>
  <c r="G12" i="5"/>
  <c r="H12" i="5"/>
  <c r="I12" i="5"/>
  <c r="J12" i="5"/>
  <c r="K12" i="5"/>
  <c r="L12" i="5"/>
  <c r="M12" i="5"/>
  <c r="N12" i="5"/>
  <c r="O12" i="5"/>
  <c r="P12" i="5"/>
  <c r="Q12" i="5"/>
  <c r="R12" i="5"/>
  <c r="S12" i="5"/>
  <c r="T12" i="5"/>
  <c r="U12" i="5"/>
  <c r="V12" i="5"/>
  <c r="G13" i="5"/>
  <c r="H13" i="5"/>
  <c r="I13" i="5"/>
  <c r="J13" i="5"/>
  <c r="K13" i="5"/>
  <c r="L13" i="5"/>
  <c r="M13" i="5"/>
  <c r="N13" i="5"/>
  <c r="O13" i="5"/>
  <c r="P13" i="5"/>
  <c r="Q13" i="5"/>
  <c r="R13" i="5"/>
  <c r="S13" i="5"/>
  <c r="T13" i="5"/>
  <c r="U13" i="5"/>
  <c r="V13" i="5"/>
  <c r="G14" i="5"/>
  <c r="H14" i="5"/>
  <c r="I14" i="5"/>
  <c r="J14" i="5"/>
  <c r="K14" i="5"/>
  <c r="L14" i="5"/>
  <c r="M14" i="5"/>
  <c r="N14" i="5"/>
  <c r="O14" i="5"/>
  <c r="P14" i="5"/>
  <c r="Q14" i="5"/>
  <c r="R14" i="5"/>
  <c r="S14" i="5"/>
  <c r="T14" i="5"/>
  <c r="U14" i="5"/>
  <c r="V14" i="5"/>
  <c r="G15" i="5"/>
  <c r="H15" i="5"/>
  <c r="I15" i="5"/>
  <c r="J15" i="5"/>
  <c r="K15" i="5"/>
  <c r="L15" i="5"/>
  <c r="M15" i="5"/>
  <c r="N15" i="5"/>
  <c r="O15" i="5"/>
  <c r="P15" i="5"/>
  <c r="Q15" i="5"/>
  <c r="R15" i="5"/>
  <c r="S15" i="5"/>
  <c r="T15" i="5"/>
  <c r="U15" i="5"/>
  <c r="F15" i="5"/>
  <c r="F14" i="5"/>
  <c r="F13" i="5"/>
  <c r="F12" i="5"/>
  <c r="F11" i="5"/>
  <c r="F10" i="5"/>
  <c r="F9" i="5"/>
  <c r="G7" i="5"/>
  <c r="H7" i="5"/>
  <c r="I7" i="5"/>
  <c r="J7" i="5"/>
  <c r="K7" i="5"/>
  <c r="L7" i="5"/>
  <c r="M7" i="5"/>
  <c r="N7" i="5"/>
  <c r="O7" i="5"/>
  <c r="P7" i="5"/>
  <c r="Q7" i="5"/>
  <c r="R7" i="5"/>
  <c r="S7" i="5"/>
  <c r="T7" i="5"/>
  <c r="U7" i="5"/>
  <c r="W7" i="5"/>
  <c r="F7" i="5"/>
  <c r="G2" i="5"/>
  <c r="H2" i="5"/>
  <c r="I2" i="5"/>
  <c r="J2" i="5"/>
  <c r="K2" i="5"/>
  <c r="L2" i="5"/>
  <c r="M2" i="5"/>
  <c r="N2" i="5"/>
  <c r="O2" i="5"/>
  <c r="P2" i="5"/>
  <c r="Q2" i="5"/>
  <c r="R2" i="5"/>
  <c r="S2" i="5"/>
  <c r="T2" i="5"/>
  <c r="U2" i="5"/>
  <c r="V2" i="5"/>
  <c r="W2" i="5"/>
  <c r="F2" i="5"/>
  <c r="V27" i="3"/>
  <c r="W27" i="3"/>
  <c r="V26" i="3"/>
  <c r="W26" i="3"/>
  <c r="X26" i="3"/>
  <c r="V25" i="3"/>
  <c r="W25" i="3"/>
  <c r="X25" i="3"/>
  <c r="V24" i="3"/>
  <c r="W24" i="3"/>
  <c r="X24" i="3"/>
  <c r="V23" i="3"/>
  <c r="W23" i="3"/>
  <c r="X23" i="3"/>
  <c r="X27" i="3" s="1"/>
  <c r="F23" i="3"/>
  <c r="L26" i="3"/>
  <c r="M26" i="3"/>
  <c r="N26" i="3"/>
  <c r="O26" i="3"/>
  <c r="P26" i="3"/>
  <c r="Q26" i="3"/>
  <c r="S26" i="3"/>
  <c r="T26" i="3"/>
  <c r="U26" i="3"/>
  <c r="H26" i="3"/>
  <c r="I26" i="3"/>
  <c r="J26" i="3"/>
  <c r="K26" i="3"/>
  <c r="G26" i="3"/>
  <c r="F26" i="3"/>
  <c r="G25" i="3"/>
  <c r="R26" i="2"/>
  <c r="R26" i="3" s="1"/>
  <c r="R26" i="1"/>
  <c r="R18" i="1"/>
  <c r="R24" i="1"/>
  <c r="S24" i="3"/>
  <c r="T24" i="3"/>
  <c r="U24" i="3"/>
  <c r="S25" i="3"/>
  <c r="T25" i="3"/>
  <c r="U25" i="3"/>
  <c r="T23" i="3"/>
  <c r="T27" i="3" s="1"/>
  <c r="U23" i="3"/>
  <c r="U27" i="3" s="1"/>
  <c r="S23" i="3"/>
  <c r="S27" i="3" s="1"/>
  <c r="F24" i="3"/>
  <c r="G24" i="3"/>
  <c r="H24" i="3"/>
  <c r="I24" i="3"/>
  <c r="J24" i="3"/>
  <c r="K24" i="3"/>
  <c r="L24" i="3"/>
  <c r="M24" i="3"/>
  <c r="N24" i="3"/>
  <c r="O24" i="3"/>
  <c r="P24" i="3"/>
  <c r="Q24" i="3"/>
  <c r="F25" i="3"/>
  <c r="H25" i="3"/>
  <c r="I25" i="3"/>
  <c r="J25" i="3"/>
  <c r="K25" i="3"/>
  <c r="L25" i="3"/>
  <c r="M25" i="3"/>
  <c r="N25" i="3"/>
  <c r="O25" i="3"/>
  <c r="P25" i="3"/>
  <c r="Q25" i="3"/>
  <c r="G23" i="3"/>
  <c r="G27" i="3" s="1"/>
  <c r="H23" i="3"/>
  <c r="H27" i="3" s="1"/>
  <c r="I23" i="3"/>
  <c r="I27" i="3" s="1"/>
  <c r="J23" i="3"/>
  <c r="J27" i="3" s="1"/>
  <c r="K23" i="3"/>
  <c r="K27" i="3" s="1"/>
  <c r="L23" i="3"/>
  <c r="L27" i="3" s="1"/>
  <c r="M23" i="3"/>
  <c r="M27" i="3" s="1"/>
  <c r="N23" i="3"/>
  <c r="N27" i="3" s="1"/>
  <c r="O23" i="3"/>
  <c r="O27" i="3" s="1"/>
  <c r="P23" i="3"/>
  <c r="P27" i="3" s="1"/>
  <c r="Q23" i="3"/>
  <c r="Q27" i="3" s="1"/>
  <c r="F27" i="3"/>
  <c r="F28" i="3" s="1"/>
  <c r="R18" i="2"/>
  <c r="R18" i="3"/>
  <c r="R24" i="2"/>
  <c r="R25" i="2"/>
  <c r="R25" i="1"/>
  <c r="R23" i="2"/>
  <c r="R21" i="3"/>
  <c r="R19" i="3"/>
  <c r="R12" i="3"/>
  <c r="R11" i="3"/>
  <c r="R10" i="3"/>
  <c r="R9" i="3"/>
  <c r="R21" i="2"/>
  <c r="R19" i="2"/>
  <c r="R12" i="2"/>
  <c r="R11" i="2"/>
  <c r="R10" i="2"/>
  <c r="R9" i="2"/>
  <c r="R23" i="1"/>
  <c r="R10" i="1"/>
  <c r="R11" i="1"/>
  <c r="R12" i="1"/>
  <c r="R9" i="1"/>
  <c r="R21" i="1"/>
  <c r="R19" i="1"/>
  <c r="R23" i="3" l="1"/>
  <c r="R25" i="3"/>
  <c r="R24" i="3"/>
  <c r="R27" i="3" l="1"/>
</calcChain>
</file>

<file path=xl/sharedStrings.xml><?xml version="1.0" encoding="utf-8"?>
<sst xmlns="http://schemas.openxmlformats.org/spreadsheetml/2006/main" count="1430" uniqueCount="168">
  <si>
    <t>CUSTOMER EXPERIENCE PERFORMANCE DATA</t>
  </si>
  <si>
    <t>2025 - 2026</t>
  </si>
  <si>
    <t>IDM - TWC</t>
  </si>
  <si>
    <t>No</t>
  </si>
  <si>
    <t>Parameters</t>
  </si>
  <si>
    <t>Unit</t>
  </si>
  <si>
    <t>Target</t>
  </si>
  <si>
    <t>JAN</t>
  </si>
  <si>
    <t>FEB</t>
  </si>
  <si>
    <t>MAR</t>
  </si>
  <si>
    <t>APR</t>
  </si>
  <si>
    <t>MAY</t>
  </si>
  <si>
    <t>JUN</t>
  </si>
  <si>
    <t>JUL</t>
  </si>
  <si>
    <t>AUG</t>
  </si>
  <si>
    <t>SEP</t>
  </si>
  <si>
    <t>OCT</t>
  </si>
  <si>
    <t>NOV</t>
  </si>
  <si>
    <t>DEC</t>
  </si>
  <si>
    <t>TOTAL</t>
  </si>
  <si>
    <t>JUNE</t>
  </si>
  <si>
    <t>Customer Satisfaction (Survey Sensum)</t>
  </si>
  <si>
    <t>a.</t>
  </si>
  <si>
    <t>CSAT - Overall</t>
  </si>
  <si>
    <t>Scale 1-5</t>
  </si>
  <si>
    <t>b.</t>
  </si>
  <si>
    <t>CSAT - People</t>
  </si>
  <si>
    <t>c.</t>
  </si>
  <si>
    <t>CSAT - Process</t>
  </si>
  <si>
    <t>d.</t>
  </si>
  <si>
    <t>CSAT - Premises</t>
  </si>
  <si>
    <t>Call Center Performance</t>
  </si>
  <si>
    <t>Volume of Call</t>
  </si>
  <si>
    <t>Numbers</t>
  </si>
  <si>
    <t>First Call Resolution</t>
  </si>
  <si>
    <t>Percentage (%)</t>
  </si>
  <si>
    <t xml:space="preserve">call abandon/all </t>
  </si>
  <si>
    <t>Service Level</t>
  </si>
  <si>
    <t>Social Media Monitoring</t>
  </si>
  <si>
    <t>Volume of Interaction</t>
  </si>
  <si>
    <t>source langit biru volume interaction all account</t>
  </si>
  <si>
    <t>Net Sentiment Score</t>
  </si>
  <si>
    <t xml:space="preserve">manual raw data dari langit biru </t>
  </si>
  <si>
    <t>Average Response Time</t>
  </si>
  <si>
    <t>Hours</t>
  </si>
  <si>
    <t>Respons to Sentiment Ratio</t>
  </si>
  <si>
    <t>0,00 - 1,00</t>
  </si>
  <si>
    <t>Complaint Handling</t>
  </si>
  <si>
    <t>Total Complaint</t>
  </si>
  <si>
    <t>Cust review</t>
  </si>
  <si>
    <t>CC</t>
  </si>
  <si>
    <t>Langit biru</t>
  </si>
  <si>
    <t>On site (data from unit)</t>
  </si>
  <si>
    <t>Completed</t>
  </si>
  <si>
    <t>Progress</t>
  </si>
  <si>
    <t>Untouch</t>
  </si>
  <si>
    <t>e.</t>
  </si>
  <si>
    <t>Complaint Resolution Rate</t>
  </si>
  <si>
    <t>f.</t>
  </si>
  <si>
    <t>Average Time Resolution</t>
  </si>
  <si>
    <t>Day</t>
  </si>
  <si>
    <t>IDM - TWC Borobudur</t>
  </si>
  <si>
    <t>-</t>
  </si>
  <si>
    <t>Cust review Borobudur</t>
  </si>
  <si>
    <t>IDM - TWC Prambanan</t>
  </si>
  <si>
    <t>Cust review Prambanan</t>
  </si>
  <si>
    <t>Item Data</t>
  </si>
  <si>
    <t>Keterangan Pengisian</t>
  </si>
  <si>
    <t>Jumlah Pengunjung</t>
  </si>
  <si>
    <t>Data Total Pengunjung (Per Cabang / Line of Business)</t>
  </si>
  <si>
    <t>Borobudur</t>
  </si>
  <si>
    <t>Prambanan</t>
  </si>
  <si>
    <t>Ratu Boko</t>
  </si>
  <si>
    <t>Teater Pentas</t>
  </si>
  <si>
    <t>Total Interaksi</t>
  </si>
  <si>
    <t>Total Interaksi (Per Cabang / Line of Business) dari Voice of Customer (pengaduan, permintaan, pertanyaan, informasi dan apresiasi).</t>
  </si>
  <si>
    <t>Jumlah interaksi per-kategory</t>
  </si>
  <si>
    <t> </t>
  </si>
  <si>
    <t>a</t>
  </si>
  <si>
    <t>Pengaduan/Keluhan</t>
  </si>
  <si>
    <t>Bersumber dari Telepon, Customer Service/tatap muka, Email, Kotak Saran, Live Chat, Whatsapp, Instagram dan Twitter</t>
  </si>
  <si>
    <t>b</t>
  </si>
  <si>
    <t>Permintaan/Reservasi/Product Inquiry</t>
  </si>
  <si>
    <t>c</t>
  </si>
  <si>
    <t>Pertanyaan</t>
  </si>
  <si>
    <t>d</t>
  </si>
  <si>
    <t>Informasi</t>
  </si>
  <si>
    <t>e</t>
  </si>
  <si>
    <t>Apresiasi</t>
  </si>
  <si>
    <t>f</t>
  </si>
  <si>
    <t>Lost and Found</t>
  </si>
  <si>
    <t>g</t>
  </si>
  <si>
    <t>Priority Service</t>
  </si>
  <si>
    <t>Interaksi per channel</t>
  </si>
  <si>
    <t>Telepon</t>
  </si>
  <si>
    <t>Customer Sevice/tatap muka</t>
  </si>
  <si>
    <t>Email</t>
  </si>
  <si>
    <t>Kotak Saran</t>
  </si>
  <si>
    <t>Live Chat</t>
  </si>
  <si>
    <t>SP4N Lapor!</t>
  </si>
  <si>
    <t>Whtasapp</t>
  </si>
  <si>
    <t>h</t>
  </si>
  <si>
    <t>Instagram</t>
  </si>
  <si>
    <t>i</t>
  </si>
  <si>
    <t>Twitter</t>
  </si>
  <si>
    <t>Voice (Incoming Call)</t>
  </si>
  <si>
    <t>Lost &amp; Found</t>
  </si>
  <si>
    <t>Jumlah Customer Resolution per SLA</t>
  </si>
  <si>
    <t>Kategorisasi SLA disesuaikan dengan SLA yang di terapkan di masing-masing member (Per Cabang / Line of Business)</t>
  </si>
  <si>
    <t>Belum terdapat data SLA penyelesaian case dari mitra cc sebelumnya</t>
  </si>
  <si>
    <t>FCR</t>
  </si>
  <si>
    <t>2 hari</t>
  </si>
  <si>
    <t>3 hari</t>
  </si>
  <si>
    <t>Lainnya (silahkan ditambahkan)</t>
  </si>
  <si>
    <t>Average Handling Time (Contact Center)</t>
  </si>
  <si>
    <t>Durasi rata-rata interaksi pelanggan &amp; untuk daftar channel dapat di tambahkan sesuai dengan channel yang ada di member (Per Cabang / Line of Business)</t>
  </si>
  <si>
    <t>Belum tercatat secara system utk tahun 2025</t>
  </si>
  <si>
    <t>Whatsapp</t>
  </si>
  <si>
    <t>CP CX Injourney Group</t>
  </si>
  <si>
    <t>(Erwan) 08213354446</t>
  </si>
  <si>
    <t>(Rumiris) 081807882087</t>
  </si>
  <si>
    <t>(Rikza) 081539393436</t>
  </si>
  <si>
    <t>Definisi</t>
  </si>
  <si>
    <t>Pengaduan</t>
  </si>
  <si>
    <t>Bentuk ketidakpuasan Pelanggan terhadap produk, jasa, atau pelayanan yang diterima, baik terkait kualitas, proses, maupun hasil, yang disampaikan dengan harapan adanya perbaikan atau penyelesaian.</t>
  </si>
  <si>
    <t>Bentuk kebutuhan atau keinginan pelanggan terhadap suatu layanan, informasi, atau tindakan tertentu dari perusahaan yang belum tentu berkaitan dengan masalah atau ketidakpuasan.</t>
  </si>
  <si>
    <t>Bentuk permohonan informasi atau klarifikasi dari Pelanggan terkait produk, jasa, kebijakan, atau prosedur yang dimiliki organisasi.</t>
  </si>
  <si>
    <t>Bentuk komunikasi dari pelanggan berupa pemberian data, masukan, atau laporan yang dapat bersifat netral, informatif, atau sebagai bahan pertimbangan bagi organisasi.</t>
  </si>
  <si>
    <t>Bentuk ungkapan kepuasan atau penghargaan dari Pelanggan terhadap kualitas produk, jasa, pelayanan, atau pengalaman yang diberikan oleh organisasi.</t>
  </si>
  <si>
    <t>Layanan pengelolaan barang hilang atau tertinggal yang mencakup proses penerimaan laporan, identifikasi, penyimpanan, penelusuran, verifikasi kepemilikan, hingga pengembalian barang kepada pemilik sesuai dengan prosedur yang berlaku</t>
  </si>
  <si>
    <t>Layanan yang diberikan dengan tingkat prioritas kepada pelanggan yang memenuhi kriteria tertentu atau memiliki kebutuhan khusus, guna memastikan pelayanan diberikan secara cepat, tepat, aman, nyaman, dan sesuai dengan standar pelayanan yang berlaku.</t>
  </si>
  <si>
    <t>Service Level Agreement</t>
  </si>
  <si>
    <t>Kesepakatan tingkat layanan yang menetapkan standar waktu/respons/penyelesaian layanan yang harus dipenuhi.</t>
  </si>
  <si>
    <t>Customer Resolution</t>
  </si>
  <si>
    <t>Proses penyelesaian masalah, pertanyaan, atau permintaan pelanggan hingga pelanggan memperoleh solusi yang sesuai dan kebutuhannya dianggap telah terpenuhi</t>
  </si>
  <si>
    <t>Frist Contact Resolution (FCR)</t>
  </si>
  <si>
    <t>Persentase interaksi pelanggan yang berhasil diselesaikan secara tuntas pada kontak pertama, sehingga pelanggan tidak perlu melakukan kontak ulang terkait isu yang sama.</t>
  </si>
  <si>
    <t>Average Handling Time (Call Center/Contact Center)</t>
  </si>
  <si>
    <t>Rata-rata durasi yang diperlukan untuk menangani satu interaksi pelanggan, yang mencakup waktu berbicara (talk time), waktu menunggu (hold time), dan waktu penyelesaian administrasi setelah interaksi (after call work/ACW).</t>
  </si>
  <si>
    <t>Total Talk Time</t>
  </si>
  <si>
    <t>Waktu agent berkomunikasi langsung dengan pelanggan</t>
  </si>
  <si>
    <t>Total Hold Time</t>
  </si>
  <si>
    <t>Waktu pelanggan menunggu saat agent melakukan pengecekan atau koordinasi</t>
  </si>
  <si>
    <t>Total After Call Work (ACW)</t>
  </si>
  <si>
    <t>Waktu yang digunakan agent setelah interaksi berakhir untuk mencatat hasil, mengisi sistem, atau menyelesaikan administrasi</t>
  </si>
  <si>
    <t>Mei 2025</t>
  </si>
  <si>
    <t>Juni 2025</t>
  </si>
  <si>
    <t>Juli 2025</t>
  </si>
  <si>
    <t>Ags 2025</t>
  </si>
  <si>
    <t>Okt 2025</t>
  </si>
  <si>
    <t>Des 2025</t>
  </si>
  <si>
    <t>Mei 2026</t>
  </si>
  <si>
    <t>Juni 2026</t>
  </si>
  <si>
    <t>Juli 2026</t>
  </si>
  <si>
    <t>Total Interaksi (Per Cabang / Line of Business)</t>
  </si>
  <si>
    <t>Total interaksi per kategori (kategori disesuaikan dengan yang ada di member)(Per Cabang / Line of Business)</t>
  </si>
  <si>
    <t>Permintaan Informasi (contoh)</t>
  </si>
  <si>
    <t>Request (Contoh)</t>
  </si>
  <si>
    <t>Keluhan (Contoh)</t>
  </si>
  <si>
    <t>Total Interaksi per channel (channel disesuaikan dengan yang ada di member)(Per Cabang / Line of Business)</t>
  </si>
  <si>
    <t>Permohonan</t>
  </si>
  <si>
    <t>Keluhan</t>
  </si>
  <si>
    <t>Customer Service (WA Chat)</t>
  </si>
  <si>
    <t>1 hari</t>
  </si>
  <si>
    <t>Voice (diisi jika ada)</t>
  </si>
  <si>
    <t>WA Chat (diisi jika ada)</t>
  </si>
  <si>
    <t>Live Chat (diisi jika ada)</t>
  </si>
  <si>
    <t>Social Media (diisi jika 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</si>
</sst>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K&quot;"/>
  </numFmts>
  <fonts count="15">
    <font>
      <sz val="11"/>
      <color theme="1"/>
      <name val="Segoe UI"/>
      <family val="2"/>
    </font>
    <font>
      <b/>
      <sz val="11"/>
      <color theme="1"/>
      <name val="Segoe UI"/>
      <family val="2"/>
    </font>
    <font>
      <b/>
      <sz val="14"/>
      <color theme="1"/>
      <name val="Segoe UI"/>
      <family val="2"/>
    </font>
    <font>
      <b/>
      <sz val="10"/>
      <color theme="1"/>
      <name val="Arial"/>
      <charset val="1"/>
    </font>
    <font>
      <sz val="10"/>
      <color theme="1"/>
      <name val="Arial"/>
      <charset val="1"/>
    </font>
    <font>
      <i/>
      <sz val="10"/>
      <color theme="1"/>
      <name val="Arial"/>
      <charset val="1"/>
    </font>
    <font>
      <u/>
      <sz val="11"/>
      <color theme="10"/>
      <name val="Segoe UI"/>
      <family val="2"/>
    </font>
    <font>
      <b/>
      <sz val="10"/>
      <color rgb="FF000000"/>
      <name val="Arial"/>
    </font>
    <font>
      <sz val="10"/>
      <color rgb="FF000000"/>
      <name val="Arial"/>
    </font>
    <font>
      <i/>
      <sz val="10"/>
      <color rgb="FF000000"/>
      <name val="Arial"/>
    </font>
    <font>
      <i/>
      <sz val="10"/>
      <color rgb="FF000000"/>
      <name val="Arial"/>
      <family val="2"/>
    </font>
    <font>
      <sz val="10"/>
      <color rgb="FF000000"/>
      <name val="Arial"/>
      <family val="2"/>
    </font>
    <font>
      <sz val="11"/>
      <color rgb="FF000000"/>
      <name val="Calibri"/>
    </font>
    <font>
      <b/>
      <sz val="10"/>
      <color rgb="FF000000"/>
      <name val="Arial"/>
      <family val="2"/>
    </font>
    <font>
      <sz val="12"/>
      <color rgb="FF000000"/>
      <name val="Calibri"/>
    </font>
  </fonts>
  <fills count="4">
    <fill>
      <patternFill patternType="none"/>
    </fill>
    <fill>
      <patternFill patternType="gray125"/>
    </fill>
    <fill>
      <patternFill patternType="solid">
        <fgColor theme="4" tint="0.79998168889431442"/>
        <bgColor indexed="64"/>
      </patternFill>
    </fill>
    <fill>
      <patternFill patternType="solid">
        <fgColor rgb="FFFFFFFF"/>
        <bgColor rgb="FFFFFFFF"/>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right style="thin">
        <color indexed="64"/>
      </right>
      <top/>
      <bottom/>
      <diagonal/>
    </border>
    <border>
      <left style="thin">
        <color rgb="FFCCCCCC"/>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000000"/>
      </bottom>
      <diagonal/>
    </border>
    <border>
      <left style="thin">
        <color rgb="FFCCCCCC"/>
      </left>
      <right/>
      <top style="thin">
        <color rgb="FFCCCCCC"/>
      </top>
      <bottom style="thin">
        <color rgb="FF000000"/>
      </bottom>
      <diagonal/>
    </border>
    <border>
      <left/>
      <right/>
      <top style="thin">
        <color rgb="FFCCCCCC"/>
      </top>
      <bottom style="thin">
        <color rgb="FF000000"/>
      </bottom>
      <diagonal/>
    </border>
    <border>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000000"/>
      </right>
      <top style="thin">
        <color rgb="FFCCCCCC"/>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CCCCCC"/>
      </left>
      <right style="thin">
        <color rgb="FF000000"/>
      </right>
      <top style="thin">
        <color rgb="FFCCCCCC"/>
      </top>
      <bottom/>
      <diagonal/>
    </border>
    <border>
      <left style="thin">
        <color rgb="FFCCCCCC"/>
      </left>
      <right style="thin">
        <color rgb="FF000000"/>
      </right>
      <top/>
      <bottom/>
      <diagonal/>
    </border>
    <border>
      <left style="thin">
        <color rgb="FFCCCCCC"/>
      </left>
      <right style="thin">
        <color rgb="FF000000"/>
      </right>
      <top/>
      <bottom style="thin">
        <color rgb="FF000000"/>
      </bottom>
      <diagonal/>
    </border>
    <border>
      <left style="thin">
        <color rgb="FFCCCCCC"/>
      </left>
      <right style="thin">
        <color rgb="FFCCCCCC"/>
      </right>
      <top style="thin">
        <color rgb="FFCCCCCC"/>
      </top>
      <bottom style="thin">
        <color rgb="FF000000"/>
      </bottom>
      <diagonal/>
    </border>
    <border>
      <left style="thin">
        <color rgb="FF000000"/>
      </left>
      <right style="thin">
        <color rgb="FF000000"/>
      </right>
      <top style="thin">
        <color rgb="FF000000"/>
      </top>
      <bottom/>
      <diagonal/>
    </border>
    <border>
      <left/>
      <right style="thin">
        <color rgb="FF000000"/>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2">
    <xf numFmtId="0" fontId="0" fillId="0" borderId="0"/>
    <xf numFmtId="0" fontId="6" fillId="0" borderId="0" applyNumberFormat="0" applyFill="0" applyBorder="0" applyAlignment="0" applyProtection="0"/>
  </cellStyleXfs>
  <cellXfs count="150">
    <xf numFmtId="0" fontId="0" fillId="0" borderId="0" xfId="0"/>
    <xf numFmtId="0" fontId="1" fillId="0" borderId="0" xfId="0" applyFont="1" applyAlignment="1">
      <alignment horizontal="left"/>
    </xf>
    <xf numFmtId="0" fontId="0" fillId="0" borderId="0" xfId="0" applyAlignment="1">
      <alignment horizontal="left"/>
    </xf>
    <xf numFmtId="0" fontId="2" fillId="0" borderId="0" xfId="0" applyFont="1" applyAlignment="1">
      <alignment horizontal="left"/>
    </xf>
    <xf numFmtId="0" fontId="0" fillId="0" borderId="0" xfId="0" applyAlignment="1">
      <alignment horizontal="center"/>
    </xf>
    <xf numFmtId="0" fontId="1"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0" fillId="0" borderId="0" xfId="0" applyAlignment="1">
      <alignment wrapText="1"/>
    </xf>
    <xf numFmtId="0" fontId="0" fillId="0" borderId="0" xfId="0" applyAlignment="1">
      <alignment horizontal="center" wrapText="1"/>
    </xf>
    <xf numFmtId="0" fontId="0" fillId="0" borderId="2" xfId="0" applyBorder="1" applyAlignment="1">
      <alignment horizontal="center" vertical="center"/>
    </xf>
    <xf numFmtId="0" fontId="1" fillId="0" borderId="1" xfId="0" applyFont="1" applyBorder="1" applyAlignment="1">
      <alignment vertical="center"/>
    </xf>
    <xf numFmtId="0" fontId="0" fillId="0" borderId="1" xfId="0" applyBorder="1" applyAlignment="1">
      <alignment vertical="center"/>
    </xf>
    <xf numFmtId="0" fontId="0" fillId="0" borderId="1" xfId="0" applyBorder="1" applyAlignment="1">
      <alignment vertical="center" wrapText="1"/>
    </xf>
    <xf numFmtId="0" fontId="0" fillId="0" borderId="3" xfId="0" applyBorder="1" applyAlignment="1">
      <alignment vertical="center"/>
    </xf>
    <xf numFmtId="0" fontId="0" fillId="0" borderId="8" xfId="0" applyBorder="1" applyAlignment="1">
      <alignment vertical="center"/>
    </xf>
    <xf numFmtId="0" fontId="0" fillId="0" borderId="5" xfId="0" applyBorder="1" applyAlignment="1">
      <alignment vertical="center"/>
    </xf>
    <xf numFmtId="0" fontId="0" fillId="0" borderId="7" xfId="0"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6" xfId="0" applyBorder="1" applyAlignment="1">
      <alignment horizontal="center" vertical="center"/>
    </xf>
    <xf numFmtId="0" fontId="0" fillId="0" borderId="6" xfId="0" applyBorder="1" applyAlignment="1">
      <alignment vertical="center"/>
    </xf>
    <xf numFmtId="10" fontId="0" fillId="0" borderId="1" xfId="0" applyNumberFormat="1" applyBorder="1" applyAlignment="1">
      <alignment vertical="center"/>
    </xf>
    <xf numFmtId="0" fontId="1" fillId="2" borderId="1" xfId="0" applyFont="1" applyFill="1" applyBorder="1" applyAlignment="1">
      <alignment horizontal="center" vertical="center"/>
    </xf>
    <xf numFmtId="0" fontId="1" fillId="2" borderId="1" xfId="0" applyFont="1" applyFill="1" applyBorder="1" applyAlignment="1">
      <alignment vertical="center"/>
    </xf>
    <xf numFmtId="2" fontId="1" fillId="2" borderId="1" xfId="0" applyNumberFormat="1" applyFont="1" applyFill="1" applyBorder="1" applyAlignment="1">
      <alignment vertical="center"/>
    </xf>
    <xf numFmtId="10" fontId="1" fillId="2" borderId="1" xfId="0" applyNumberFormat="1" applyFont="1" applyFill="1" applyBorder="1" applyAlignment="1">
      <alignment vertical="center"/>
    </xf>
    <xf numFmtId="0" fontId="0" fillId="0" borderId="1" xfId="0" quotePrefix="1" applyBorder="1" applyAlignment="1">
      <alignment vertical="center"/>
    </xf>
    <xf numFmtId="164" fontId="0" fillId="0" borderId="1" xfId="0" applyNumberFormat="1" applyBorder="1" applyAlignment="1">
      <alignment vertical="center"/>
    </xf>
    <xf numFmtId="0" fontId="1" fillId="0" borderId="1" xfId="0" applyFont="1" applyBorder="1" applyAlignment="1">
      <alignment horizontal="center" vertical="center" wrapText="1"/>
    </xf>
    <xf numFmtId="9" fontId="0" fillId="0" borderId="1" xfId="0" applyNumberFormat="1" applyBorder="1" applyAlignment="1">
      <alignment vertical="center"/>
    </xf>
    <xf numFmtId="0" fontId="1" fillId="0" borderId="6" xfId="0" applyFont="1" applyBorder="1" applyAlignment="1">
      <alignment horizontal="center" vertical="center"/>
    </xf>
    <xf numFmtId="0" fontId="4" fillId="0" borderId="15" xfId="0" applyFont="1" applyBorder="1" applyAlignment="1">
      <alignment readingOrder="1"/>
    </xf>
    <xf numFmtId="0" fontId="4" fillId="0" borderId="16" xfId="0" applyFont="1" applyBorder="1" applyAlignment="1">
      <alignment readingOrder="1"/>
    </xf>
    <xf numFmtId="0" fontId="4" fillId="0" borderId="21" xfId="0" applyFont="1" applyBorder="1" applyAlignment="1">
      <alignment readingOrder="1"/>
    </xf>
    <xf numFmtId="0" fontId="4" fillId="0" borderId="22" xfId="0" applyFont="1" applyBorder="1" applyAlignment="1">
      <alignment readingOrder="1"/>
    </xf>
    <xf numFmtId="0" fontId="4" fillId="0" borderId="23" xfId="0" applyFont="1" applyBorder="1" applyAlignment="1">
      <alignment readingOrder="1"/>
    </xf>
    <xf numFmtId="0" fontId="1" fillId="0" borderId="3" xfId="0" applyFont="1" applyBorder="1" applyAlignment="1">
      <alignment vertical="center"/>
    </xf>
    <xf numFmtId="9" fontId="0" fillId="0" borderId="3" xfId="0" applyNumberFormat="1" applyBorder="1" applyAlignment="1">
      <alignment vertical="center"/>
    </xf>
    <xf numFmtId="0" fontId="4" fillId="0" borderId="30" xfId="0" applyFont="1" applyBorder="1" applyAlignment="1">
      <alignment readingOrder="1"/>
    </xf>
    <xf numFmtId="0" fontId="0" fillId="0" borderId="8" xfId="0" applyBorder="1"/>
    <xf numFmtId="0" fontId="1" fillId="0" borderId="7" xfId="0" applyFont="1" applyBorder="1" applyAlignment="1">
      <alignment horizontal="center" vertical="center"/>
    </xf>
    <xf numFmtId="0" fontId="1" fillId="0" borderId="8" xfId="0" applyFont="1" applyBorder="1" applyAlignment="1">
      <alignment vertical="center"/>
    </xf>
    <xf numFmtId="0" fontId="0" fillId="0" borderId="31" xfId="0" applyBorder="1"/>
    <xf numFmtId="0" fontId="0" fillId="0" borderId="26" xfId="0" applyBorder="1"/>
    <xf numFmtId="0" fontId="7" fillId="0" borderId="8" xfId="0" applyFont="1" applyBorder="1" applyAlignment="1">
      <alignment horizontal="center" vertical="center"/>
    </xf>
    <xf numFmtId="0" fontId="8" fillId="0" borderId="0" xfId="0" applyFont="1"/>
    <xf numFmtId="0" fontId="6" fillId="0" borderId="0" xfId="1"/>
    <xf numFmtId="0" fontId="9" fillId="0" borderId="8" xfId="0" applyFont="1" applyBorder="1"/>
    <xf numFmtId="0" fontId="8" fillId="0" borderId="8" xfId="0" applyFont="1" applyBorder="1"/>
    <xf numFmtId="0" fontId="8" fillId="0" borderId="6" xfId="0" applyFont="1" applyBorder="1"/>
    <xf numFmtId="0" fontId="8" fillId="0" borderId="0" xfId="0" applyFont="1" applyAlignment="1">
      <alignment horizontal="center" vertical="center"/>
    </xf>
    <xf numFmtId="0" fontId="7" fillId="0" borderId="0" xfId="0" applyFont="1"/>
    <xf numFmtId="1" fontId="7" fillId="0" borderId="0" xfId="0" applyNumberFormat="1" applyFont="1"/>
    <xf numFmtId="0" fontId="13" fillId="0" borderId="0" xfId="0" applyFont="1"/>
    <xf numFmtId="0" fontId="8" fillId="0" borderId="1" xfId="0" applyFont="1" applyBorder="1"/>
    <xf numFmtId="0" fontId="11" fillId="0" borderId="6" xfId="0" applyFont="1" applyBorder="1"/>
    <xf numFmtId="0" fontId="11" fillId="0" borderId="6" xfId="0" applyFont="1" applyBorder="1" applyAlignment="1">
      <alignment wrapText="1"/>
    </xf>
    <xf numFmtId="0" fontId="8" fillId="0" borderId="8" xfId="0" applyFont="1" applyBorder="1" applyAlignment="1">
      <alignment wrapText="1"/>
    </xf>
    <xf numFmtId="0" fontId="4" fillId="0" borderId="8" xfId="0" applyFont="1" applyBorder="1" applyAlignment="1">
      <alignment readingOrder="1"/>
    </xf>
    <xf numFmtId="3" fontId="4" fillId="0" borderId="8" xfId="0" applyNumberFormat="1" applyFont="1" applyBorder="1" applyAlignment="1">
      <alignment readingOrder="1"/>
    </xf>
    <xf numFmtId="0" fontId="4" fillId="0" borderId="0" xfId="0" applyFont="1" applyAlignment="1">
      <alignment readingOrder="1"/>
    </xf>
    <xf numFmtId="0" fontId="5" fillId="0" borderId="0" xfId="0" applyFont="1" applyAlignment="1">
      <alignment readingOrder="1"/>
    </xf>
    <xf numFmtId="0" fontId="4" fillId="0" borderId="0" xfId="0" applyFont="1" applyAlignment="1">
      <alignment wrapText="1" readingOrder="1"/>
    </xf>
    <xf numFmtId="21" fontId="4" fillId="0" borderId="0" xfId="0" applyNumberFormat="1" applyFont="1" applyAlignment="1">
      <alignment readingOrder="1"/>
    </xf>
    <xf numFmtId="0" fontId="14" fillId="0" borderId="0" xfId="0" applyFont="1"/>
    <xf numFmtId="0" fontId="5" fillId="0" borderId="8" xfId="0" applyFont="1" applyBorder="1" applyAlignment="1">
      <alignment readingOrder="1"/>
    </xf>
    <xf numFmtId="0" fontId="7" fillId="0" borderId="8" xfId="0" applyFont="1" applyBorder="1"/>
    <xf numFmtId="17" fontId="7" fillId="0" borderId="8" xfId="0" applyNumberFormat="1" applyFont="1" applyBorder="1"/>
    <xf numFmtId="0" fontId="8" fillId="0" borderId="8" xfId="0" applyFont="1" applyBorder="1" applyAlignment="1">
      <alignment horizontal="center" vertical="center"/>
    </xf>
    <xf numFmtId="3" fontId="8" fillId="0" borderId="8" xfId="0" applyNumberFormat="1" applyFont="1" applyBorder="1"/>
    <xf numFmtId="0" fontId="11" fillId="0" borderId="8" xfId="0" applyFont="1" applyBorder="1"/>
    <xf numFmtId="0" fontId="12" fillId="0" borderId="8" xfId="0" applyFont="1" applyBorder="1"/>
    <xf numFmtId="0" fontId="9" fillId="0" borderId="8" xfId="0" applyFont="1" applyBorder="1" applyAlignment="1">
      <alignment wrapText="1"/>
    </xf>
    <xf numFmtId="0" fontId="8" fillId="3" borderId="8" xfId="0" applyFont="1" applyFill="1" applyBorder="1"/>
    <xf numFmtId="0" fontId="9" fillId="3" borderId="8" xfId="0" applyFont="1" applyFill="1" applyBorder="1"/>
    <xf numFmtId="21" fontId="4" fillId="0" borderId="8" xfId="0" applyNumberFormat="1" applyFont="1" applyBorder="1" applyAlignment="1">
      <alignment readingOrder="1"/>
    </xf>
    <xf numFmtId="0" fontId="3" fillId="0" borderId="8" xfId="0" applyFont="1" applyBorder="1" applyAlignment="1">
      <alignment vertical="center" readingOrder="1"/>
    </xf>
    <xf numFmtId="0" fontId="3" fillId="0" borderId="14" xfId="0" applyFont="1" applyBorder="1" applyAlignment="1">
      <alignment vertical="center" readingOrder="1"/>
    </xf>
    <xf numFmtId="17" fontId="3" fillId="0" borderId="21" xfId="0" applyNumberFormat="1" applyFont="1" applyBorder="1" applyAlignment="1">
      <alignment vertical="center" readingOrder="1"/>
    </xf>
    <xf numFmtId="0" fontId="3" fillId="0" borderId="21" xfId="0" applyFont="1" applyBorder="1" applyAlignment="1">
      <alignment vertical="center" readingOrder="1"/>
    </xf>
    <xf numFmtId="0" fontId="4" fillId="0" borderId="17" xfId="0" applyFont="1" applyBorder="1" applyAlignment="1">
      <alignment vertical="center" readingOrder="1"/>
    </xf>
    <xf numFmtId="0" fontId="4" fillId="0" borderId="21" xfId="0" applyFont="1" applyBorder="1" applyAlignment="1">
      <alignment vertical="center" wrapText="1" readingOrder="1"/>
    </xf>
    <xf numFmtId="0" fontId="4" fillId="0" borderId="21" xfId="0" applyFont="1" applyBorder="1" applyAlignment="1">
      <alignment vertical="center" readingOrder="1"/>
    </xf>
    <xf numFmtId="3" fontId="4" fillId="0" borderId="21" xfId="0" applyNumberFormat="1" applyFont="1" applyBorder="1" applyAlignment="1">
      <alignment vertical="center" readingOrder="1"/>
    </xf>
    <xf numFmtId="21" fontId="4" fillId="0" borderId="21" xfId="0" applyNumberFormat="1" applyFont="1" applyBorder="1" applyAlignment="1">
      <alignment vertical="center" readingOrder="1"/>
    </xf>
    <xf numFmtId="3" fontId="4" fillId="0" borderId="14" xfId="0" applyNumberFormat="1" applyFont="1" applyBorder="1" applyAlignment="1">
      <alignment vertical="center" readingOrder="1"/>
    </xf>
    <xf numFmtId="164" fontId="0" fillId="2" borderId="1" xfId="0" applyNumberFormat="1" applyFill="1" applyBorder="1" applyAlignment="1">
      <alignment vertical="center"/>
    </xf>
    <xf numFmtId="164" fontId="1" fillId="2" borderId="1" xfId="0" applyNumberFormat="1" applyFont="1" applyFill="1" applyBorder="1" applyAlignment="1">
      <alignment vertical="center"/>
    </xf>
    <xf numFmtId="0" fontId="0" fillId="0" borderId="33" xfId="0" applyBorder="1" applyAlignment="1">
      <alignment vertical="center"/>
    </xf>
    <xf numFmtId="0" fontId="0" fillId="0" borderId="26" xfId="0" applyBorder="1" applyAlignment="1">
      <alignment vertical="center"/>
    </xf>
    <xf numFmtId="0" fontId="0" fillId="0" borderId="34" xfId="0" applyBorder="1" applyAlignment="1">
      <alignment vertical="center"/>
    </xf>
    <xf numFmtId="0" fontId="0" fillId="0" borderId="3" xfId="0" applyBorder="1" applyAlignment="1">
      <alignment horizontal="center" vertical="center" wrapText="1"/>
    </xf>
    <xf numFmtId="0" fontId="0" fillId="0" borderId="2" xfId="0" applyBorder="1" applyAlignment="1">
      <alignment vertical="center"/>
    </xf>
    <xf numFmtId="0" fontId="0" fillId="0" borderId="35" xfId="0" applyBorder="1" applyAlignment="1">
      <alignment vertical="center"/>
    </xf>
    <xf numFmtId="0" fontId="0" fillId="0" borderId="31" xfId="0" applyBorder="1" applyAlignment="1">
      <alignment vertical="center"/>
    </xf>
    <xf numFmtId="0" fontId="0" fillId="0" borderId="36" xfId="0" applyBorder="1" applyAlignment="1">
      <alignment vertical="center"/>
    </xf>
    <xf numFmtId="2" fontId="0" fillId="0" borderId="1" xfId="0" applyNumberFormat="1" applyBorder="1" applyAlignment="1">
      <alignment vertical="center"/>
    </xf>
    <xf numFmtId="0" fontId="0" fillId="0" borderId="9" xfId="0" applyBorder="1" applyAlignment="1">
      <alignment horizontal="center" vertical="center"/>
    </xf>
    <xf numFmtId="0" fontId="0" fillId="0" borderId="0" xfId="0" applyAlignment="1">
      <alignment horizontal="center" vertical="center"/>
    </xf>
    <xf numFmtId="0" fontId="0" fillId="0" borderId="10" xfId="0" applyBorder="1" applyAlignment="1">
      <alignment horizontal="center" vertical="center"/>
    </xf>
    <xf numFmtId="0" fontId="0" fillId="0" borderId="2" xfId="0" applyBorder="1" applyAlignment="1">
      <alignment horizontal="center" vertical="center" wrapText="1"/>
    </xf>
    <xf numFmtId="0" fontId="0" fillId="0" borderId="7" xfId="0" applyBorder="1" applyAlignment="1">
      <alignment horizontal="center" vertical="center" wrapText="1"/>
    </xf>
    <xf numFmtId="0" fontId="0" fillId="0" borderId="6" xfId="0" applyBorder="1" applyAlignment="1">
      <alignment horizontal="center" vertical="center" wrapText="1"/>
    </xf>
    <xf numFmtId="0" fontId="0" fillId="0" borderId="2"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center"/>
    </xf>
    <xf numFmtId="0" fontId="1" fillId="0" borderId="8"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wrapText="1"/>
    </xf>
    <xf numFmtId="0" fontId="1" fillId="0" borderId="6" xfId="0" applyFont="1" applyBorder="1" applyAlignment="1">
      <alignment horizontal="center" vertical="center" wrapTex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4" fillId="0" borderId="8" xfId="0" applyFont="1" applyBorder="1" applyAlignment="1">
      <alignment readingOrder="1"/>
    </xf>
    <xf numFmtId="0" fontId="3" fillId="0" borderId="8" xfId="0" applyFont="1" applyBorder="1" applyAlignment="1">
      <alignment readingOrder="1"/>
    </xf>
    <xf numFmtId="0" fontId="4" fillId="0" borderId="8" xfId="0" applyFont="1" applyBorder="1" applyAlignment="1">
      <alignment wrapText="1" readingOrder="1"/>
    </xf>
    <xf numFmtId="0" fontId="5" fillId="0" borderId="8" xfId="0" applyFont="1" applyBorder="1" applyAlignment="1">
      <alignment readingOrder="1"/>
    </xf>
    <xf numFmtId="0" fontId="8" fillId="0" borderId="8" xfId="0" applyFont="1" applyBorder="1" applyAlignment="1">
      <alignment horizontal="center" vertical="center"/>
    </xf>
    <xf numFmtId="0" fontId="8" fillId="0" borderId="4" xfId="0" applyFont="1" applyBorder="1" applyAlignment="1">
      <alignment wrapText="1"/>
    </xf>
    <xf numFmtId="0" fontId="11" fillId="0" borderId="4" xfId="0" applyFont="1" applyBorder="1" applyAlignment="1">
      <alignment wrapText="1"/>
    </xf>
    <xf numFmtId="0" fontId="11" fillId="0" borderId="32" xfId="0" applyFont="1" applyBorder="1" applyAlignment="1">
      <alignment wrapText="1"/>
    </xf>
    <xf numFmtId="0" fontId="8" fillId="0" borderId="8" xfId="0" applyFont="1" applyBorder="1" applyAlignment="1">
      <alignment horizontal="center" wrapText="1"/>
    </xf>
    <xf numFmtId="0" fontId="3" fillId="0" borderId="11" xfId="0" applyFont="1" applyBorder="1" applyAlignment="1">
      <alignment vertical="center" readingOrder="1"/>
    </xf>
    <xf numFmtId="0" fontId="3" fillId="0" borderId="12" xfId="0" applyFont="1" applyBorder="1" applyAlignment="1">
      <alignment vertical="center" readingOrder="1"/>
    </xf>
    <xf numFmtId="0" fontId="3" fillId="0" borderId="13" xfId="0" applyFont="1" applyBorder="1" applyAlignment="1">
      <alignment vertical="center" readingOrder="1"/>
    </xf>
    <xf numFmtId="0" fontId="4" fillId="0" borderId="18" xfId="0" applyFont="1" applyBorder="1" applyAlignment="1">
      <alignment vertical="center" readingOrder="1"/>
    </xf>
    <xf numFmtId="0" fontId="4" fillId="0" borderId="19" xfId="0" applyFont="1" applyBorder="1" applyAlignment="1">
      <alignment vertical="center" readingOrder="1"/>
    </xf>
    <xf numFmtId="0" fontId="4" fillId="0" borderId="20" xfId="0" applyFont="1" applyBorder="1" applyAlignment="1">
      <alignment vertical="center" readingOrder="1"/>
    </xf>
    <xf numFmtId="0" fontId="4" fillId="0" borderId="24" xfId="0" applyFont="1" applyBorder="1" applyAlignment="1">
      <alignment vertical="center" readingOrder="1"/>
    </xf>
    <xf numFmtId="0" fontId="4" fillId="0" borderId="25" xfId="0" applyFont="1" applyBorder="1" applyAlignment="1">
      <alignment vertical="center" readingOrder="1"/>
    </xf>
    <xf numFmtId="0" fontId="4" fillId="0" borderId="26" xfId="0" applyFont="1" applyBorder="1" applyAlignment="1">
      <alignment vertical="center" readingOrder="1"/>
    </xf>
    <xf numFmtId="0" fontId="4" fillId="0" borderId="27" xfId="0" applyFont="1" applyBorder="1" applyAlignment="1">
      <alignment vertical="center" wrapText="1" readingOrder="1"/>
    </xf>
    <xf numFmtId="0" fontId="4" fillId="0" borderId="28" xfId="0" applyFont="1" applyBorder="1" applyAlignment="1">
      <alignment vertical="center" wrapText="1" readingOrder="1"/>
    </xf>
    <xf numFmtId="0" fontId="4" fillId="0" borderId="29" xfId="0" applyFont="1" applyBorder="1" applyAlignment="1">
      <alignment vertical="center" wrapText="1" readingOrder="1"/>
    </xf>
    <xf numFmtId="0" fontId="5" fillId="0" borderId="27" xfId="0" applyFont="1" applyBorder="1" applyAlignment="1">
      <alignment vertical="center" wrapText="1" readingOrder="1"/>
    </xf>
    <xf numFmtId="0" fontId="5" fillId="0" borderId="28" xfId="0" applyFont="1" applyBorder="1" applyAlignment="1">
      <alignment vertical="center" wrapText="1" readingOrder="1"/>
    </xf>
    <xf numFmtId="0" fontId="5" fillId="0" borderId="29" xfId="0" applyFont="1" applyBorder="1" applyAlignment="1">
      <alignment vertical="center" wrapText="1" readingOrder="1"/>
    </xf>
    <xf numFmtId="0" fontId="5" fillId="0" borderId="18" xfId="0" applyFont="1" applyBorder="1" applyAlignment="1">
      <alignment vertical="center" readingOrder="1"/>
    </xf>
    <xf numFmtId="0" fontId="5" fillId="0" borderId="20" xfId="0" applyFont="1" applyBorder="1" applyAlignment="1">
      <alignment vertical="center" readingOrder="1"/>
    </xf>
    <xf numFmtId="0" fontId="5" fillId="0" borderId="31" xfId="0" applyFont="1" applyBorder="1" applyAlignment="1">
      <alignment horizontal="center" vertical="center" readingOrder="1"/>
    </xf>
    <xf numFmtId="0" fontId="5" fillId="0" borderId="26" xfId="0" applyFont="1" applyBorder="1" applyAlignment="1">
      <alignment horizontal="center" vertical="center" readingOrder="1"/>
    </xf>
    <xf numFmtId="0" fontId="7" fillId="0" borderId="8" xfId="0" applyFont="1" applyBorder="1" applyAlignment="1"/>
    <xf numFmtId="0" fontId="9" fillId="0" borderId="8" xfId="0" applyFont="1" applyBorder="1" applyAlignment="1"/>
    <xf numFmtId="0" fontId="10" fillId="0" borderId="8" xfId="0" applyFont="1" applyBorder="1" applyAlignment="1"/>
    <xf numFmtId="0" fontId="8" fillId="0" borderId="4" xfId="0" applyFont="1" applyBorder="1" applyAlignment="1"/>
    <xf numFmtId="0" fontId="8" fillId="0" borderId="5" xfId="0" applyFont="1" applyBorder="1" applyAlignment="1"/>
    <xf numFmtId="0" fontId="11" fillId="0" borderId="4" xfId="0" applyFont="1" applyBorder="1" applyAlignment="1"/>
    <xf numFmtId="0" fontId="11" fillId="0" borderId="5"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AB84A-A9EF-450B-B52A-B9A87327379A}">
  <dimension ref="A2:Y33"/>
  <sheetViews>
    <sheetView showGridLines="0" tabSelected="1" topLeftCell="F1" zoomScale="70" zoomScaleNormal="70" workbookViewId="0">
      <selection activeCell="N9" sqref="N9:X12"/>
    </sheetView>
  </sheetViews>
  <sheetFormatPr defaultColWidth="8.75" defaultRowHeight="16.5"/>
  <cols>
    <col min="1" max="1" width="5.25" style="4" customWidth="1"/>
    <col min="2" max="2" width="5" customWidth="1"/>
    <col min="3" max="3" width="27.25" customWidth="1"/>
    <col min="4" max="4" width="14.75" customWidth="1"/>
    <col min="5" max="5" width="22.375" style="8" customWidth="1"/>
    <col min="6" max="6" width="9.625" bestFit="1" customWidth="1"/>
    <col min="18" max="18" width="10.875" customWidth="1"/>
  </cols>
  <sheetData>
    <row r="2" spans="1:25">
      <c r="A2" s="1" t="s">
        <v>0</v>
      </c>
    </row>
    <row r="3" spans="1:25">
      <c r="A3" s="2" t="s">
        <v>1</v>
      </c>
    </row>
    <row r="4" spans="1:25" ht="20.25">
      <c r="A4" s="3" t="s">
        <v>2</v>
      </c>
    </row>
    <row r="5" spans="1:25">
      <c r="B5" s="5"/>
      <c r="D5" s="4"/>
      <c r="E5" s="9"/>
    </row>
    <row r="6" spans="1:25" s="5" customFormat="1">
      <c r="A6" s="109" t="s">
        <v>3</v>
      </c>
      <c r="B6" s="109" t="s">
        <v>4</v>
      </c>
      <c r="C6" s="109"/>
      <c r="D6" s="109" t="s">
        <v>5</v>
      </c>
      <c r="E6" s="110" t="s">
        <v>6</v>
      </c>
      <c r="F6" s="112">
        <v>2025</v>
      </c>
      <c r="G6" s="113"/>
      <c r="H6" s="113"/>
      <c r="I6" s="113"/>
      <c r="J6" s="113"/>
      <c r="K6" s="113"/>
      <c r="L6" s="113"/>
      <c r="M6" s="113"/>
      <c r="N6" s="113"/>
      <c r="O6" s="113"/>
      <c r="P6" s="113"/>
      <c r="Q6" s="113"/>
      <c r="R6" s="113"/>
      <c r="S6" s="108">
        <v>2026</v>
      </c>
      <c r="T6" s="108"/>
      <c r="U6" s="108"/>
      <c r="V6" s="108"/>
      <c r="W6" s="108"/>
      <c r="X6" s="108"/>
    </row>
    <row r="7" spans="1:25" s="5" customFormat="1">
      <c r="A7" s="109"/>
      <c r="B7" s="109"/>
      <c r="C7" s="109"/>
      <c r="D7" s="109"/>
      <c r="E7" s="111"/>
      <c r="F7" s="6" t="s">
        <v>7</v>
      </c>
      <c r="G7" s="6" t="s">
        <v>8</v>
      </c>
      <c r="H7" s="6" t="s">
        <v>9</v>
      </c>
      <c r="I7" s="6" t="s">
        <v>10</v>
      </c>
      <c r="J7" s="7" t="s">
        <v>11</v>
      </c>
      <c r="K7" s="6" t="s">
        <v>12</v>
      </c>
      <c r="L7" s="6" t="s">
        <v>13</v>
      </c>
      <c r="M7" s="6" t="s">
        <v>14</v>
      </c>
      <c r="N7" s="6" t="s">
        <v>15</v>
      </c>
      <c r="O7" s="6" t="s">
        <v>16</v>
      </c>
      <c r="P7" s="6" t="s">
        <v>17</v>
      </c>
      <c r="Q7" s="6" t="s">
        <v>18</v>
      </c>
      <c r="R7" s="6" t="s">
        <v>19</v>
      </c>
      <c r="S7" s="32" t="s">
        <v>7</v>
      </c>
      <c r="T7" s="32" t="s">
        <v>8</v>
      </c>
      <c r="U7" s="32" t="s">
        <v>9</v>
      </c>
      <c r="V7" s="42" t="s">
        <v>10</v>
      </c>
      <c r="W7" s="42" t="s">
        <v>11</v>
      </c>
      <c r="X7" s="42" t="s">
        <v>20</v>
      </c>
    </row>
    <row r="8" spans="1:25">
      <c r="A8" s="10">
        <v>1</v>
      </c>
      <c r="B8" s="11" t="s">
        <v>21</v>
      </c>
      <c r="C8" s="12"/>
      <c r="D8" s="12"/>
      <c r="E8" s="13"/>
      <c r="F8" s="12"/>
      <c r="G8" s="12"/>
      <c r="H8" s="12"/>
      <c r="I8" s="14"/>
      <c r="J8" s="15"/>
      <c r="K8" s="16"/>
      <c r="L8" s="12"/>
      <c r="M8" s="12"/>
      <c r="N8" s="12"/>
      <c r="O8" s="12"/>
      <c r="P8" s="12"/>
      <c r="Q8" s="12"/>
      <c r="R8" s="12"/>
      <c r="S8" s="12"/>
      <c r="T8" s="12"/>
      <c r="U8" s="14"/>
      <c r="V8" s="41"/>
      <c r="W8" s="41"/>
      <c r="X8" s="41"/>
    </row>
    <row r="9" spans="1:25">
      <c r="A9" s="17"/>
      <c r="B9" s="18" t="s">
        <v>22</v>
      </c>
      <c r="C9" s="12" t="s">
        <v>23</v>
      </c>
      <c r="D9" s="19" t="s">
        <v>24</v>
      </c>
      <c r="E9" s="20"/>
      <c r="F9" s="99"/>
      <c r="G9" s="100"/>
      <c r="H9" s="100"/>
      <c r="I9" s="100"/>
      <c r="J9" s="100"/>
      <c r="K9" s="100"/>
      <c r="L9" s="100"/>
      <c r="M9" s="101"/>
      <c r="N9" s="12">
        <v>4.2300000000000004</v>
      </c>
      <c r="O9" s="12">
        <v>4.57</v>
      </c>
      <c r="P9" s="12">
        <v>4.66</v>
      </c>
      <c r="Q9" s="12">
        <v>4.59</v>
      </c>
      <c r="R9" s="98">
        <f>AVERAGE(N9:Q9)</f>
        <v>4.5125000000000002</v>
      </c>
      <c r="S9" s="12">
        <f>AVERAGE('IDM - TWC Borobudur'!S9,'IDM - TWC Prambanan'!S9)</f>
        <v>4.71</v>
      </c>
      <c r="T9" s="12">
        <f>AVERAGE('IDM - TWC Borobudur'!T9,'IDM - TWC Prambanan'!T9)</f>
        <v>4.71</v>
      </c>
      <c r="U9" s="12">
        <f>AVERAGE('IDM - TWC Borobudur'!U9,'IDM - TWC Prambanan'!U9)</f>
        <v>3.1749999999999998</v>
      </c>
      <c r="V9" s="12">
        <f>AVERAGE('IDM - TWC Borobudur'!V9,'IDM - TWC Prambanan'!V9)</f>
        <v>3.84</v>
      </c>
      <c r="W9" s="12">
        <f>AVERAGE('IDM - TWC Borobudur'!W9,'IDM - TWC Prambanan'!W9)</f>
        <v>4.18</v>
      </c>
      <c r="X9" s="12">
        <f>AVERAGE('IDM - TWC Borobudur'!X9,'IDM - TWC Prambanan'!X9)</f>
        <v>4.3699999999999992</v>
      </c>
    </row>
    <row r="10" spans="1:25">
      <c r="A10" s="17"/>
      <c r="B10" s="18" t="s">
        <v>25</v>
      </c>
      <c r="C10" s="12" t="s">
        <v>26</v>
      </c>
      <c r="D10" s="19" t="s">
        <v>24</v>
      </c>
      <c r="E10" s="20"/>
      <c r="F10" s="99"/>
      <c r="G10" s="100"/>
      <c r="H10" s="100"/>
      <c r="I10" s="100"/>
      <c r="J10" s="100"/>
      <c r="K10" s="100"/>
      <c r="L10" s="100"/>
      <c r="M10" s="101"/>
      <c r="N10" s="12">
        <v>4.51</v>
      </c>
      <c r="O10" s="12">
        <v>4.6900000000000004</v>
      </c>
      <c r="P10" s="12">
        <v>4.75</v>
      </c>
      <c r="Q10" s="12">
        <v>4.6900000000000004</v>
      </c>
      <c r="R10" s="98">
        <f>AVERAGE(N10:Q10)</f>
        <v>4.66</v>
      </c>
      <c r="S10" s="12">
        <f>AVERAGE('IDM - TWC Borobudur'!S10,'IDM - TWC Prambanan'!S10)</f>
        <v>4.8099999999999996</v>
      </c>
      <c r="T10" s="12">
        <f>AVERAGE('IDM - TWC Borobudur'!T10,'IDM - TWC Prambanan'!T10)</f>
        <v>4.7699999999999996</v>
      </c>
      <c r="U10" s="12">
        <f>AVERAGE('IDM - TWC Borobudur'!U10,'IDM - TWC Prambanan'!U10)</f>
        <v>3.65</v>
      </c>
      <c r="V10" s="12">
        <f>AVERAGE('IDM - TWC Borobudur'!V10,'IDM - TWC Prambanan'!V10)</f>
        <v>4.0250000000000004</v>
      </c>
      <c r="W10" s="12">
        <f>AVERAGE('IDM - TWC Borobudur'!W10,'IDM - TWC Prambanan'!W10)</f>
        <v>4.25</v>
      </c>
      <c r="X10" s="12">
        <f>AVERAGE('IDM - TWC Borobudur'!X10,'IDM - TWC Prambanan'!X10)</f>
        <v>4.4800000000000004</v>
      </c>
    </row>
    <row r="11" spans="1:25">
      <c r="A11" s="17"/>
      <c r="B11" s="18" t="s">
        <v>27</v>
      </c>
      <c r="C11" s="12" t="s">
        <v>28</v>
      </c>
      <c r="D11" s="19" t="s">
        <v>24</v>
      </c>
      <c r="E11" s="20"/>
      <c r="F11" s="99"/>
      <c r="G11" s="100"/>
      <c r="H11" s="100"/>
      <c r="I11" s="100"/>
      <c r="J11" s="100"/>
      <c r="K11" s="100"/>
      <c r="L11" s="100"/>
      <c r="M11" s="101"/>
      <c r="N11" s="12">
        <v>4.17</v>
      </c>
      <c r="O11" s="12">
        <v>4.59</v>
      </c>
      <c r="P11" s="12">
        <v>4.68</v>
      </c>
      <c r="Q11" s="12">
        <v>4.5999999999999996</v>
      </c>
      <c r="R11" s="98">
        <f>AVERAGE(N11:Q11)</f>
        <v>4.51</v>
      </c>
      <c r="S11" s="12">
        <f>AVERAGE('IDM - TWC Borobudur'!S11,'IDM - TWC Prambanan'!S11)</f>
        <v>4.7300000000000004</v>
      </c>
      <c r="T11" s="12">
        <f>AVERAGE('IDM - TWC Borobudur'!T11,'IDM - TWC Prambanan'!T11)</f>
        <v>4.7</v>
      </c>
      <c r="U11" s="12">
        <f>AVERAGE('IDM - TWC Borobudur'!U11,'IDM - TWC Prambanan'!U11)</f>
        <v>3.5249999999999999</v>
      </c>
      <c r="V11" s="12">
        <f>AVERAGE('IDM - TWC Borobudur'!V11,'IDM - TWC Prambanan'!V11)</f>
        <v>3.55</v>
      </c>
      <c r="W11" s="12">
        <f>AVERAGE('IDM - TWC Borobudur'!W11,'IDM - TWC Prambanan'!W11)</f>
        <v>4.25</v>
      </c>
      <c r="X11" s="12">
        <f>AVERAGE('IDM - TWC Borobudur'!X11,'IDM - TWC Prambanan'!X11)</f>
        <v>4.3499999999999996</v>
      </c>
    </row>
    <row r="12" spans="1:25">
      <c r="A12" s="21"/>
      <c r="B12" s="18" t="s">
        <v>29</v>
      </c>
      <c r="C12" s="12" t="s">
        <v>30</v>
      </c>
      <c r="D12" s="19" t="s">
        <v>24</v>
      </c>
      <c r="E12" s="20"/>
      <c r="F12" s="99"/>
      <c r="G12" s="100"/>
      <c r="H12" s="100"/>
      <c r="I12" s="100"/>
      <c r="J12" s="100"/>
      <c r="K12" s="100"/>
      <c r="L12" s="100"/>
      <c r="M12" s="101"/>
      <c r="N12" s="12">
        <v>4.46</v>
      </c>
      <c r="O12" s="12">
        <v>4.7</v>
      </c>
      <c r="P12" s="12">
        <v>4.7300000000000004</v>
      </c>
      <c r="Q12" s="12">
        <v>4.58</v>
      </c>
      <c r="R12" s="98">
        <f>AVERAGE(N12:Q12)</f>
        <v>4.6174999999999997</v>
      </c>
      <c r="S12" s="12">
        <f>AVERAGE('IDM - TWC Borobudur'!S12,'IDM - TWC Prambanan'!S12)</f>
        <v>4.72</v>
      </c>
      <c r="T12" s="12">
        <f>AVERAGE('IDM - TWC Borobudur'!T12,'IDM - TWC Prambanan'!T12)</f>
        <v>4.6500000000000004</v>
      </c>
      <c r="U12" s="12">
        <f>AVERAGE('IDM - TWC Borobudur'!U12,'IDM - TWC Prambanan'!U12)</f>
        <v>3.7</v>
      </c>
      <c r="V12" s="12">
        <f>AVERAGE('IDM - TWC Borobudur'!V12,'IDM - TWC Prambanan'!V12)</f>
        <v>3.66</v>
      </c>
      <c r="W12" s="12">
        <f>AVERAGE('IDM - TWC Borobudur'!W12,'IDM - TWC Prambanan'!W12)</f>
        <v>3.9000000000000004</v>
      </c>
      <c r="X12" s="12">
        <f>AVERAGE('IDM - TWC Borobudur'!X12,'IDM - TWC Prambanan'!X12)</f>
        <v>4.2</v>
      </c>
    </row>
    <row r="13" spans="1:25">
      <c r="A13" s="10">
        <v>2</v>
      </c>
      <c r="B13" s="11" t="s">
        <v>31</v>
      </c>
      <c r="C13" s="12"/>
      <c r="D13" s="19"/>
      <c r="E13" s="20"/>
      <c r="F13" s="12"/>
      <c r="G13" s="12"/>
      <c r="H13" s="12"/>
      <c r="I13" s="14"/>
      <c r="J13" s="15"/>
      <c r="K13" s="16"/>
      <c r="L13" s="12"/>
      <c r="M13" s="12"/>
      <c r="N13" s="12"/>
      <c r="O13" s="12"/>
      <c r="P13" s="12"/>
      <c r="Q13" s="12"/>
      <c r="R13" s="12"/>
      <c r="S13" s="12"/>
      <c r="T13" s="12"/>
      <c r="U13" s="14"/>
      <c r="V13" s="41"/>
      <c r="W13" s="41"/>
      <c r="X13" s="41"/>
    </row>
    <row r="14" spans="1:25">
      <c r="A14" s="17"/>
      <c r="B14" s="18" t="s">
        <v>22</v>
      </c>
      <c r="C14" s="12" t="s">
        <v>32</v>
      </c>
      <c r="D14" s="19" t="s">
        <v>33</v>
      </c>
      <c r="E14" s="20"/>
      <c r="F14" s="12">
        <f>'IDM - TWC Borobudur'!F14+'IDM - TWC Prambanan'!F14</f>
        <v>38</v>
      </c>
      <c r="G14" s="12">
        <f>'IDM - TWC Borobudur'!G14+'IDM - TWC Prambanan'!G14</f>
        <v>28</v>
      </c>
      <c r="H14" s="12">
        <f>'IDM - TWC Borobudur'!H14+'IDM - TWC Prambanan'!H14</f>
        <v>10</v>
      </c>
      <c r="I14" s="12">
        <f>'IDM - TWC Borobudur'!I14+'IDM - TWC Prambanan'!I14</f>
        <v>71</v>
      </c>
      <c r="J14" s="12">
        <f>'IDM - TWC Borobudur'!J14+'IDM - TWC Prambanan'!J14</f>
        <v>60</v>
      </c>
      <c r="K14" s="12">
        <f>'IDM - TWC Borobudur'!K14+'IDM - TWC Prambanan'!K14</f>
        <v>93</v>
      </c>
      <c r="L14" s="12">
        <f>'IDM - TWC Borobudur'!L14+'IDM - TWC Prambanan'!L14</f>
        <v>3</v>
      </c>
      <c r="M14" s="12">
        <f>'IDM - TWC Borobudur'!M14+'IDM - TWC Prambanan'!M14</f>
        <v>43</v>
      </c>
      <c r="N14" s="12">
        <f>'IDM - TWC Borobudur'!N14+'IDM - TWC Prambanan'!N14</f>
        <v>7</v>
      </c>
      <c r="O14" s="12">
        <f>'IDM - TWC Borobudur'!O14+'IDM - TWC Prambanan'!O14</f>
        <v>59</v>
      </c>
      <c r="P14" s="12">
        <f>'IDM - TWC Borobudur'!P14+'IDM - TWC Prambanan'!P14</f>
        <v>77</v>
      </c>
      <c r="Q14" s="12">
        <f>'IDM - TWC Borobudur'!Q14+'IDM - TWC Prambanan'!Q14</f>
        <v>51</v>
      </c>
      <c r="R14" s="12">
        <f>SUM(F14:Q14)</f>
        <v>540</v>
      </c>
      <c r="S14" s="12">
        <f>'IDM - TWC Borobudur'!S14+'IDM - TWC Prambanan'!S14</f>
        <v>127</v>
      </c>
      <c r="T14" s="12">
        <f>'IDM - TWC Borobudur'!T14+'IDM - TWC Prambanan'!T14</f>
        <v>95</v>
      </c>
      <c r="U14" s="12">
        <f>'IDM - TWC Borobudur'!U14+'IDM - TWC Prambanan'!U14</f>
        <v>121</v>
      </c>
      <c r="V14" s="12">
        <f>'IDM - TWC Borobudur'!V14+'IDM - TWC Prambanan'!V14</f>
        <v>91</v>
      </c>
      <c r="W14" s="12">
        <f>'IDM - TWC Borobudur'!W14+'IDM - TWC Prambanan'!W14</f>
        <v>101</v>
      </c>
      <c r="X14" s="12">
        <f>'IDM - TWC Borobudur'!X14+'IDM - TWC Prambanan'!X14</f>
        <v>84</v>
      </c>
    </row>
    <row r="15" spans="1:25">
      <c r="A15" s="17"/>
      <c r="B15" s="18" t="s">
        <v>25</v>
      </c>
      <c r="C15" s="12" t="s">
        <v>34</v>
      </c>
      <c r="D15" s="19" t="s">
        <v>35</v>
      </c>
      <c r="E15" s="20"/>
      <c r="F15" s="12"/>
      <c r="G15" s="12"/>
      <c r="H15" s="12"/>
      <c r="I15" s="12"/>
      <c r="J15" s="12"/>
      <c r="K15" s="12"/>
      <c r="L15" s="12"/>
      <c r="M15" s="12"/>
      <c r="N15" s="12"/>
      <c r="O15" s="12"/>
      <c r="P15" s="12"/>
      <c r="Q15" s="12"/>
      <c r="R15" s="12"/>
      <c r="S15" s="12"/>
      <c r="T15" s="12"/>
      <c r="U15" s="14"/>
      <c r="V15" s="41"/>
      <c r="W15" s="41"/>
      <c r="X15" s="41"/>
      <c r="Y15" t="s">
        <v>36</v>
      </c>
    </row>
    <row r="16" spans="1:25">
      <c r="A16" s="21"/>
      <c r="B16" s="18" t="s">
        <v>27</v>
      </c>
      <c r="C16" s="12" t="s">
        <v>37</v>
      </c>
      <c r="D16" s="19" t="s">
        <v>35</v>
      </c>
      <c r="E16" s="20"/>
      <c r="F16" s="12"/>
      <c r="G16" s="12"/>
      <c r="H16" s="12"/>
      <c r="I16" s="12"/>
      <c r="J16" s="12"/>
      <c r="K16" s="12"/>
      <c r="L16" s="12"/>
      <c r="M16" s="12"/>
      <c r="N16" s="12"/>
      <c r="O16" s="12"/>
      <c r="P16" s="12"/>
      <c r="Q16" s="12"/>
      <c r="R16" s="12"/>
      <c r="S16" s="12"/>
      <c r="T16" s="12"/>
      <c r="U16" s="14"/>
      <c r="V16" s="41"/>
      <c r="W16" s="41"/>
      <c r="X16" s="41"/>
    </row>
    <row r="17" spans="1:25">
      <c r="A17" s="10">
        <v>3</v>
      </c>
      <c r="B17" s="11" t="s">
        <v>38</v>
      </c>
      <c r="C17" s="12"/>
      <c r="D17" s="12"/>
      <c r="E17" s="13"/>
      <c r="F17" s="12"/>
      <c r="G17" s="12"/>
      <c r="H17" s="12"/>
      <c r="I17" s="12"/>
      <c r="J17" s="12"/>
      <c r="K17" s="12"/>
      <c r="L17" s="12"/>
      <c r="M17" s="12"/>
      <c r="N17" s="12"/>
      <c r="O17" s="12"/>
      <c r="P17" s="12"/>
      <c r="Q17" s="12"/>
      <c r="R17" s="12"/>
      <c r="S17" s="12"/>
      <c r="T17" s="12"/>
      <c r="U17" s="14"/>
      <c r="V17" s="41"/>
      <c r="W17" s="41"/>
      <c r="X17" s="41"/>
    </row>
    <row r="18" spans="1:25">
      <c r="A18" s="17"/>
      <c r="B18" s="18" t="s">
        <v>22</v>
      </c>
      <c r="C18" s="12" t="s">
        <v>39</v>
      </c>
      <c r="D18" s="19" t="s">
        <v>33</v>
      </c>
      <c r="E18" s="20"/>
      <c r="F18" s="29">
        <v>75300</v>
      </c>
      <c r="G18" s="29">
        <v>25100</v>
      </c>
      <c r="H18" s="29">
        <v>64700</v>
      </c>
      <c r="I18" s="29">
        <v>319500</v>
      </c>
      <c r="J18" s="29">
        <v>94300</v>
      </c>
      <c r="K18" s="29">
        <v>31500</v>
      </c>
      <c r="L18" s="29">
        <v>20100</v>
      </c>
      <c r="M18" s="29">
        <v>5200</v>
      </c>
      <c r="N18" s="29">
        <v>18400</v>
      </c>
      <c r="O18" s="29">
        <v>17700</v>
      </c>
      <c r="P18" s="29">
        <v>18200</v>
      </c>
      <c r="Q18" s="29">
        <v>75300</v>
      </c>
      <c r="R18" s="29">
        <f>SUM(F18:Q18)</f>
        <v>765300</v>
      </c>
      <c r="S18" s="29">
        <v>12500</v>
      </c>
      <c r="T18" s="29">
        <v>19900</v>
      </c>
      <c r="U18" s="29">
        <v>22200</v>
      </c>
      <c r="V18" s="29">
        <v>20400</v>
      </c>
      <c r="W18" s="29">
        <v>183400</v>
      </c>
      <c r="X18" s="29">
        <v>122100</v>
      </c>
      <c r="Y18" t="s">
        <v>40</v>
      </c>
    </row>
    <row r="19" spans="1:25">
      <c r="A19" s="17"/>
      <c r="B19" s="18" t="s">
        <v>25</v>
      </c>
      <c r="C19" s="12" t="s">
        <v>41</v>
      </c>
      <c r="D19" s="19" t="s">
        <v>35</v>
      </c>
      <c r="E19" s="20"/>
      <c r="F19" s="23">
        <v>9.3200000000000005E-2</v>
      </c>
      <c r="G19" s="23">
        <v>0.19950000000000001</v>
      </c>
      <c r="H19" s="23">
        <v>8.9200000000000002E-2</v>
      </c>
      <c r="I19" s="23">
        <v>9.2999999999999999E-2</v>
      </c>
      <c r="J19" s="23">
        <v>9.0200000000000002E-2</v>
      </c>
      <c r="K19" s="23">
        <v>8.2000000000000007E-3</v>
      </c>
      <c r="L19" s="23">
        <v>4.1700000000000001E-2</v>
      </c>
      <c r="M19" s="23">
        <v>7.2099999999999997E-2</v>
      </c>
      <c r="N19" s="23">
        <v>0.1852</v>
      </c>
      <c r="O19" s="23">
        <v>6.9000000000000006E-2</v>
      </c>
      <c r="P19" s="23">
        <v>0.1134</v>
      </c>
      <c r="Q19" s="23">
        <v>4.9399999999999999E-2</v>
      </c>
      <c r="R19" s="23">
        <f>SUM(F19:Q19)</f>
        <v>1.1040999999999999</v>
      </c>
      <c r="S19" s="23">
        <v>0.12570000000000001</v>
      </c>
      <c r="T19" s="23">
        <v>0.12709999999999999</v>
      </c>
      <c r="U19" s="23">
        <v>0.1115</v>
      </c>
      <c r="V19" s="23">
        <v>8.09E-2</v>
      </c>
      <c r="W19" s="23">
        <v>8.5099999999999995E-2</v>
      </c>
      <c r="X19" s="23">
        <v>0.18410000000000001</v>
      </c>
      <c r="Y19" t="s">
        <v>42</v>
      </c>
    </row>
    <row r="20" spans="1:25">
      <c r="A20" s="17"/>
      <c r="B20" s="18" t="s">
        <v>27</v>
      </c>
      <c r="C20" s="12" t="s">
        <v>43</v>
      </c>
      <c r="D20" s="19" t="s">
        <v>44</v>
      </c>
      <c r="E20" s="20"/>
      <c r="F20" s="12"/>
      <c r="G20" s="12"/>
      <c r="H20" s="12"/>
      <c r="I20" s="12"/>
      <c r="J20" s="12"/>
      <c r="K20" s="12"/>
      <c r="L20" s="12"/>
      <c r="M20" s="12"/>
      <c r="N20" s="12"/>
      <c r="O20" s="12"/>
      <c r="P20" s="12"/>
      <c r="Q20" s="12"/>
      <c r="R20" s="12"/>
      <c r="S20" s="12"/>
      <c r="T20" s="12"/>
      <c r="U20" s="14"/>
      <c r="V20" s="41"/>
      <c r="W20" s="41"/>
      <c r="X20" s="41"/>
    </row>
    <row r="21" spans="1:25">
      <c r="A21" s="21"/>
      <c r="B21" s="18" t="s">
        <v>29</v>
      </c>
      <c r="C21" s="12" t="s">
        <v>45</v>
      </c>
      <c r="D21" s="19" t="s">
        <v>46</v>
      </c>
      <c r="E21" s="13"/>
      <c r="F21" s="12">
        <v>0.26</v>
      </c>
      <c r="G21" s="12">
        <v>0.06</v>
      </c>
      <c r="H21" s="12">
        <v>0.43</v>
      </c>
      <c r="I21" s="12">
        <v>0.1</v>
      </c>
      <c r="J21" s="12">
        <v>0.11</v>
      </c>
      <c r="K21" s="12">
        <v>0.25</v>
      </c>
      <c r="L21" s="12">
        <v>0.11</v>
      </c>
      <c r="M21" s="12">
        <v>0.46</v>
      </c>
      <c r="N21" s="12">
        <v>0.1</v>
      </c>
      <c r="O21" s="12">
        <v>0.21</v>
      </c>
      <c r="P21" s="12">
        <v>0.24</v>
      </c>
      <c r="Q21" s="12">
        <v>0.16</v>
      </c>
      <c r="R21" s="12">
        <f>SUM(F21:Q21)</f>
        <v>2.4900000000000002</v>
      </c>
      <c r="S21" s="12">
        <v>0.12</v>
      </c>
      <c r="T21" s="12">
        <v>0.06</v>
      </c>
      <c r="U21" s="14">
        <v>0.08</v>
      </c>
      <c r="V21" s="41">
        <v>0.11</v>
      </c>
      <c r="W21" s="41">
        <v>0.09</v>
      </c>
      <c r="X21" s="41">
        <v>0.05</v>
      </c>
    </row>
    <row r="22" spans="1:25">
      <c r="A22" s="10">
        <v>4</v>
      </c>
      <c r="B22" s="11" t="s">
        <v>47</v>
      </c>
      <c r="C22" s="12"/>
      <c r="D22" s="12"/>
      <c r="E22" s="13"/>
      <c r="F22" s="12"/>
      <c r="G22" s="12"/>
      <c r="H22" s="12"/>
      <c r="I22" s="12"/>
      <c r="J22" s="12"/>
      <c r="K22" s="12"/>
      <c r="L22" s="12"/>
      <c r="M22" s="12"/>
      <c r="N22" s="12"/>
      <c r="O22" s="12"/>
      <c r="P22" s="12"/>
      <c r="Q22" s="12"/>
      <c r="R22" s="12"/>
      <c r="S22" s="12"/>
      <c r="T22" s="12"/>
      <c r="U22" s="14"/>
      <c r="V22" s="41"/>
      <c r="W22" s="41"/>
      <c r="X22" s="44"/>
    </row>
    <row r="23" spans="1:25">
      <c r="A23" s="17"/>
      <c r="B23" s="105" t="s">
        <v>22</v>
      </c>
      <c r="C23" s="105" t="s">
        <v>48</v>
      </c>
      <c r="D23" s="102" t="s">
        <v>33</v>
      </c>
      <c r="E23" s="20" t="s">
        <v>49</v>
      </c>
      <c r="F23" s="12">
        <f>SUM('IDM - TWC Borobudur'!F23,'IDM - TWC Prambanan'!F23)</f>
        <v>86</v>
      </c>
      <c r="G23" s="12">
        <f>SUM('IDM - TWC Borobudur'!G23,'IDM - TWC Prambanan'!G23)</f>
        <v>49</v>
      </c>
      <c r="H23" s="12">
        <f>SUM('IDM - TWC Borobudur'!H23,'IDM - TWC Prambanan'!H23)</f>
        <v>31</v>
      </c>
      <c r="I23" s="12">
        <f>SUM('IDM - TWC Borobudur'!I23,'IDM - TWC Prambanan'!I23)</f>
        <v>119</v>
      </c>
      <c r="J23" s="12">
        <f>SUM('IDM - TWC Borobudur'!J23,'IDM - TWC Prambanan'!J23)</f>
        <v>66</v>
      </c>
      <c r="K23" s="12">
        <f>SUM('IDM - TWC Borobudur'!K23,'IDM - TWC Prambanan'!K23)</f>
        <v>43</v>
      </c>
      <c r="L23" s="12">
        <f>SUM('IDM - TWC Borobudur'!L23,'IDM - TWC Prambanan'!L23)</f>
        <v>101</v>
      </c>
      <c r="M23" s="12">
        <f>SUM('IDM - TWC Borobudur'!M23,'IDM - TWC Prambanan'!M23)</f>
        <v>50</v>
      </c>
      <c r="N23" s="12">
        <f>SUM('IDM - TWC Borobudur'!N23,'IDM - TWC Prambanan'!N23)</f>
        <v>33</v>
      </c>
      <c r="O23" s="12">
        <f>SUM('IDM - TWC Borobudur'!O23,'IDM - TWC Prambanan'!O23)</f>
        <v>33</v>
      </c>
      <c r="P23" s="12">
        <f>SUM('IDM - TWC Borobudur'!P23,'IDM - TWC Prambanan'!P23)</f>
        <v>22</v>
      </c>
      <c r="Q23" s="12">
        <f>SUM('IDM - TWC Borobudur'!Q23,'IDM - TWC Prambanan'!Q23)</f>
        <v>40</v>
      </c>
      <c r="R23" s="12">
        <f>SUM(F23:Q23)</f>
        <v>673</v>
      </c>
      <c r="S23" s="12">
        <f>SUM('IDM - TWC Borobudur'!S23,'IDM - TWC Prambanan'!S23)</f>
        <v>27</v>
      </c>
      <c r="T23" s="12">
        <f>SUM('IDM - TWC Borobudur'!T23,'IDM - TWC Prambanan'!T23)</f>
        <v>29</v>
      </c>
      <c r="U23" s="14">
        <f>SUM('IDM - TWC Borobudur'!U23,'IDM - TWC Prambanan'!U23)</f>
        <v>44</v>
      </c>
      <c r="V23" s="14">
        <f>SUM('IDM - TWC Borobudur'!V23,'IDM - TWC Prambanan'!V23)</f>
        <v>26</v>
      </c>
      <c r="W23" s="14">
        <f>SUM('IDM - TWC Borobudur'!W23,'IDM - TWC Prambanan'!W23)</f>
        <v>35</v>
      </c>
      <c r="X23" s="15">
        <f>SUM('IDM - TWC Borobudur'!X23,'IDM - TWC Prambanan'!X23)</f>
        <v>28</v>
      </c>
    </row>
    <row r="24" spans="1:25">
      <c r="A24" s="17"/>
      <c r="B24" s="106"/>
      <c r="C24" s="106"/>
      <c r="D24" s="103"/>
      <c r="E24" s="20" t="s">
        <v>50</v>
      </c>
      <c r="F24" s="12">
        <f>SUM('IDM - TWC Borobudur'!F24,'IDM - TWC Prambanan'!F24)</f>
        <v>10</v>
      </c>
      <c r="G24" s="12">
        <f>SUM('IDM - TWC Borobudur'!G24,'IDM - TWC Prambanan'!G24)</f>
        <v>6</v>
      </c>
      <c r="H24" s="12">
        <f>SUM('IDM - TWC Borobudur'!H24,'IDM - TWC Prambanan'!H24)</f>
        <v>2</v>
      </c>
      <c r="I24" s="12">
        <f>SUM('IDM - TWC Borobudur'!I24,'IDM - TWC Prambanan'!I24)</f>
        <v>8</v>
      </c>
      <c r="J24" s="12">
        <f>SUM('IDM - TWC Borobudur'!J24,'IDM - TWC Prambanan'!J24)</f>
        <v>3</v>
      </c>
      <c r="K24" s="12">
        <f>SUM('IDM - TWC Borobudur'!K24,'IDM - TWC Prambanan'!K24)</f>
        <v>3</v>
      </c>
      <c r="L24" s="12">
        <f>SUM('IDM - TWC Borobudur'!L24,'IDM - TWC Prambanan'!L24)</f>
        <v>5</v>
      </c>
      <c r="M24" s="12">
        <f>SUM('IDM - TWC Borobudur'!M24,'IDM - TWC Prambanan'!M24)</f>
        <v>6</v>
      </c>
      <c r="N24" s="12">
        <f>SUM('IDM - TWC Borobudur'!N24,'IDM - TWC Prambanan'!N24)</f>
        <v>0</v>
      </c>
      <c r="O24" s="12">
        <f>SUM('IDM - TWC Borobudur'!O24,'IDM - TWC Prambanan'!O24)</f>
        <v>4</v>
      </c>
      <c r="P24" s="12">
        <f>SUM('IDM - TWC Borobudur'!P24,'IDM - TWC Prambanan'!P24)</f>
        <v>0</v>
      </c>
      <c r="Q24" s="12">
        <f>SUM('IDM - TWC Borobudur'!Q24,'IDM - TWC Prambanan'!Q24)</f>
        <v>0</v>
      </c>
      <c r="R24" s="12">
        <f>SUM(F24:Q24)</f>
        <v>47</v>
      </c>
      <c r="S24" s="12">
        <f>SUM('IDM - TWC Borobudur'!S24,'IDM - TWC Prambanan'!S24)</f>
        <v>7</v>
      </c>
      <c r="T24" s="12">
        <f>SUM('IDM - TWC Borobudur'!T24,'IDM - TWC Prambanan'!T24)</f>
        <v>2</v>
      </c>
      <c r="U24" s="14">
        <f>SUM('IDM - TWC Borobudur'!U24,'IDM - TWC Prambanan'!U24)</f>
        <v>0</v>
      </c>
      <c r="V24" s="14">
        <f>SUM('IDM - TWC Borobudur'!V24,'IDM - TWC Prambanan'!V24)</f>
        <v>3</v>
      </c>
      <c r="W24" s="14">
        <f>SUM('IDM - TWC Borobudur'!W24,'IDM - TWC Prambanan'!W24)</f>
        <v>4</v>
      </c>
      <c r="X24" s="15">
        <f>SUM('IDM - TWC Borobudur'!X24,'IDM - TWC Prambanan'!X24)</f>
        <v>13</v>
      </c>
    </row>
    <row r="25" spans="1:25">
      <c r="A25" s="17"/>
      <c r="B25" s="106"/>
      <c r="C25" s="106"/>
      <c r="D25" s="103"/>
      <c r="E25" s="20" t="s">
        <v>51</v>
      </c>
      <c r="F25" s="12">
        <f>SUM('IDM - TWC Borobudur'!F25,'IDM - TWC Prambanan'!F25)</f>
        <v>7</v>
      </c>
      <c r="G25" s="12">
        <f>SUM('IDM - TWC Borobudur'!G25,'IDM - TWC Prambanan'!G25)</f>
        <v>1</v>
      </c>
      <c r="H25" s="12">
        <f>SUM('IDM - TWC Borobudur'!H25,'IDM - TWC Prambanan'!H25)</f>
        <v>0</v>
      </c>
      <c r="I25" s="12">
        <f>SUM('IDM - TWC Borobudur'!I25,'IDM - TWC Prambanan'!I25)</f>
        <v>8</v>
      </c>
      <c r="J25" s="12">
        <f>SUM('IDM - TWC Borobudur'!J25,'IDM - TWC Prambanan'!J25)</f>
        <v>52</v>
      </c>
      <c r="K25" s="12">
        <f>SUM('IDM - TWC Borobudur'!K25,'IDM - TWC Prambanan'!K25)</f>
        <v>34</v>
      </c>
      <c r="L25" s="12">
        <f>SUM('IDM - TWC Borobudur'!L25,'IDM - TWC Prambanan'!L25)</f>
        <v>8</v>
      </c>
      <c r="M25" s="12">
        <f>SUM('IDM - TWC Borobudur'!M25,'IDM - TWC Prambanan'!M25)</f>
        <v>2</v>
      </c>
      <c r="N25" s="12">
        <f>SUM('IDM - TWC Borobudur'!N25,'IDM - TWC Prambanan'!N25)</f>
        <v>3</v>
      </c>
      <c r="O25" s="12">
        <f>SUM('IDM - TWC Borobudur'!O25,'IDM - TWC Prambanan'!O25)</f>
        <v>1</v>
      </c>
      <c r="P25" s="12">
        <f>SUM('IDM - TWC Borobudur'!P25,'IDM - TWC Prambanan'!P25)</f>
        <v>3</v>
      </c>
      <c r="Q25" s="12">
        <f>SUM('IDM - TWC Borobudur'!Q25,'IDM - TWC Prambanan'!Q25)</f>
        <v>11</v>
      </c>
      <c r="R25" s="12">
        <f>SUM(F25:Q25)</f>
        <v>130</v>
      </c>
      <c r="S25" s="12">
        <f>SUM('IDM - TWC Borobudur'!S25,'IDM - TWC Prambanan'!S25)</f>
        <v>78</v>
      </c>
      <c r="T25" s="12">
        <f>SUM('IDM - TWC Borobudur'!T25,'IDM - TWC Prambanan'!T25)</f>
        <v>3</v>
      </c>
      <c r="U25" s="14">
        <f>SUM('IDM - TWC Borobudur'!U25,'IDM - TWC Prambanan'!U25)</f>
        <v>13</v>
      </c>
      <c r="V25" s="14">
        <f>SUM('IDM - TWC Borobudur'!V25,'IDM - TWC Prambanan'!V25)</f>
        <v>0</v>
      </c>
      <c r="W25" s="14">
        <f>SUM('IDM - TWC Borobudur'!W25,'IDM - TWC Prambanan'!W25)</f>
        <v>5</v>
      </c>
      <c r="X25" s="15">
        <f>SUM('IDM - TWC Borobudur'!X25,'IDM - TWC Prambanan'!X25)</f>
        <v>2</v>
      </c>
    </row>
    <row r="26" spans="1:25">
      <c r="A26" s="17"/>
      <c r="B26" s="106"/>
      <c r="C26" s="106"/>
      <c r="D26" s="103"/>
      <c r="E26" s="20" t="s">
        <v>52</v>
      </c>
      <c r="F26" s="12">
        <f>SUM('IDM - TWC Borobudur'!F26,'IDM - TWC Prambanan'!F26)</f>
        <v>4</v>
      </c>
      <c r="G26" s="12">
        <f>SUM('IDM - TWC Borobudur'!G26,'IDM - TWC Prambanan'!G26)</f>
        <v>2</v>
      </c>
      <c r="H26" s="12">
        <f>SUM('IDM - TWC Borobudur'!H26,'IDM - TWC Prambanan'!H26)</f>
        <v>0</v>
      </c>
      <c r="I26" s="12">
        <f>SUM('IDM - TWC Borobudur'!I26,'IDM - TWC Prambanan'!I26)</f>
        <v>0</v>
      </c>
      <c r="J26" s="12">
        <f>SUM('IDM - TWC Borobudur'!J26,'IDM - TWC Prambanan'!J26)</f>
        <v>2</v>
      </c>
      <c r="K26" s="12">
        <f>SUM('IDM - TWC Borobudur'!K26,'IDM - TWC Prambanan'!K26)</f>
        <v>0</v>
      </c>
      <c r="L26" s="12">
        <f>SUM('IDM - TWC Borobudur'!L26,'IDM - TWC Prambanan'!L26)</f>
        <v>0</v>
      </c>
      <c r="M26" s="12">
        <f>SUM('IDM - TWC Borobudur'!M26,'IDM - TWC Prambanan'!M26)</f>
        <v>1</v>
      </c>
      <c r="N26" s="12">
        <f>SUM('IDM - TWC Borobudur'!N26,'IDM - TWC Prambanan'!N26)</f>
        <v>0</v>
      </c>
      <c r="O26" s="12">
        <f>SUM('IDM - TWC Borobudur'!O26,'IDM - TWC Prambanan'!O26)</f>
        <v>0</v>
      </c>
      <c r="P26" s="12">
        <f>SUM('IDM - TWC Borobudur'!P26,'IDM - TWC Prambanan'!P26)</f>
        <v>3</v>
      </c>
      <c r="Q26" s="12">
        <f>SUM('IDM - TWC Borobudur'!Q26,'IDM - TWC Prambanan'!Q26)</f>
        <v>0</v>
      </c>
      <c r="R26" s="12">
        <f>SUM('IDM - TWC Borobudur'!R26,'IDM - TWC Prambanan'!R26)</f>
        <v>12</v>
      </c>
      <c r="S26" s="12">
        <f>SUM('IDM - TWC Borobudur'!S26,'IDM - TWC Prambanan'!S26)</f>
        <v>6</v>
      </c>
      <c r="T26" s="12">
        <f>SUM('IDM - TWC Borobudur'!T26,'IDM - TWC Prambanan'!T26)</f>
        <v>1</v>
      </c>
      <c r="U26" s="14">
        <f>SUM('IDM - TWC Borobudur'!U26,'IDM - TWC Prambanan'!U26)</f>
        <v>1</v>
      </c>
      <c r="V26" s="14">
        <f>SUM('IDM - TWC Borobudur'!V26,'IDM - TWC Prambanan'!V26)</f>
        <v>1</v>
      </c>
      <c r="W26" s="14">
        <f>SUM('IDM - TWC Borobudur'!W26,'IDM - TWC Prambanan'!W26)</f>
        <v>0</v>
      </c>
      <c r="X26" s="15">
        <f>SUM('IDM - TWC Borobudur'!X26,'IDM - TWC Prambanan'!X26)</f>
        <v>0</v>
      </c>
    </row>
    <row r="27" spans="1:25">
      <c r="A27" s="17"/>
      <c r="B27" s="107"/>
      <c r="C27" s="107"/>
      <c r="D27" s="104"/>
      <c r="E27" s="30" t="s">
        <v>19</v>
      </c>
      <c r="F27" s="11">
        <f>SUM(F23:F26)</f>
        <v>107</v>
      </c>
      <c r="G27" s="11">
        <f>SUM(G23:G26)</f>
        <v>58</v>
      </c>
      <c r="H27" s="11">
        <f t="shared" ref="G27:Q27" si="0">SUM(H23:H26)</f>
        <v>33</v>
      </c>
      <c r="I27" s="11">
        <f t="shared" si="0"/>
        <v>135</v>
      </c>
      <c r="J27" s="11">
        <f t="shared" si="0"/>
        <v>123</v>
      </c>
      <c r="K27" s="11">
        <f t="shared" si="0"/>
        <v>80</v>
      </c>
      <c r="L27" s="11">
        <f t="shared" si="0"/>
        <v>114</v>
      </c>
      <c r="M27" s="11">
        <f t="shared" si="0"/>
        <v>59</v>
      </c>
      <c r="N27" s="11">
        <f t="shared" si="0"/>
        <v>36</v>
      </c>
      <c r="O27" s="11">
        <f t="shared" si="0"/>
        <v>38</v>
      </c>
      <c r="P27" s="11">
        <f t="shared" si="0"/>
        <v>28</v>
      </c>
      <c r="Q27" s="11">
        <f t="shared" si="0"/>
        <v>51</v>
      </c>
      <c r="R27" s="11">
        <f>SUM(R23:R26)</f>
        <v>862</v>
      </c>
      <c r="S27" s="11">
        <f t="shared" ref="S27" si="1">SUM(S23:S26)</f>
        <v>118</v>
      </c>
      <c r="T27" s="11">
        <f t="shared" ref="T27" si="2">SUM(T23:T26)</f>
        <v>35</v>
      </c>
      <c r="U27" s="38">
        <f t="shared" ref="U27:X27" si="3">SUM(U23:U26)</f>
        <v>58</v>
      </c>
      <c r="V27" s="38">
        <f t="shared" si="3"/>
        <v>30</v>
      </c>
      <c r="W27" s="38">
        <f t="shared" si="3"/>
        <v>44</v>
      </c>
      <c r="X27" s="43">
        <f t="shared" si="3"/>
        <v>43</v>
      </c>
    </row>
    <row r="28" spans="1:25">
      <c r="A28" s="17"/>
      <c r="B28" s="18" t="s">
        <v>25</v>
      </c>
      <c r="C28" s="12" t="s">
        <v>53</v>
      </c>
      <c r="D28" s="19" t="s">
        <v>33</v>
      </c>
      <c r="E28" s="20"/>
      <c r="F28" s="12">
        <f>F27</f>
        <v>107</v>
      </c>
      <c r="G28" s="12"/>
      <c r="H28" s="12"/>
      <c r="I28" s="12"/>
      <c r="J28" s="12"/>
      <c r="K28" s="12"/>
      <c r="L28" s="12"/>
      <c r="M28" s="12"/>
      <c r="N28" s="12"/>
      <c r="O28" s="12"/>
      <c r="P28" s="12"/>
      <c r="Q28" s="12"/>
      <c r="R28" s="12"/>
      <c r="S28" s="12"/>
      <c r="T28" s="12"/>
      <c r="U28" s="14"/>
      <c r="V28" s="41"/>
      <c r="W28" s="41"/>
      <c r="X28" s="45"/>
    </row>
    <row r="29" spans="1:25">
      <c r="A29" s="17"/>
      <c r="B29" s="18" t="s">
        <v>27</v>
      </c>
      <c r="C29" s="12" t="s">
        <v>54</v>
      </c>
      <c r="D29" s="19" t="s">
        <v>33</v>
      </c>
      <c r="E29" s="20"/>
      <c r="F29" s="12"/>
      <c r="G29" s="12"/>
      <c r="H29" s="12"/>
      <c r="I29" s="12"/>
      <c r="J29" s="12"/>
      <c r="K29" s="12"/>
      <c r="L29" s="12"/>
      <c r="M29" s="12"/>
      <c r="N29" s="12"/>
      <c r="O29" s="12"/>
      <c r="P29" s="12"/>
      <c r="Q29" s="12"/>
      <c r="R29" s="12"/>
      <c r="S29" s="12"/>
      <c r="T29" s="12"/>
      <c r="U29" s="14"/>
      <c r="V29" s="41"/>
      <c r="W29" s="41"/>
      <c r="X29" s="41"/>
    </row>
    <row r="30" spans="1:25">
      <c r="A30" s="17"/>
      <c r="B30" s="18" t="s">
        <v>29</v>
      </c>
      <c r="C30" s="12" t="s">
        <v>55</v>
      </c>
      <c r="D30" s="19" t="s">
        <v>33</v>
      </c>
      <c r="E30" s="20"/>
      <c r="F30" s="12"/>
      <c r="G30" s="12"/>
      <c r="H30" s="12"/>
      <c r="I30" s="12"/>
      <c r="J30" s="12"/>
      <c r="K30" s="12"/>
      <c r="L30" s="12"/>
      <c r="M30" s="12"/>
      <c r="N30" s="12"/>
      <c r="O30" s="12"/>
      <c r="P30" s="12"/>
      <c r="Q30" s="12"/>
      <c r="R30" s="12"/>
      <c r="S30" s="12"/>
      <c r="T30" s="12"/>
      <c r="U30" s="14"/>
      <c r="V30" s="41"/>
      <c r="W30" s="41"/>
      <c r="X30" s="41"/>
    </row>
    <row r="31" spans="1:25">
      <c r="A31" s="17"/>
      <c r="B31" s="19" t="s">
        <v>56</v>
      </c>
      <c r="C31" s="12" t="s">
        <v>57</v>
      </c>
      <c r="D31" s="19" t="s">
        <v>35</v>
      </c>
      <c r="E31" s="20"/>
      <c r="F31" s="31">
        <f>F28/F27</f>
        <v>1</v>
      </c>
      <c r="G31" s="31"/>
      <c r="H31" s="31"/>
      <c r="I31" s="31"/>
      <c r="J31" s="31"/>
      <c r="K31" s="31"/>
      <c r="L31" s="31"/>
      <c r="M31" s="31"/>
      <c r="N31" s="31"/>
      <c r="O31" s="31"/>
      <c r="P31" s="31"/>
      <c r="Q31" s="31"/>
      <c r="R31" s="31"/>
      <c r="S31" s="31"/>
      <c r="T31" s="31"/>
      <c r="U31" s="39"/>
      <c r="V31" s="41"/>
      <c r="W31" s="41"/>
      <c r="X31" s="41"/>
    </row>
    <row r="32" spans="1:25">
      <c r="A32" s="21"/>
      <c r="B32" s="19" t="s">
        <v>58</v>
      </c>
      <c r="C32" s="12" t="s">
        <v>59</v>
      </c>
      <c r="D32" s="19" t="s">
        <v>60</v>
      </c>
      <c r="E32" s="20"/>
      <c r="F32" s="12"/>
      <c r="G32" s="12"/>
      <c r="H32" s="12"/>
      <c r="I32" s="12"/>
      <c r="J32" s="12"/>
      <c r="K32" s="12"/>
      <c r="L32" s="12"/>
      <c r="M32" s="12"/>
      <c r="N32" s="12"/>
      <c r="O32" s="12"/>
      <c r="P32" s="12"/>
      <c r="Q32" s="12"/>
      <c r="R32" s="12"/>
      <c r="S32" s="12"/>
      <c r="T32" s="12"/>
      <c r="U32" s="14"/>
      <c r="V32" s="41"/>
      <c r="W32" s="41"/>
      <c r="X32" s="41"/>
    </row>
    <row r="33" spans="4:5">
      <c r="D33" s="4"/>
      <c r="E33" s="9"/>
    </row>
  </sheetData>
  <mergeCells count="10">
    <mergeCell ref="A6:A7"/>
    <mergeCell ref="B6:C7"/>
    <mergeCell ref="D6:D7"/>
    <mergeCell ref="E6:E7"/>
    <mergeCell ref="F6:R6"/>
    <mergeCell ref="F9:M12"/>
    <mergeCell ref="D23:D27"/>
    <mergeCell ref="C23:C27"/>
    <mergeCell ref="B23:B27"/>
    <mergeCell ref="S6:X6"/>
  </mergeCells>
  <pageMargins left="0.70866141732283472" right="0.70866141732283472" top="0.74803149606299213" bottom="0.74803149606299213" header="0.31496062992125984" footer="0.31496062992125984"/>
  <pageSetup paperSize="9" scale="5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E91F5-F98B-4732-9697-9B96242104C7}">
  <dimension ref="A2:X32"/>
  <sheetViews>
    <sheetView showGridLines="0" topLeftCell="D4" zoomScale="70" zoomScaleNormal="70" workbookViewId="0">
      <selection activeCell="T12" sqref="T12"/>
    </sheetView>
  </sheetViews>
  <sheetFormatPr defaultColWidth="8.75" defaultRowHeight="16.5"/>
  <cols>
    <col min="1" max="1" width="5.25" style="4" customWidth="1"/>
    <col min="2" max="2" width="5" customWidth="1"/>
    <col min="3" max="3" width="27.25" customWidth="1"/>
    <col min="4" max="4" width="14.75" customWidth="1"/>
    <col min="5" max="5" width="22.375" style="8" customWidth="1"/>
    <col min="6" max="6" width="9" bestFit="1" customWidth="1"/>
    <col min="8" max="8" width="9" bestFit="1" customWidth="1"/>
    <col min="21" max="21" width="9" bestFit="1" customWidth="1"/>
  </cols>
  <sheetData>
    <row r="2" spans="1:24">
      <c r="A2" s="1" t="s">
        <v>0</v>
      </c>
    </row>
    <row r="3" spans="1:24">
      <c r="A3" s="2" t="s">
        <v>1</v>
      </c>
    </row>
    <row r="4" spans="1:24" ht="20.25">
      <c r="A4" s="3" t="s">
        <v>61</v>
      </c>
    </row>
    <row r="5" spans="1:24">
      <c r="B5" s="5"/>
      <c r="D5" s="4"/>
      <c r="E5" s="9"/>
    </row>
    <row r="6" spans="1:24" s="5" customFormat="1">
      <c r="A6" s="109" t="s">
        <v>3</v>
      </c>
      <c r="B6" s="109" t="s">
        <v>4</v>
      </c>
      <c r="C6" s="109"/>
      <c r="D6" s="109" t="s">
        <v>5</v>
      </c>
      <c r="E6" s="110" t="s">
        <v>6</v>
      </c>
      <c r="F6" s="112">
        <v>2025</v>
      </c>
      <c r="G6" s="113"/>
      <c r="H6" s="113"/>
      <c r="I6" s="113"/>
      <c r="J6" s="113"/>
      <c r="K6" s="113"/>
      <c r="L6" s="113"/>
      <c r="M6" s="113"/>
      <c r="N6" s="113"/>
      <c r="O6" s="113"/>
      <c r="P6" s="113"/>
      <c r="Q6" s="113"/>
      <c r="R6" s="114"/>
      <c r="S6" s="112">
        <v>2026</v>
      </c>
      <c r="T6" s="113"/>
      <c r="U6" s="113"/>
      <c r="V6" s="113"/>
      <c r="W6" s="113"/>
      <c r="X6" s="114"/>
    </row>
    <row r="7" spans="1:24" s="5" customFormat="1">
      <c r="A7" s="109"/>
      <c r="B7" s="109"/>
      <c r="C7" s="109"/>
      <c r="D7" s="109"/>
      <c r="E7" s="111"/>
      <c r="F7" s="6" t="s">
        <v>7</v>
      </c>
      <c r="G7" s="6" t="s">
        <v>8</v>
      </c>
      <c r="H7" s="6" t="s">
        <v>9</v>
      </c>
      <c r="I7" s="6" t="s">
        <v>10</v>
      </c>
      <c r="J7" s="7" t="s">
        <v>11</v>
      </c>
      <c r="K7" s="6" t="s">
        <v>12</v>
      </c>
      <c r="L7" s="6" t="s">
        <v>13</v>
      </c>
      <c r="M7" s="6" t="s">
        <v>14</v>
      </c>
      <c r="N7" s="6" t="s">
        <v>15</v>
      </c>
      <c r="O7" s="6" t="s">
        <v>16</v>
      </c>
      <c r="P7" s="6" t="s">
        <v>17</v>
      </c>
      <c r="Q7" s="6" t="s">
        <v>18</v>
      </c>
      <c r="R7" s="24" t="s">
        <v>19</v>
      </c>
      <c r="S7" s="6" t="s">
        <v>7</v>
      </c>
      <c r="T7" s="6" t="s">
        <v>8</v>
      </c>
      <c r="U7" s="6" t="s">
        <v>9</v>
      </c>
      <c r="V7" s="6" t="s">
        <v>10</v>
      </c>
      <c r="W7" s="6" t="s">
        <v>11</v>
      </c>
      <c r="X7" s="6" t="s">
        <v>12</v>
      </c>
    </row>
    <row r="8" spans="1:24">
      <c r="A8" s="10">
        <v>1</v>
      </c>
      <c r="B8" s="11" t="s">
        <v>21</v>
      </c>
      <c r="C8" s="12"/>
      <c r="D8" s="12"/>
      <c r="E8" s="13"/>
      <c r="F8" s="94"/>
      <c r="G8" s="94"/>
      <c r="H8" s="94"/>
      <c r="I8" s="95"/>
      <c r="J8" s="96"/>
      <c r="K8" s="97"/>
      <c r="L8" s="94"/>
      <c r="M8" s="94"/>
      <c r="N8" s="12"/>
      <c r="O8" s="12"/>
      <c r="P8" s="12"/>
      <c r="Q8" s="12"/>
      <c r="R8" s="25"/>
      <c r="S8" s="12"/>
      <c r="T8" s="12"/>
      <c r="U8" s="12"/>
      <c r="V8" s="12"/>
      <c r="W8" s="12"/>
      <c r="X8" s="12"/>
    </row>
    <row r="9" spans="1:24">
      <c r="A9" s="17"/>
      <c r="B9" s="18" t="s">
        <v>22</v>
      </c>
      <c r="C9" s="12" t="s">
        <v>23</v>
      </c>
      <c r="D9" s="19" t="s">
        <v>24</v>
      </c>
      <c r="E9" s="93"/>
      <c r="F9" s="15">
        <v>0</v>
      </c>
      <c r="G9" s="15">
        <v>0</v>
      </c>
      <c r="H9" s="15">
        <v>0</v>
      </c>
      <c r="I9" s="15">
        <v>0</v>
      </c>
      <c r="J9" s="15">
        <v>0</v>
      </c>
      <c r="K9" s="15">
        <v>0</v>
      </c>
      <c r="L9" s="15">
        <v>0</v>
      </c>
      <c r="M9" s="15">
        <v>0</v>
      </c>
      <c r="N9" s="16">
        <v>4.5999999999999996</v>
      </c>
      <c r="O9" s="12">
        <v>4.6100000000000003</v>
      </c>
      <c r="P9" s="12">
        <v>4.6399999999999997</v>
      </c>
      <c r="Q9" s="12">
        <v>4.1500000000000004</v>
      </c>
      <c r="R9" s="26">
        <f>AVERAGE(N9:Q9)</f>
        <v>4.5</v>
      </c>
      <c r="S9" s="28" t="s">
        <v>62</v>
      </c>
      <c r="T9" s="28" t="s">
        <v>62</v>
      </c>
      <c r="U9" s="12">
        <v>3.25</v>
      </c>
      <c r="V9" s="12">
        <v>4.68</v>
      </c>
      <c r="W9" s="12">
        <v>4.66</v>
      </c>
      <c r="X9" s="12">
        <v>4.6399999999999997</v>
      </c>
    </row>
    <row r="10" spans="1:24">
      <c r="A10" s="17"/>
      <c r="B10" s="18" t="s">
        <v>25</v>
      </c>
      <c r="C10" s="12" t="s">
        <v>26</v>
      </c>
      <c r="D10" s="19" t="s">
        <v>24</v>
      </c>
      <c r="E10" s="93"/>
      <c r="F10" s="15">
        <v>0</v>
      </c>
      <c r="G10" s="15">
        <v>0</v>
      </c>
      <c r="H10" s="15">
        <v>0</v>
      </c>
      <c r="I10" s="15">
        <v>0</v>
      </c>
      <c r="J10" s="15">
        <v>0</v>
      </c>
      <c r="K10" s="15">
        <v>0</v>
      </c>
      <c r="L10" s="15">
        <v>0</v>
      </c>
      <c r="M10" s="15">
        <v>0</v>
      </c>
      <c r="N10" s="16">
        <v>4.59</v>
      </c>
      <c r="O10" s="12">
        <v>4.74</v>
      </c>
      <c r="P10" s="12">
        <v>4.78</v>
      </c>
      <c r="Q10" s="12">
        <v>4.3</v>
      </c>
      <c r="R10" s="26">
        <f>AVERAGE(N10:Q10)</f>
        <v>4.6025</v>
      </c>
      <c r="S10" s="28" t="s">
        <v>62</v>
      </c>
      <c r="T10" s="28" t="s">
        <v>62</v>
      </c>
      <c r="U10" s="12">
        <v>4</v>
      </c>
      <c r="V10" s="12">
        <v>4.75</v>
      </c>
      <c r="W10" s="12">
        <v>5</v>
      </c>
      <c r="X10" s="12">
        <v>4.5599999999999996</v>
      </c>
    </row>
    <row r="11" spans="1:24">
      <c r="A11" s="17"/>
      <c r="B11" s="18" t="s">
        <v>27</v>
      </c>
      <c r="C11" s="12" t="s">
        <v>28</v>
      </c>
      <c r="D11" s="19" t="s">
        <v>24</v>
      </c>
      <c r="E11" s="93"/>
      <c r="F11" s="15">
        <v>0</v>
      </c>
      <c r="G11" s="15">
        <v>0</v>
      </c>
      <c r="H11" s="15">
        <v>0</v>
      </c>
      <c r="I11" s="15">
        <v>0</v>
      </c>
      <c r="J11" s="15">
        <v>0</v>
      </c>
      <c r="K11" s="15">
        <v>0</v>
      </c>
      <c r="L11" s="15">
        <v>0</v>
      </c>
      <c r="M11" s="15">
        <v>0</v>
      </c>
      <c r="N11" s="16">
        <v>4.5999999999999996</v>
      </c>
      <c r="O11" s="12">
        <v>4.7</v>
      </c>
      <c r="P11" s="12">
        <v>4.72</v>
      </c>
      <c r="Q11" s="12">
        <v>4.0999999999999996</v>
      </c>
      <c r="R11" s="26">
        <f>AVERAGE(N11:Q11)</f>
        <v>4.5299999999999994</v>
      </c>
      <c r="S11" s="28" t="s">
        <v>62</v>
      </c>
      <c r="T11" s="28" t="s">
        <v>62</v>
      </c>
      <c r="U11" s="12">
        <v>3.75</v>
      </c>
      <c r="V11" s="12">
        <v>4.2</v>
      </c>
      <c r="W11" s="12">
        <v>4.3</v>
      </c>
      <c r="X11" s="12">
        <v>4.7</v>
      </c>
    </row>
    <row r="12" spans="1:24">
      <c r="A12" s="21"/>
      <c r="B12" s="18" t="s">
        <v>29</v>
      </c>
      <c r="C12" s="12" t="s">
        <v>30</v>
      </c>
      <c r="D12" s="19" t="s">
        <v>24</v>
      </c>
      <c r="E12" s="93"/>
      <c r="F12" s="15">
        <v>0</v>
      </c>
      <c r="G12" s="15">
        <v>0</v>
      </c>
      <c r="H12" s="15">
        <v>0</v>
      </c>
      <c r="I12" s="15">
        <v>0</v>
      </c>
      <c r="J12" s="15">
        <v>0</v>
      </c>
      <c r="K12" s="15">
        <v>0</v>
      </c>
      <c r="L12" s="15">
        <v>0</v>
      </c>
      <c r="M12" s="15">
        <v>0</v>
      </c>
      <c r="N12" s="16">
        <v>4.7</v>
      </c>
      <c r="O12" s="12">
        <v>4.76</v>
      </c>
      <c r="P12" s="12">
        <v>4.75</v>
      </c>
      <c r="Q12" s="12">
        <v>4.3499999999999996</v>
      </c>
      <c r="R12" s="26">
        <f>AVERAGE(N12:Q12)</f>
        <v>4.6400000000000006</v>
      </c>
      <c r="S12" s="28" t="s">
        <v>62</v>
      </c>
      <c r="T12" s="28" t="s">
        <v>62</v>
      </c>
      <c r="U12" s="12">
        <v>4</v>
      </c>
      <c r="V12" s="12">
        <v>4.32</v>
      </c>
      <c r="W12" s="12">
        <v>4.2</v>
      </c>
      <c r="X12" s="12">
        <v>4.5</v>
      </c>
    </row>
    <row r="13" spans="1:24">
      <c r="A13" s="10">
        <v>2</v>
      </c>
      <c r="B13" s="11" t="s">
        <v>31</v>
      </c>
      <c r="C13" s="12"/>
      <c r="D13" s="19"/>
      <c r="E13" s="20"/>
      <c r="F13" s="22"/>
      <c r="G13" s="22"/>
      <c r="H13" s="22"/>
      <c r="I13" s="90"/>
      <c r="J13" s="91"/>
      <c r="K13" s="92"/>
      <c r="L13" s="22"/>
      <c r="M13" s="22"/>
      <c r="N13" s="12"/>
      <c r="O13" s="12"/>
      <c r="P13" s="12"/>
      <c r="Q13" s="12"/>
      <c r="R13" s="25"/>
      <c r="S13" s="12"/>
      <c r="T13" s="12"/>
      <c r="U13" s="12"/>
      <c r="V13" s="12"/>
      <c r="W13" s="12"/>
      <c r="X13" s="12"/>
    </row>
    <row r="14" spans="1:24">
      <c r="A14" s="17"/>
      <c r="B14" s="18" t="s">
        <v>22</v>
      </c>
      <c r="C14" s="12" t="s">
        <v>32</v>
      </c>
      <c r="D14" s="19" t="s">
        <v>33</v>
      </c>
      <c r="E14" s="20"/>
      <c r="F14" s="12">
        <v>28</v>
      </c>
      <c r="G14" s="12">
        <v>23</v>
      </c>
      <c r="H14" s="12">
        <v>6</v>
      </c>
      <c r="I14" s="12">
        <v>51</v>
      </c>
      <c r="J14" s="22">
        <v>41</v>
      </c>
      <c r="K14" s="12">
        <v>60</v>
      </c>
      <c r="L14" s="12">
        <v>1</v>
      </c>
      <c r="M14" s="12">
        <v>28</v>
      </c>
      <c r="N14" s="12">
        <v>6</v>
      </c>
      <c r="O14" s="12">
        <v>33</v>
      </c>
      <c r="P14" s="12">
        <v>49</v>
      </c>
      <c r="Q14" s="12">
        <v>27</v>
      </c>
      <c r="R14" s="25">
        <f>SUM(F14:Q14)</f>
        <v>353</v>
      </c>
      <c r="S14" s="12">
        <v>80</v>
      </c>
      <c r="T14" s="12">
        <v>66</v>
      </c>
      <c r="U14" s="12">
        <v>75</v>
      </c>
      <c r="V14" s="12">
        <v>54</v>
      </c>
      <c r="W14" s="12">
        <v>48</v>
      </c>
      <c r="X14" s="12">
        <v>53</v>
      </c>
    </row>
    <row r="15" spans="1:24">
      <c r="A15" s="17"/>
      <c r="B15" s="18" t="s">
        <v>25</v>
      </c>
      <c r="C15" s="12" t="s">
        <v>34</v>
      </c>
      <c r="D15" s="19" t="s">
        <v>35</v>
      </c>
      <c r="E15" s="20"/>
      <c r="F15" s="12"/>
      <c r="G15" s="12"/>
      <c r="H15" s="12"/>
      <c r="I15" s="12"/>
      <c r="J15" s="12"/>
      <c r="K15" s="12"/>
      <c r="L15" s="12"/>
      <c r="M15" s="12"/>
      <c r="N15" s="12"/>
      <c r="O15" s="12"/>
      <c r="P15" s="12"/>
      <c r="Q15" s="12"/>
      <c r="R15" s="25"/>
      <c r="S15" s="12"/>
      <c r="T15" s="12"/>
      <c r="U15" s="12"/>
      <c r="V15" s="12"/>
      <c r="W15" s="12"/>
      <c r="X15" s="12"/>
    </row>
    <row r="16" spans="1:24">
      <c r="A16" s="21"/>
      <c r="B16" s="18" t="s">
        <v>27</v>
      </c>
      <c r="C16" s="12" t="s">
        <v>37</v>
      </c>
      <c r="D16" s="19" t="s">
        <v>35</v>
      </c>
      <c r="E16" s="20"/>
      <c r="F16" s="12"/>
      <c r="G16" s="12"/>
      <c r="H16" s="12"/>
      <c r="I16" s="12"/>
      <c r="J16" s="12"/>
      <c r="K16" s="12"/>
      <c r="L16" s="12"/>
      <c r="M16" s="12"/>
      <c r="N16" s="12"/>
      <c r="O16" s="12"/>
      <c r="P16" s="12"/>
      <c r="Q16" s="12"/>
      <c r="R16" s="25"/>
      <c r="S16" s="12"/>
      <c r="T16" s="12"/>
      <c r="U16" s="12"/>
      <c r="V16" s="12"/>
      <c r="W16" s="12"/>
      <c r="X16" s="12"/>
    </row>
    <row r="17" spans="1:24">
      <c r="A17" s="10">
        <v>3</v>
      </c>
      <c r="B17" s="11" t="s">
        <v>38</v>
      </c>
      <c r="C17" s="12"/>
      <c r="D17" s="12"/>
      <c r="E17" s="13"/>
      <c r="F17" s="12"/>
      <c r="G17" s="12"/>
      <c r="H17" s="12"/>
      <c r="I17" s="12"/>
      <c r="J17" s="12"/>
      <c r="K17" s="12"/>
      <c r="L17" s="12"/>
      <c r="M17" s="12"/>
      <c r="N17" s="12"/>
      <c r="O17" s="12"/>
      <c r="P17" s="12"/>
      <c r="Q17" s="12"/>
      <c r="R17" s="25"/>
      <c r="S17" s="12"/>
      <c r="T17" s="12"/>
      <c r="U17" s="12"/>
      <c r="V17" s="12"/>
      <c r="W17" s="12"/>
      <c r="X17" s="12"/>
    </row>
    <row r="18" spans="1:24">
      <c r="A18" s="17"/>
      <c r="B18" s="18" t="s">
        <v>22</v>
      </c>
      <c r="C18" s="12" t="s">
        <v>39</v>
      </c>
      <c r="D18" s="19" t="s">
        <v>33</v>
      </c>
      <c r="E18" s="20"/>
      <c r="F18" s="29">
        <v>75300</v>
      </c>
      <c r="G18" s="29">
        <v>25100</v>
      </c>
      <c r="H18" s="29">
        <v>64700</v>
      </c>
      <c r="I18" s="29">
        <v>319500</v>
      </c>
      <c r="J18" s="29">
        <v>94300</v>
      </c>
      <c r="K18" s="29">
        <v>31500</v>
      </c>
      <c r="L18" s="29">
        <v>20100</v>
      </c>
      <c r="M18" s="29">
        <v>5200</v>
      </c>
      <c r="N18" s="29">
        <v>18400</v>
      </c>
      <c r="O18" s="29">
        <v>17700</v>
      </c>
      <c r="P18" s="29">
        <v>18200</v>
      </c>
      <c r="Q18" s="29">
        <v>75300</v>
      </c>
      <c r="R18" s="88">
        <f>SUM(F18:Q18)</f>
        <v>765300</v>
      </c>
      <c r="S18" s="29">
        <v>12500</v>
      </c>
      <c r="T18" s="29">
        <v>19900</v>
      </c>
      <c r="U18" s="29">
        <v>22200</v>
      </c>
      <c r="V18" s="29">
        <v>20400</v>
      </c>
      <c r="W18" s="29">
        <v>183400</v>
      </c>
      <c r="X18" s="29">
        <v>122100</v>
      </c>
    </row>
    <row r="19" spans="1:24">
      <c r="A19" s="17"/>
      <c r="B19" s="18" t="s">
        <v>25</v>
      </c>
      <c r="C19" s="12" t="s">
        <v>41</v>
      </c>
      <c r="D19" s="19" t="s">
        <v>35</v>
      </c>
      <c r="E19" s="20"/>
      <c r="F19" s="23">
        <v>0.1202</v>
      </c>
      <c r="G19" s="23">
        <v>4.7600000000000003E-2</v>
      </c>
      <c r="H19" s="23">
        <v>4.6699999999999998E-2</v>
      </c>
      <c r="I19" s="23">
        <v>3.0499999999999999E-2</v>
      </c>
      <c r="J19" s="23">
        <v>0.1192</v>
      </c>
      <c r="K19" s="23">
        <v>-6.5000000000000002E-2</v>
      </c>
      <c r="L19" s="23">
        <v>5.21E-2</v>
      </c>
      <c r="M19" s="23">
        <v>0.127</v>
      </c>
      <c r="N19" s="23">
        <v>0.27889999999999998</v>
      </c>
      <c r="O19" s="23">
        <v>0.12759999999999999</v>
      </c>
      <c r="P19" s="23">
        <v>0.14580000000000001</v>
      </c>
      <c r="Q19" s="23">
        <v>8.72E-2</v>
      </c>
      <c r="R19" s="27">
        <f>SUM(F19:Q19)</f>
        <v>1.1177999999999997</v>
      </c>
      <c r="S19" s="23">
        <v>-3.6999999999999998E-2</v>
      </c>
      <c r="T19" s="23">
        <v>0.31580000000000003</v>
      </c>
      <c r="U19" s="23">
        <v>0.24590000000000001</v>
      </c>
      <c r="V19" s="23">
        <v>8.09E-2</v>
      </c>
      <c r="W19" s="23">
        <v>8.5099999999999995E-2</v>
      </c>
      <c r="X19" s="23">
        <v>0.18410000000000001</v>
      </c>
    </row>
    <row r="20" spans="1:24">
      <c r="A20" s="17"/>
      <c r="B20" s="18" t="s">
        <v>27</v>
      </c>
      <c r="C20" s="12" t="s">
        <v>43</v>
      </c>
      <c r="D20" s="19" t="s">
        <v>44</v>
      </c>
      <c r="E20" s="20"/>
      <c r="F20" s="12"/>
      <c r="G20" s="12"/>
      <c r="H20" s="12"/>
      <c r="I20" s="12"/>
      <c r="J20" s="12"/>
      <c r="K20" s="12"/>
      <c r="L20" s="12"/>
      <c r="M20" s="12"/>
      <c r="N20" s="12"/>
      <c r="O20" s="12"/>
      <c r="P20" s="12"/>
      <c r="Q20" s="12"/>
      <c r="R20" s="25"/>
      <c r="S20" s="12"/>
      <c r="T20" s="12"/>
      <c r="U20" s="12"/>
      <c r="V20" s="12"/>
      <c r="W20" s="12"/>
      <c r="X20" s="12"/>
    </row>
    <row r="21" spans="1:24">
      <c r="A21" s="21"/>
      <c r="B21" s="18" t="s">
        <v>29</v>
      </c>
      <c r="C21" s="12" t="s">
        <v>45</v>
      </c>
      <c r="D21" s="19" t="s">
        <v>46</v>
      </c>
      <c r="E21" s="13"/>
      <c r="F21" s="12">
        <v>0.26</v>
      </c>
      <c r="G21" s="12">
        <v>0.06</v>
      </c>
      <c r="H21" s="12">
        <v>0.43</v>
      </c>
      <c r="I21" s="12">
        <v>0.1</v>
      </c>
      <c r="J21" s="12">
        <v>0.11</v>
      </c>
      <c r="K21" s="12">
        <v>0.25</v>
      </c>
      <c r="L21" s="12">
        <v>0.11</v>
      </c>
      <c r="M21" s="12">
        <v>0.46</v>
      </c>
      <c r="N21" s="12">
        <v>0.1</v>
      </c>
      <c r="O21" s="12">
        <v>0.21</v>
      </c>
      <c r="P21" s="12">
        <v>0.24</v>
      </c>
      <c r="Q21" s="12">
        <v>0.16</v>
      </c>
      <c r="R21" s="25">
        <f>SUM(F21:Q21)</f>
        <v>2.4900000000000002</v>
      </c>
      <c r="S21" s="12">
        <v>0.12</v>
      </c>
      <c r="T21" s="12">
        <v>0.06</v>
      </c>
      <c r="U21" s="12">
        <v>0.08</v>
      </c>
      <c r="V21" s="41">
        <v>0.11</v>
      </c>
      <c r="W21" s="41">
        <v>0.09</v>
      </c>
      <c r="X21" s="41">
        <v>0.05</v>
      </c>
    </row>
    <row r="22" spans="1:24">
      <c r="A22" s="10">
        <v>4</v>
      </c>
      <c r="B22" s="11" t="s">
        <v>47</v>
      </c>
      <c r="C22" s="12"/>
      <c r="D22" s="12"/>
      <c r="E22" s="13"/>
      <c r="F22" s="12"/>
      <c r="G22" s="12"/>
      <c r="H22" s="12"/>
      <c r="I22" s="12"/>
      <c r="J22" s="12"/>
      <c r="K22" s="12"/>
      <c r="L22" s="12"/>
      <c r="M22" s="12"/>
      <c r="N22" s="12"/>
      <c r="O22" s="12"/>
      <c r="P22" s="12"/>
      <c r="Q22" s="12"/>
      <c r="R22" s="25"/>
      <c r="S22" s="12"/>
      <c r="T22" s="12"/>
      <c r="U22" s="12"/>
      <c r="V22" s="12"/>
      <c r="W22" s="12"/>
      <c r="X22" s="12"/>
    </row>
    <row r="23" spans="1:24">
      <c r="A23" s="17"/>
      <c r="B23" s="105" t="s">
        <v>22</v>
      </c>
      <c r="C23" s="105" t="s">
        <v>48</v>
      </c>
      <c r="D23" s="102" t="s">
        <v>33</v>
      </c>
      <c r="E23" s="20" t="s">
        <v>63</v>
      </c>
      <c r="F23" s="12">
        <v>67</v>
      </c>
      <c r="G23" s="12">
        <v>35</v>
      </c>
      <c r="H23" s="12">
        <v>25</v>
      </c>
      <c r="I23" s="12">
        <v>93</v>
      </c>
      <c r="J23" s="12">
        <v>50</v>
      </c>
      <c r="K23" s="12">
        <v>31</v>
      </c>
      <c r="L23" s="12">
        <v>73</v>
      </c>
      <c r="M23" s="12">
        <v>29</v>
      </c>
      <c r="N23" s="12">
        <v>23</v>
      </c>
      <c r="O23" s="12">
        <v>19</v>
      </c>
      <c r="P23" s="12">
        <v>14</v>
      </c>
      <c r="Q23" s="12">
        <v>30</v>
      </c>
      <c r="R23" s="25">
        <f>SUM(F23:Q23)</f>
        <v>489</v>
      </c>
      <c r="S23" s="12">
        <v>14</v>
      </c>
      <c r="T23" s="12">
        <v>13</v>
      </c>
      <c r="U23" s="12">
        <v>23</v>
      </c>
      <c r="V23" s="12">
        <v>16</v>
      </c>
      <c r="W23" s="12">
        <v>22</v>
      </c>
      <c r="X23" s="12">
        <v>12</v>
      </c>
    </row>
    <row r="24" spans="1:24">
      <c r="A24" s="17"/>
      <c r="B24" s="106"/>
      <c r="C24" s="106"/>
      <c r="D24" s="103"/>
      <c r="E24" s="20" t="s">
        <v>50</v>
      </c>
      <c r="F24" s="12">
        <v>8</v>
      </c>
      <c r="G24" s="12">
        <v>3</v>
      </c>
      <c r="H24" s="12">
        <v>2</v>
      </c>
      <c r="I24" s="12">
        <v>6</v>
      </c>
      <c r="J24" s="12">
        <v>2</v>
      </c>
      <c r="K24" s="12">
        <v>2</v>
      </c>
      <c r="L24" s="12">
        <v>1</v>
      </c>
      <c r="M24" s="12">
        <v>6</v>
      </c>
      <c r="N24" s="12">
        <v>0</v>
      </c>
      <c r="O24" s="12">
        <v>4</v>
      </c>
      <c r="P24" s="12">
        <v>0</v>
      </c>
      <c r="Q24" s="12">
        <v>0</v>
      </c>
      <c r="R24" s="25">
        <f>SUM(F24:Q24)</f>
        <v>34</v>
      </c>
      <c r="S24" s="12">
        <v>5</v>
      </c>
      <c r="T24" s="12">
        <v>2</v>
      </c>
      <c r="U24" s="12">
        <v>0</v>
      </c>
      <c r="V24" s="12">
        <v>2</v>
      </c>
      <c r="W24" s="12">
        <v>3</v>
      </c>
      <c r="X24" s="12">
        <v>11</v>
      </c>
    </row>
    <row r="25" spans="1:24">
      <c r="A25" s="17"/>
      <c r="B25" s="106"/>
      <c r="C25" s="106"/>
      <c r="D25" s="103"/>
      <c r="E25" s="20" t="s">
        <v>51</v>
      </c>
      <c r="F25" s="12">
        <v>5</v>
      </c>
      <c r="G25" s="12">
        <v>1</v>
      </c>
      <c r="H25" s="12">
        <v>0</v>
      </c>
      <c r="I25" s="12">
        <v>4</v>
      </c>
      <c r="J25" s="12">
        <v>52</v>
      </c>
      <c r="K25" s="12">
        <v>24</v>
      </c>
      <c r="L25" s="12">
        <v>0</v>
      </c>
      <c r="M25" s="12">
        <v>1</v>
      </c>
      <c r="N25" s="12">
        <v>3</v>
      </c>
      <c r="O25" s="12">
        <v>0</v>
      </c>
      <c r="P25" s="12">
        <v>3</v>
      </c>
      <c r="Q25" s="12">
        <v>6</v>
      </c>
      <c r="R25" s="25">
        <f>SUM(F25:Q25)</f>
        <v>99</v>
      </c>
      <c r="S25" s="12">
        <v>77</v>
      </c>
      <c r="T25" s="12">
        <v>2</v>
      </c>
      <c r="U25" s="12">
        <v>13</v>
      </c>
      <c r="V25" s="12">
        <v>0</v>
      </c>
      <c r="W25" s="12">
        <v>4</v>
      </c>
      <c r="X25" s="12">
        <v>2</v>
      </c>
    </row>
    <row r="26" spans="1:24">
      <c r="A26" s="17"/>
      <c r="B26" s="107"/>
      <c r="C26" s="107"/>
      <c r="D26" s="104"/>
      <c r="E26" s="20" t="s">
        <v>52</v>
      </c>
      <c r="F26" s="12">
        <v>4</v>
      </c>
      <c r="G26" s="12">
        <v>2</v>
      </c>
      <c r="H26" s="12">
        <v>0</v>
      </c>
      <c r="I26" s="12">
        <v>0</v>
      </c>
      <c r="J26" s="12">
        <v>2</v>
      </c>
      <c r="K26" s="12">
        <v>0</v>
      </c>
      <c r="L26" s="12">
        <v>0</v>
      </c>
      <c r="M26" s="12">
        <v>1</v>
      </c>
      <c r="N26" s="12">
        <v>0</v>
      </c>
      <c r="O26" s="12">
        <v>0</v>
      </c>
      <c r="P26" s="12">
        <v>3</v>
      </c>
      <c r="Q26" s="12">
        <v>0</v>
      </c>
      <c r="R26" s="25">
        <f>SUM(F26:Q26)</f>
        <v>12</v>
      </c>
      <c r="S26" s="12">
        <v>4</v>
      </c>
      <c r="T26" s="12">
        <v>1</v>
      </c>
      <c r="U26" s="12">
        <v>1</v>
      </c>
      <c r="V26" s="12">
        <v>1</v>
      </c>
      <c r="W26" s="12">
        <v>0</v>
      </c>
      <c r="X26" s="12">
        <v>0</v>
      </c>
    </row>
    <row r="27" spans="1:24">
      <c r="A27" s="17"/>
      <c r="B27" s="18" t="s">
        <v>25</v>
      </c>
      <c r="C27" s="12" t="s">
        <v>53</v>
      </c>
      <c r="D27" s="19" t="s">
        <v>33</v>
      </c>
      <c r="E27" s="20"/>
      <c r="F27" s="12"/>
      <c r="G27" s="12"/>
      <c r="H27" s="12"/>
      <c r="I27" s="12"/>
      <c r="J27" s="12"/>
      <c r="K27" s="12"/>
      <c r="L27" s="12"/>
      <c r="M27" s="12"/>
      <c r="N27" s="12"/>
      <c r="O27" s="12"/>
      <c r="P27" s="12"/>
      <c r="Q27" s="12"/>
      <c r="R27" s="25"/>
      <c r="S27" s="12"/>
      <c r="T27" s="12"/>
      <c r="U27" s="12"/>
      <c r="V27" s="12"/>
      <c r="W27" s="12"/>
      <c r="X27" s="12"/>
    </row>
    <row r="28" spans="1:24">
      <c r="A28" s="17"/>
      <c r="B28" s="18" t="s">
        <v>27</v>
      </c>
      <c r="C28" s="12" t="s">
        <v>54</v>
      </c>
      <c r="D28" s="19" t="s">
        <v>33</v>
      </c>
      <c r="E28" s="20"/>
      <c r="F28" s="12"/>
      <c r="G28" s="12"/>
      <c r="H28" s="12"/>
      <c r="I28" s="12"/>
      <c r="J28" s="12"/>
      <c r="K28" s="12"/>
      <c r="L28" s="12"/>
      <c r="M28" s="12"/>
      <c r="N28" s="12"/>
      <c r="O28" s="12"/>
      <c r="P28" s="12"/>
      <c r="Q28" s="12"/>
      <c r="R28" s="25"/>
      <c r="S28" s="12"/>
      <c r="T28" s="12"/>
      <c r="U28" s="12"/>
      <c r="V28" s="12"/>
      <c r="W28" s="12"/>
      <c r="X28" s="12"/>
    </row>
    <row r="29" spans="1:24">
      <c r="A29" s="17"/>
      <c r="B29" s="18" t="s">
        <v>29</v>
      </c>
      <c r="C29" s="12" t="s">
        <v>55</v>
      </c>
      <c r="D29" s="19" t="s">
        <v>33</v>
      </c>
      <c r="E29" s="20"/>
      <c r="F29" s="12"/>
      <c r="G29" s="12"/>
      <c r="H29" s="12"/>
      <c r="I29" s="12"/>
      <c r="J29" s="12"/>
      <c r="K29" s="12"/>
      <c r="L29" s="12"/>
      <c r="M29" s="12"/>
      <c r="N29" s="12"/>
      <c r="O29" s="12"/>
      <c r="P29" s="12"/>
      <c r="Q29" s="12"/>
      <c r="R29" s="25"/>
      <c r="S29" s="12"/>
      <c r="T29" s="12"/>
      <c r="U29" s="12"/>
      <c r="V29" s="12"/>
      <c r="W29" s="12"/>
      <c r="X29" s="12"/>
    </row>
    <row r="30" spans="1:24">
      <c r="A30" s="17"/>
      <c r="B30" s="19" t="s">
        <v>56</v>
      </c>
      <c r="C30" s="12" t="s">
        <v>57</v>
      </c>
      <c r="D30" s="19" t="s">
        <v>35</v>
      </c>
      <c r="E30" s="20"/>
      <c r="F30" s="12"/>
      <c r="G30" s="12"/>
      <c r="H30" s="12"/>
      <c r="I30" s="12"/>
      <c r="J30" s="12"/>
      <c r="K30" s="12"/>
      <c r="L30" s="12"/>
      <c r="M30" s="12"/>
      <c r="N30" s="12"/>
      <c r="O30" s="12"/>
      <c r="P30" s="12"/>
      <c r="Q30" s="12"/>
      <c r="R30" s="25"/>
      <c r="S30" s="12"/>
      <c r="T30" s="12"/>
      <c r="U30" s="12"/>
      <c r="V30" s="12"/>
      <c r="W30" s="12"/>
      <c r="X30" s="12"/>
    </row>
    <row r="31" spans="1:24">
      <c r="A31" s="21"/>
      <c r="B31" s="19" t="s">
        <v>58</v>
      </c>
      <c r="C31" s="12" t="s">
        <v>59</v>
      </c>
      <c r="D31" s="19" t="s">
        <v>60</v>
      </c>
      <c r="E31" s="20"/>
      <c r="F31" s="12"/>
      <c r="G31" s="12"/>
      <c r="H31" s="12"/>
      <c r="I31" s="12"/>
      <c r="J31" s="12"/>
      <c r="K31" s="12"/>
      <c r="L31" s="12"/>
      <c r="M31" s="12"/>
      <c r="N31" s="12"/>
      <c r="O31" s="12"/>
      <c r="P31" s="12"/>
      <c r="Q31" s="12"/>
      <c r="R31" s="25"/>
      <c r="S31" s="12"/>
      <c r="T31" s="12"/>
      <c r="U31" s="12"/>
      <c r="V31" s="12"/>
      <c r="W31" s="12"/>
      <c r="X31" s="12"/>
    </row>
    <row r="32" spans="1:24">
      <c r="D32" s="4"/>
      <c r="E32" s="9"/>
    </row>
  </sheetData>
  <mergeCells count="9">
    <mergeCell ref="S6:X6"/>
    <mergeCell ref="C23:C26"/>
    <mergeCell ref="D23:D26"/>
    <mergeCell ref="B23:B26"/>
    <mergeCell ref="A6:A7"/>
    <mergeCell ref="B6:C7"/>
    <mergeCell ref="D6:D7"/>
    <mergeCell ref="E6:E7"/>
    <mergeCell ref="F6:R6"/>
  </mergeCells>
  <pageMargins left="0.70866141732283472" right="0.70866141732283472" top="0.74803149606299213" bottom="0.74803149606299213" header="0.31496062992125984" footer="0.31496062992125984"/>
  <pageSetup paperSize="9" scale="5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A2C01-E16B-498D-B9E2-5F6EA149B794}">
  <dimension ref="A2:Z32"/>
  <sheetViews>
    <sheetView showGridLines="0" topLeftCell="I4" zoomScale="70" zoomScaleNormal="70" workbookViewId="0">
      <selection activeCell="Z9" sqref="Z9"/>
    </sheetView>
  </sheetViews>
  <sheetFormatPr defaultColWidth="8.75" defaultRowHeight="16.5"/>
  <cols>
    <col min="1" max="1" width="5.25" style="4" customWidth="1"/>
    <col min="2" max="2" width="5" customWidth="1"/>
    <col min="3" max="3" width="27.25" customWidth="1"/>
    <col min="4" max="4" width="14.75" customWidth="1"/>
    <col min="5" max="5" width="22.375" style="8" customWidth="1"/>
    <col min="21" max="21" width="9" bestFit="1" customWidth="1"/>
  </cols>
  <sheetData>
    <row r="2" spans="1:24">
      <c r="A2" s="1" t="s">
        <v>0</v>
      </c>
    </row>
    <row r="3" spans="1:24">
      <c r="A3" s="2" t="s">
        <v>1</v>
      </c>
    </row>
    <row r="4" spans="1:24" ht="20.25">
      <c r="A4" s="3" t="s">
        <v>64</v>
      </c>
    </row>
    <row r="5" spans="1:24">
      <c r="B5" s="5"/>
      <c r="D5" s="4"/>
      <c r="E5" s="9"/>
    </row>
    <row r="6" spans="1:24" s="5" customFormat="1">
      <c r="A6" s="109" t="s">
        <v>3</v>
      </c>
      <c r="B6" s="109" t="s">
        <v>4</v>
      </c>
      <c r="C6" s="109"/>
      <c r="D6" s="109" t="s">
        <v>5</v>
      </c>
      <c r="E6" s="110" t="s">
        <v>6</v>
      </c>
      <c r="F6" s="112">
        <v>2025</v>
      </c>
      <c r="G6" s="113"/>
      <c r="H6" s="113"/>
      <c r="I6" s="113"/>
      <c r="J6" s="113"/>
      <c r="K6" s="113"/>
      <c r="L6" s="113"/>
      <c r="M6" s="113"/>
      <c r="N6" s="113"/>
      <c r="O6" s="113"/>
      <c r="P6" s="113"/>
      <c r="Q6" s="113"/>
      <c r="R6" s="113"/>
      <c r="S6" s="108">
        <v>2026</v>
      </c>
      <c r="T6" s="108"/>
      <c r="U6" s="108"/>
      <c r="V6" s="108"/>
      <c r="W6" s="108"/>
      <c r="X6" s="108"/>
    </row>
    <row r="7" spans="1:24" s="5" customFormat="1">
      <c r="A7" s="109"/>
      <c r="B7" s="109"/>
      <c r="C7" s="109"/>
      <c r="D7" s="109"/>
      <c r="E7" s="111"/>
      <c r="F7" s="6" t="s">
        <v>7</v>
      </c>
      <c r="G7" s="6" t="s">
        <v>8</v>
      </c>
      <c r="H7" s="6" t="s">
        <v>9</v>
      </c>
      <c r="I7" s="6" t="s">
        <v>10</v>
      </c>
      <c r="J7" s="7" t="s">
        <v>11</v>
      </c>
      <c r="K7" s="6" t="s">
        <v>12</v>
      </c>
      <c r="L7" s="6" t="s">
        <v>13</v>
      </c>
      <c r="M7" s="6" t="s">
        <v>14</v>
      </c>
      <c r="N7" s="6" t="s">
        <v>15</v>
      </c>
      <c r="O7" s="6" t="s">
        <v>16</v>
      </c>
      <c r="P7" s="6" t="s">
        <v>17</v>
      </c>
      <c r="Q7" s="6" t="s">
        <v>18</v>
      </c>
      <c r="R7" s="24" t="s">
        <v>19</v>
      </c>
      <c r="S7" s="32" t="s">
        <v>7</v>
      </c>
      <c r="T7" s="32" t="s">
        <v>8</v>
      </c>
      <c r="U7" s="32" t="s">
        <v>9</v>
      </c>
      <c r="V7" s="32" t="s">
        <v>10</v>
      </c>
      <c r="W7" s="32" t="s">
        <v>11</v>
      </c>
      <c r="X7" s="32" t="s">
        <v>12</v>
      </c>
    </row>
    <row r="8" spans="1:24">
      <c r="A8" s="10">
        <v>1</v>
      </c>
      <c r="B8" s="11" t="s">
        <v>21</v>
      </c>
      <c r="C8" s="12"/>
      <c r="D8" s="12"/>
      <c r="E8" s="13"/>
      <c r="F8" s="12"/>
      <c r="G8" s="12"/>
      <c r="H8" s="12"/>
      <c r="I8" s="14"/>
      <c r="J8" s="15"/>
      <c r="K8" s="16"/>
      <c r="L8" s="12"/>
      <c r="M8" s="12"/>
      <c r="N8" s="12"/>
      <c r="O8" s="12"/>
      <c r="P8" s="12"/>
      <c r="Q8" s="12"/>
      <c r="R8" s="25"/>
      <c r="S8" s="12"/>
      <c r="T8" s="12"/>
      <c r="U8" s="12"/>
      <c r="V8" s="12"/>
      <c r="W8" s="12"/>
      <c r="X8" s="12"/>
    </row>
    <row r="9" spans="1:24">
      <c r="A9" s="17"/>
      <c r="B9" s="18" t="s">
        <v>22</v>
      </c>
      <c r="C9" s="12" t="s">
        <v>23</v>
      </c>
      <c r="D9" s="19" t="s">
        <v>24</v>
      </c>
      <c r="E9" s="20"/>
      <c r="F9" s="15">
        <v>0</v>
      </c>
      <c r="G9" s="15">
        <v>0</v>
      </c>
      <c r="H9" s="15">
        <v>0</v>
      </c>
      <c r="I9" s="15">
        <v>0</v>
      </c>
      <c r="J9" s="15">
        <v>0</v>
      </c>
      <c r="K9" s="15">
        <v>0</v>
      </c>
      <c r="L9" s="15">
        <v>0</v>
      </c>
      <c r="M9" s="15">
        <v>0</v>
      </c>
      <c r="N9" s="12">
        <v>3.97</v>
      </c>
      <c r="O9" s="12">
        <v>3.88</v>
      </c>
      <c r="P9" s="12">
        <v>3.88</v>
      </c>
      <c r="Q9" s="12">
        <v>2.75</v>
      </c>
      <c r="R9" s="26">
        <f>AVERAGE(N9:Q9)</f>
        <v>3.62</v>
      </c>
      <c r="S9" s="12">
        <v>4.71</v>
      </c>
      <c r="T9" s="12">
        <v>4.71</v>
      </c>
      <c r="U9" s="12">
        <v>3.1</v>
      </c>
      <c r="V9" s="12">
        <v>3</v>
      </c>
      <c r="W9" s="12">
        <v>3.7</v>
      </c>
      <c r="X9" s="12">
        <v>4.0999999999999996</v>
      </c>
    </row>
    <row r="10" spans="1:24">
      <c r="A10" s="17"/>
      <c r="B10" s="18" t="s">
        <v>25</v>
      </c>
      <c r="C10" s="12" t="s">
        <v>26</v>
      </c>
      <c r="D10" s="19" t="s">
        <v>24</v>
      </c>
      <c r="E10" s="20"/>
      <c r="F10" s="15">
        <v>0</v>
      </c>
      <c r="G10" s="15">
        <v>0</v>
      </c>
      <c r="H10" s="15">
        <v>0</v>
      </c>
      <c r="I10" s="15">
        <v>0</v>
      </c>
      <c r="J10" s="15">
        <v>0</v>
      </c>
      <c r="K10" s="15">
        <v>0</v>
      </c>
      <c r="L10" s="15">
        <v>0</v>
      </c>
      <c r="M10" s="15">
        <v>0</v>
      </c>
      <c r="N10" s="12">
        <v>4.71</v>
      </c>
      <c r="O10" s="12">
        <v>4.18</v>
      </c>
      <c r="P10" s="12">
        <v>4</v>
      </c>
      <c r="Q10" s="12">
        <v>3.33</v>
      </c>
      <c r="R10" s="26">
        <f>AVERAGE(N10:Q10)</f>
        <v>4.0549999999999997</v>
      </c>
      <c r="S10" s="12">
        <v>4.8099999999999996</v>
      </c>
      <c r="T10" s="12">
        <v>4.7699999999999996</v>
      </c>
      <c r="U10" s="12">
        <v>3.3</v>
      </c>
      <c r="V10" s="12">
        <v>3.3</v>
      </c>
      <c r="W10" s="12">
        <v>3.5</v>
      </c>
      <c r="X10" s="12">
        <v>4.4000000000000004</v>
      </c>
    </row>
    <row r="11" spans="1:24">
      <c r="A11" s="17"/>
      <c r="B11" s="18" t="s">
        <v>27</v>
      </c>
      <c r="C11" s="12" t="s">
        <v>28</v>
      </c>
      <c r="D11" s="19" t="s">
        <v>24</v>
      </c>
      <c r="E11" s="20"/>
      <c r="F11" s="15">
        <v>0</v>
      </c>
      <c r="G11" s="15">
        <v>0</v>
      </c>
      <c r="H11" s="15">
        <v>0</v>
      </c>
      <c r="I11" s="15">
        <v>0</v>
      </c>
      <c r="J11" s="15">
        <v>0</v>
      </c>
      <c r="K11" s="15">
        <v>0</v>
      </c>
      <c r="L11" s="15">
        <v>0</v>
      </c>
      <c r="M11" s="15">
        <v>0</v>
      </c>
      <c r="N11" s="12">
        <v>3.96</v>
      </c>
      <c r="O11" s="12">
        <v>3.92</v>
      </c>
      <c r="P11" s="12">
        <v>3.63</v>
      </c>
      <c r="Q11" s="12">
        <v>3.83</v>
      </c>
      <c r="R11" s="26">
        <f>AVERAGE(N11:Q11)</f>
        <v>3.835</v>
      </c>
      <c r="S11" s="12">
        <v>4.7300000000000004</v>
      </c>
      <c r="T11" s="12">
        <v>4.7</v>
      </c>
      <c r="U11" s="12">
        <v>3.3</v>
      </c>
      <c r="V11" s="12">
        <v>2.9</v>
      </c>
      <c r="W11" s="12">
        <v>4.2</v>
      </c>
      <c r="X11" s="12">
        <v>4</v>
      </c>
    </row>
    <row r="12" spans="1:24">
      <c r="A12" s="21"/>
      <c r="B12" s="18" t="s">
        <v>29</v>
      </c>
      <c r="C12" s="12" t="s">
        <v>30</v>
      </c>
      <c r="D12" s="19" t="s">
        <v>24</v>
      </c>
      <c r="E12" s="20"/>
      <c r="F12" s="15">
        <v>0</v>
      </c>
      <c r="G12" s="15">
        <v>0</v>
      </c>
      <c r="H12" s="15">
        <v>0</v>
      </c>
      <c r="I12" s="15">
        <v>0</v>
      </c>
      <c r="J12" s="15">
        <v>0</v>
      </c>
      <c r="K12" s="15">
        <v>0</v>
      </c>
      <c r="L12" s="15">
        <v>0</v>
      </c>
      <c r="M12" s="15">
        <v>0</v>
      </c>
      <c r="N12" s="12">
        <v>4.03</v>
      </c>
      <c r="O12" s="12">
        <v>4.08</v>
      </c>
      <c r="P12" s="12">
        <v>3.75</v>
      </c>
      <c r="Q12" s="12">
        <v>2.83</v>
      </c>
      <c r="R12" s="26">
        <f>AVERAGE(N12:Q12)</f>
        <v>3.6724999999999999</v>
      </c>
      <c r="S12" s="12">
        <v>4.72</v>
      </c>
      <c r="T12" s="12">
        <v>4.6500000000000004</v>
      </c>
      <c r="U12" s="12">
        <v>3.4</v>
      </c>
      <c r="V12" s="12">
        <v>3</v>
      </c>
      <c r="W12" s="12">
        <v>3.6</v>
      </c>
      <c r="X12" s="12">
        <v>3.9</v>
      </c>
    </row>
    <row r="13" spans="1:24">
      <c r="A13" s="10">
        <v>2</v>
      </c>
      <c r="B13" s="11" t="s">
        <v>31</v>
      </c>
      <c r="C13" s="12"/>
      <c r="D13" s="19"/>
      <c r="E13" s="20"/>
      <c r="F13" s="12"/>
      <c r="G13" s="12"/>
      <c r="H13" s="12"/>
      <c r="I13" s="14"/>
      <c r="J13" s="15"/>
      <c r="K13" s="16"/>
      <c r="L13" s="12"/>
      <c r="M13" s="12"/>
      <c r="N13" s="12"/>
      <c r="O13" s="12"/>
      <c r="P13" s="12"/>
      <c r="Q13" s="12"/>
      <c r="R13" s="25"/>
      <c r="S13" s="12"/>
      <c r="T13" s="12"/>
      <c r="U13" s="12"/>
      <c r="V13" s="12"/>
      <c r="W13" s="12"/>
      <c r="X13" s="12"/>
    </row>
    <row r="14" spans="1:24">
      <c r="A14" s="17"/>
      <c r="B14" s="18" t="s">
        <v>22</v>
      </c>
      <c r="C14" s="12" t="s">
        <v>32</v>
      </c>
      <c r="D14" s="19" t="s">
        <v>33</v>
      </c>
      <c r="E14" s="20"/>
      <c r="F14" s="12">
        <v>10</v>
      </c>
      <c r="G14" s="12">
        <v>5</v>
      </c>
      <c r="H14" s="12">
        <v>4</v>
      </c>
      <c r="I14" s="12">
        <v>20</v>
      </c>
      <c r="J14" s="22">
        <v>19</v>
      </c>
      <c r="K14" s="12">
        <v>33</v>
      </c>
      <c r="L14" s="12">
        <v>2</v>
      </c>
      <c r="M14" s="12">
        <v>15</v>
      </c>
      <c r="N14" s="12">
        <v>1</v>
      </c>
      <c r="O14" s="12">
        <v>26</v>
      </c>
      <c r="P14" s="12">
        <v>28</v>
      </c>
      <c r="Q14" s="12">
        <v>24</v>
      </c>
      <c r="R14" s="25">
        <f>SUM(F14:Q14)</f>
        <v>187</v>
      </c>
      <c r="S14" s="12">
        <v>47</v>
      </c>
      <c r="T14" s="12">
        <v>29</v>
      </c>
      <c r="U14" s="12">
        <v>46</v>
      </c>
      <c r="V14" s="12">
        <v>37</v>
      </c>
      <c r="W14" s="12">
        <v>53</v>
      </c>
      <c r="X14" s="12">
        <v>31</v>
      </c>
    </row>
    <row r="15" spans="1:24">
      <c r="A15" s="17"/>
      <c r="B15" s="18" t="s">
        <v>25</v>
      </c>
      <c r="C15" s="12" t="s">
        <v>34</v>
      </c>
      <c r="D15" s="19" t="s">
        <v>35</v>
      </c>
      <c r="E15" s="20"/>
      <c r="F15" s="12"/>
      <c r="G15" s="12"/>
      <c r="H15" s="12"/>
      <c r="I15" s="12"/>
      <c r="J15" s="12"/>
      <c r="K15" s="12"/>
      <c r="L15" s="12"/>
      <c r="M15" s="12"/>
      <c r="N15" s="12"/>
      <c r="O15" s="12"/>
      <c r="P15" s="12"/>
      <c r="Q15" s="12"/>
      <c r="R15" s="25"/>
      <c r="S15" s="12"/>
      <c r="T15" s="12"/>
      <c r="U15" s="12"/>
      <c r="V15" s="12"/>
      <c r="W15" s="12"/>
      <c r="X15" s="12"/>
    </row>
    <row r="16" spans="1:24">
      <c r="A16" s="21"/>
      <c r="B16" s="18" t="s">
        <v>27</v>
      </c>
      <c r="C16" s="12" t="s">
        <v>37</v>
      </c>
      <c r="D16" s="19" t="s">
        <v>35</v>
      </c>
      <c r="E16" s="20"/>
      <c r="F16" s="12"/>
      <c r="G16" s="12"/>
      <c r="H16" s="12"/>
      <c r="I16" s="12"/>
      <c r="J16" s="12"/>
      <c r="K16" s="12"/>
      <c r="L16" s="12"/>
      <c r="M16" s="12"/>
      <c r="N16" s="12"/>
      <c r="O16" s="12"/>
      <c r="P16" s="12"/>
      <c r="Q16" s="12"/>
      <c r="R16" s="25"/>
      <c r="S16" s="12"/>
      <c r="T16" s="12"/>
      <c r="U16" s="12"/>
      <c r="V16" s="12"/>
      <c r="W16" s="12"/>
      <c r="X16" s="12"/>
    </row>
    <row r="17" spans="1:26">
      <c r="A17" s="10">
        <v>3</v>
      </c>
      <c r="B17" s="11" t="s">
        <v>38</v>
      </c>
      <c r="C17" s="12"/>
      <c r="D17" s="12"/>
      <c r="E17" s="13"/>
      <c r="F17" s="12"/>
      <c r="G17" s="12"/>
      <c r="H17" s="12"/>
      <c r="I17" s="12"/>
      <c r="J17" s="12"/>
      <c r="K17" s="12"/>
      <c r="L17" s="12"/>
      <c r="M17" s="12"/>
      <c r="N17" s="12"/>
      <c r="O17" s="12"/>
      <c r="P17" s="12"/>
      <c r="Q17" s="12"/>
      <c r="R17" s="25"/>
      <c r="S17" s="12"/>
      <c r="T17" s="12"/>
      <c r="U17" s="12"/>
      <c r="V17" s="12"/>
      <c r="W17" s="12"/>
      <c r="X17" s="12"/>
    </row>
    <row r="18" spans="1:26">
      <c r="A18" s="17"/>
      <c r="B18" s="18" t="s">
        <v>22</v>
      </c>
      <c r="C18" s="12" t="s">
        <v>39</v>
      </c>
      <c r="D18" s="19" t="s">
        <v>33</v>
      </c>
      <c r="E18" s="20"/>
      <c r="F18" s="29">
        <v>75300</v>
      </c>
      <c r="G18" s="29">
        <v>25100</v>
      </c>
      <c r="H18" s="29">
        <v>64700</v>
      </c>
      <c r="I18" s="29">
        <v>319500</v>
      </c>
      <c r="J18" s="29">
        <v>94300</v>
      </c>
      <c r="K18" s="29">
        <v>31500</v>
      </c>
      <c r="L18" s="29">
        <v>20100</v>
      </c>
      <c r="M18" s="29">
        <v>5200</v>
      </c>
      <c r="N18" s="29">
        <v>18400</v>
      </c>
      <c r="O18" s="29">
        <v>17700</v>
      </c>
      <c r="P18" s="29">
        <v>18200</v>
      </c>
      <c r="Q18" s="29">
        <v>75300</v>
      </c>
      <c r="R18" s="89">
        <f>SUM(F18:Q18)</f>
        <v>765300</v>
      </c>
      <c r="S18" s="29">
        <v>12500</v>
      </c>
      <c r="T18" s="29">
        <v>19900</v>
      </c>
      <c r="U18" s="29">
        <v>22200</v>
      </c>
      <c r="V18" s="29">
        <v>20400</v>
      </c>
      <c r="W18" s="29">
        <v>183400</v>
      </c>
      <c r="X18" s="29">
        <v>122100</v>
      </c>
      <c r="Z18" t="s">
        <v>40</v>
      </c>
    </row>
    <row r="19" spans="1:26">
      <c r="A19" s="17"/>
      <c r="B19" s="18" t="s">
        <v>25</v>
      </c>
      <c r="C19" s="12" t="s">
        <v>41</v>
      </c>
      <c r="D19" s="19" t="s">
        <v>35</v>
      </c>
      <c r="E19" s="20"/>
      <c r="F19" s="23">
        <v>8.2500000000000004E-2</v>
      </c>
      <c r="G19" s="23">
        <v>0.32519999999999999</v>
      </c>
      <c r="H19" s="23">
        <v>0.16470000000000001</v>
      </c>
      <c r="I19" s="23">
        <v>0.27329999999999999</v>
      </c>
      <c r="J19" s="23">
        <v>7.0699999999999999E-2</v>
      </c>
      <c r="K19" s="23">
        <v>2.0199999999999999E-2</v>
      </c>
      <c r="L19" s="23">
        <v>6.7400000000000002E-2</v>
      </c>
      <c r="M19" s="23">
        <v>7.0099999999999996E-2</v>
      </c>
      <c r="N19" s="23">
        <v>0.10100000000000001</v>
      </c>
      <c r="O19" s="23">
        <v>2.3599999999999999E-2</v>
      </c>
      <c r="P19" s="23">
        <v>7.0300000000000001E-2</v>
      </c>
      <c r="Q19" s="23">
        <v>4.6100000000000002E-2</v>
      </c>
      <c r="R19" s="27">
        <f>SUM(F19:Q19)</f>
        <v>1.3151000000000002</v>
      </c>
      <c r="S19" s="23">
        <v>0.12570000000000001</v>
      </c>
      <c r="T19" s="23">
        <v>0.12709999999999999</v>
      </c>
      <c r="U19" s="23">
        <v>0.1115</v>
      </c>
      <c r="V19" s="23">
        <v>8.09E-2</v>
      </c>
      <c r="W19" s="23">
        <v>8.5099999999999995E-2</v>
      </c>
      <c r="X19" s="23">
        <v>0.18410000000000001</v>
      </c>
      <c r="Z19" t="s">
        <v>42</v>
      </c>
    </row>
    <row r="20" spans="1:26">
      <c r="A20" s="17"/>
      <c r="B20" s="18" t="s">
        <v>27</v>
      </c>
      <c r="C20" s="12" t="s">
        <v>43</v>
      </c>
      <c r="D20" s="19" t="s">
        <v>44</v>
      </c>
      <c r="E20" s="20"/>
      <c r="F20" s="12"/>
      <c r="G20" s="12"/>
      <c r="H20" s="12"/>
      <c r="I20" s="12"/>
      <c r="J20" s="12"/>
      <c r="K20" s="12"/>
      <c r="L20" s="12"/>
      <c r="M20" s="12"/>
      <c r="N20" s="12"/>
      <c r="O20" s="12"/>
      <c r="P20" s="12"/>
      <c r="Q20" s="12"/>
      <c r="R20" s="25"/>
      <c r="S20" s="12"/>
      <c r="T20" s="12"/>
      <c r="U20" s="12"/>
      <c r="V20" s="12"/>
      <c r="W20" s="12"/>
      <c r="X20" s="12"/>
    </row>
    <row r="21" spans="1:26">
      <c r="A21" s="21"/>
      <c r="B21" s="18" t="s">
        <v>29</v>
      </c>
      <c r="C21" s="12" t="s">
        <v>45</v>
      </c>
      <c r="D21" s="19" t="s">
        <v>46</v>
      </c>
      <c r="E21" s="13"/>
      <c r="F21" s="12">
        <v>0.26</v>
      </c>
      <c r="G21" s="12">
        <v>0.06</v>
      </c>
      <c r="H21" s="12">
        <v>0.43</v>
      </c>
      <c r="I21" s="12">
        <v>0.1</v>
      </c>
      <c r="J21" s="12">
        <v>0.11</v>
      </c>
      <c r="K21" s="12">
        <v>0.25</v>
      </c>
      <c r="L21" s="12">
        <v>0.11</v>
      </c>
      <c r="M21" s="12">
        <v>0.46</v>
      </c>
      <c r="N21" s="12">
        <v>0.1</v>
      </c>
      <c r="O21" s="12">
        <v>0.21</v>
      </c>
      <c r="P21" s="12">
        <v>0.24</v>
      </c>
      <c r="Q21" s="12">
        <v>0.16</v>
      </c>
      <c r="R21" s="25">
        <f>SUM(F21:Q21)</f>
        <v>2.4900000000000002</v>
      </c>
      <c r="S21" s="12">
        <v>0.12</v>
      </c>
      <c r="T21" s="12">
        <v>0.06</v>
      </c>
      <c r="U21" s="12">
        <v>0.08</v>
      </c>
      <c r="V21" s="41">
        <v>0.11</v>
      </c>
      <c r="W21" s="41">
        <v>0.09</v>
      </c>
      <c r="X21" s="41">
        <v>0.05</v>
      </c>
    </row>
    <row r="22" spans="1:26">
      <c r="A22" s="10">
        <v>4</v>
      </c>
      <c r="B22" s="11" t="s">
        <v>47</v>
      </c>
      <c r="C22" s="12"/>
      <c r="D22" s="12"/>
      <c r="E22" s="13"/>
      <c r="F22" s="12"/>
      <c r="G22" s="12"/>
      <c r="H22" s="12"/>
      <c r="I22" s="12"/>
      <c r="J22" s="12"/>
      <c r="K22" s="12"/>
      <c r="L22" s="12"/>
      <c r="M22" s="12"/>
      <c r="N22" s="12"/>
      <c r="O22" s="12"/>
      <c r="P22" s="12"/>
      <c r="Q22" s="12"/>
      <c r="R22" s="25"/>
      <c r="S22" s="12"/>
      <c r="T22" s="12"/>
      <c r="U22" s="12"/>
      <c r="V22" s="12"/>
      <c r="W22" s="12"/>
      <c r="X22" s="12"/>
    </row>
    <row r="23" spans="1:26">
      <c r="A23" s="17"/>
      <c r="B23" s="105" t="s">
        <v>22</v>
      </c>
      <c r="C23" s="105" t="s">
        <v>48</v>
      </c>
      <c r="D23" s="102" t="s">
        <v>33</v>
      </c>
      <c r="E23" s="20" t="s">
        <v>65</v>
      </c>
      <c r="F23" s="12">
        <v>19</v>
      </c>
      <c r="G23" s="12">
        <v>14</v>
      </c>
      <c r="H23" s="12">
        <v>6</v>
      </c>
      <c r="I23" s="12">
        <v>26</v>
      </c>
      <c r="J23" s="12">
        <v>16</v>
      </c>
      <c r="K23" s="12">
        <v>12</v>
      </c>
      <c r="L23" s="12">
        <v>28</v>
      </c>
      <c r="M23" s="12">
        <v>21</v>
      </c>
      <c r="N23" s="12">
        <v>10</v>
      </c>
      <c r="O23" s="12">
        <v>14</v>
      </c>
      <c r="P23" s="12">
        <v>8</v>
      </c>
      <c r="Q23" s="12">
        <v>10</v>
      </c>
      <c r="R23" s="25">
        <f>SUM(F23:Q23)</f>
        <v>184</v>
      </c>
      <c r="S23" s="12">
        <v>13</v>
      </c>
      <c r="T23" s="12">
        <v>16</v>
      </c>
      <c r="U23" s="12">
        <v>21</v>
      </c>
      <c r="V23" s="12">
        <v>10</v>
      </c>
      <c r="W23" s="12">
        <v>13</v>
      </c>
      <c r="X23" s="12">
        <v>16</v>
      </c>
    </row>
    <row r="24" spans="1:26">
      <c r="A24" s="17"/>
      <c r="B24" s="106"/>
      <c r="C24" s="106"/>
      <c r="D24" s="103"/>
      <c r="E24" s="20" t="s">
        <v>50</v>
      </c>
      <c r="F24" s="12">
        <v>2</v>
      </c>
      <c r="G24" s="12">
        <v>3</v>
      </c>
      <c r="H24" s="12">
        <v>0</v>
      </c>
      <c r="I24" s="12">
        <v>2</v>
      </c>
      <c r="J24" s="12">
        <v>1</v>
      </c>
      <c r="K24" s="12">
        <v>1</v>
      </c>
      <c r="L24" s="12">
        <v>4</v>
      </c>
      <c r="M24" s="12">
        <v>0</v>
      </c>
      <c r="N24" s="12">
        <v>0</v>
      </c>
      <c r="O24" s="12">
        <v>0</v>
      </c>
      <c r="P24" s="12">
        <v>0</v>
      </c>
      <c r="Q24" s="12">
        <v>0</v>
      </c>
      <c r="R24" s="25">
        <f>SUM(F24:Q24)</f>
        <v>13</v>
      </c>
      <c r="S24" s="12">
        <v>2</v>
      </c>
      <c r="T24" s="12">
        <v>0</v>
      </c>
      <c r="U24" s="12">
        <v>0</v>
      </c>
      <c r="V24" s="12">
        <v>1</v>
      </c>
      <c r="W24" s="12">
        <v>1</v>
      </c>
      <c r="X24" s="12">
        <v>2</v>
      </c>
    </row>
    <row r="25" spans="1:26">
      <c r="A25" s="17"/>
      <c r="B25" s="106"/>
      <c r="C25" s="106"/>
      <c r="D25" s="103"/>
      <c r="E25" s="20" t="s">
        <v>51</v>
      </c>
      <c r="F25" s="12">
        <v>2</v>
      </c>
      <c r="G25" s="12">
        <v>0</v>
      </c>
      <c r="H25" s="12">
        <v>0</v>
      </c>
      <c r="I25" s="12">
        <v>4</v>
      </c>
      <c r="J25" s="12">
        <v>0</v>
      </c>
      <c r="K25" s="12">
        <v>10</v>
      </c>
      <c r="L25" s="12">
        <v>8</v>
      </c>
      <c r="M25" s="12">
        <v>1</v>
      </c>
      <c r="N25" s="12">
        <v>0</v>
      </c>
      <c r="O25" s="12">
        <v>1</v>
      </c>
      <c r="P25" s="12">
        <v>0</v>
      </c>
      <c r="Q25" s="12">
        <v>5</v>
      </c>
      <c r="R25" s="25">
        <f>SUM(F25:Q25)</f>
        <v>31</v>
      </c>
      <c r="S25" s="12">
        <v>1</v>
      </c>
      <c r="T25" s="12">
        <v>1</v>
      </c>
      <c r="U25" s="12">
        <v>0</v>
      </c>
      <c r="V25" s="12">
        <v>0</v>
      </c>
      <c r="W25" s="12">
        <v>1</v>
      </c>
      <c r="X25" s="12">
        <v>0</v>
      </c>
    </row>
    <row r="26" spans="1:26">
      <c r="A26" s="17"/>
      <c r="B26" s="107"/>
      <c r="C26" s="107"/>
      <c r="D26" s="104"/>
      <c r="E26" s="20" t="s">
        <v>52</v>
      </c>
      <c r="F26" s="12">
        <v>0</v>
      </c>
      <c r="G26" s="12">
        <v>0</v>
      </c>
      <c r="H26" s="12">
        <v>0</v>
      </c>
      <c r="I26" s="12">
        <v>0</v>
      </c>
      <c r="J26" s="12">
        <v>0</v>
      </c>
      <c r="K26" s="12">
        <v>0</v>
      </c>
      <c r="L26" s="12">
        <v>0</v>
      </c>
      <c r="M26" s="12">
        <v>0</v>
      </c>
      <c r="N26" s="12">
        <v>0</v>
      </c>
      <c r="O26" s="12">
        <v>0</v>
      </c>
      <c r="P26" s="12">
        <v>0</v>
      </c>
      <c r="Q26" s="12">
        <v>0</v>
      </c>
      <c r="R26" s="25">
        <f>SUM(F26:Q26)</f>
        <v>0</v>
      </c>
      <c r="S26" s="12">
        <v>2</v>
      </c>
      <c r="T26" s="12">
        <v>0</v>
      </c>
      <c r="U26" s="12">
        <v>0</v>
      </c>
      <c r="V26" s="12">
        <v>0</v>
      </c>
      <c r="W26" s="12">
        <v>0</v>
      </c>
      <c r="X26" s="12">
        <v>0</v>
      </c>
    </row>
    <row r="27" spans="1:26">
      <c r="A27" s="17"/>
      <c r="B27" s="18" t="s">
        <v>25</v>
      </c>
      <c r="C27" s="12" t="s">
        <v>53</v>
      </c>
      <c r="D27" s="19" t="s">
        <v>33</v>
      </c>
      <c r="E27" s="20"/>
      <c r="F27" s="12"/>
      <c r="G27" s="12"/>
      <c r="H27" s="12"/>
      <c r="I27" s="12"/>
      <c r="J27" s="12"/>
      <c r="K27" s="12"/>
      <c r="L27" s="12"/>
      <c r="M27" s="12"/>
      <c r="N27" s="12"/>
      <c r="O27" s="12"/>
      <c r="P27" s="12"/>
      <c r="Q27" s="12"/>
      <c r="R27" s="25"/>
      <c r="S27" s="12"/>
      <c r="T27" s="12"/>
      <c r="U27" s="12"/>
      <c r="V27" s="12"/>
      <c r="W27" s="12"/>
      <c r="X27" s="12"/>
    </row>
    <row r="28" spans="1:26">
      <c r="A28" s="17"/>
      <c r="B28" s="18" t="s">
        <v>27</v>
      </c>
      <c r="C28" s="12" t="s">
        <v>54</v>
      </c>
      <c r="D28" s="19" t="s">
        <v>33</v>
      </c>
      <c r="E28" s="20"/>
      <c r="F28" s="12"/>
      <c r="G28" s="12"/>
      <c r="H28" s="12"/>
      <c r="I28" s="12"/>
      <c r="J28" s="12"/>
      <c r="K28" s="12"/>
      <c r="L28" s="12"/>
      <c r="M28" s="12"/>
      <c r="N28" s="12"/>
      <c r="O28" s="12"/>
      <c r="P28" s="12"/>
      <c r="Q28" s="12"/>
      <c r="R28" s="25"/>
      <c r="S28" s="12"/>
      <c r="T28" s="12"/>
      <c r="U28" s="12"/>
      <c r="V28" s="12"/>
      <c r="W28" s="12"/>
      <c r="X28" s="12"/>
    </row>
    <row r="29" spans="1:26">
      <c r="A29" s="17"/>
      <c r="B29" s="18" t="s">
        <v>29</v>
      </c>
      <c r="C29" s="12" t="s">
        <v>55</v>
      </c>
      <c r="D29" s="19" t="s">
        <v>33</v>
      </c>
      <c r="E29" s="20"/>
      <c r="F29" s="12"/>
      <c r="G29" s="12"/>
      <c r="H29" s="12"/>
      <c r="I29" s="12"/>
      <c r="J29" s="12"/>
      <c r="K29" s="12"/>
      <c r="L29" s="12"/>
      <c r="M29" s="12"/>
      <c r="N29" s="12"/>
      <c r="O29" s="12"/>
      <c r="P29" s="12"/>
      <c r="Q29" s="12"/>
      <c r="R29" s="25"/>
      <c r="S29" s="12"/>
      <c r="T29" s="12"/>
      <c r="U29" s="12"/>
      <c r="V29" s="12"/>
      <c r="W29" s="12"/>
      <c r="X29" s="12"/>
    </row>
    <row r="30" spans="1:26">
      <c r="A30" s="17"/>
      <c r="B30" s="19" t="s">
        <v>56</v>
      </c>
      <c r="C30" s="12" t="s">
        <v>57</v>
      </c>
      <c r="D30" s="19" t="s">
        <v>35</v>
      </c>
      <c r="E30" s="20"/>
      <c r="F30" s="12"/>
      <c r="G30" s="12"/>
      <c r="H30" s="12"/>
      <c r="I30" s="12"/>
      <c r="J30" s="12"/>
      <c r="K30" s="12"/>
      <c r="L30" s="12"/>
      <c r="M30" s="12"/>
      <c r="N30" s="12"/>
      <c r="O30" s="12"/>
      <c r="P30" s="12"/>
      <c r="Q30" s="12"/>
      <c r="R30" s="25"/>
      <c r="S30" s="12"/>
      <c r="T30" s="12"/>
      <c r="U30" s="12"/>
      <c r="V30" s="12"/>
      <c r="W30" s="12"/>
      <c r="X30" s="12"/>
    </row>
    <row r="31" spans="1:26">
      <c r="A31" s="21"/>
      <c r="B31" s="19" t="s">
        <v>58</v>
      </c>
      <c r="C31" s="12" t="s">
        <v>59</v>
      </c>
      <c r="D31" s="19" t="s">
        <v>60</v>
      </c>
      <c r="E31" s="20"/>
      <c r="F31" s="12"/>
      <c r="G31" s="12"/>
      <c r="H31" s="12"/>
      <c r="I31" s="12"/>
      <c r="J31" s="12"/>
      <c r="K31" s="12"/>
      <c r="L31" s="12"/>
      <c r="M31" s="12"/>
      <c r="N31" s="12"/>
      <c r="O31" s="12"/>
      <c r="P31" s="12"/>
      <c r="Q31" s="12"/>
      <c r="R31" s="25"/>
      <c r="S31" s="12"/>
      <c r="T31" s="12"/>
      <c r="U31" s="12"/>
      <c r="V31" s="12"/>
      <c r="W31" s="12"/>
      <c r="X31" s="12"/>
    </row>
    <row r="32" spans="1:26">
      <c r="D32" s="4"/>
      <c r="E32" s="9"/>
    </row>
  </sheetData>
  <mergeCells count="9">
    <mergeCell ref="C23:C26"/>
    <mergeCell ref="B23:B26"/>
    <mergeCell ref="D23:D26"/>
    <mergeCell ref="S6:X6"/>
    <mergeCell ref="A6:A7"/>
    <mergeCell ref="B6:C7"/>
    <mergeCell ref="D6:D7"/>
    <mergeCell ref="E6:E7"/>
    <mergeCell ref="F6:R6"/>
  </mergeCells>
  <pageMargins left="0.70866141732283472" right="0.70866141732283472" top="0.74803149606299213" bottom="0.74803149606299213" header="0.31496062992125984" footer="0.31496062992125984"/>
  <pageSetup paperSize="9" scale="5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C842B-0B80-4649-84A5-8B3CD165B634}">
  <dimension ref="A1:BA113"/>
  <sheetViews>
    <sheetView topLeftCell="E1" workbookViewId="0">
      <selection activeCell="Y12" sqref="Y12"/>
    </sheetView>
  </sheetViews>
  <sheetFormatPr defaultRowHeight="16.5"/>
  <cols>
    <col min="1" max="1" width="3.125" bestFit="1" customWidth="1"/>
    <col min="2" max="2" width="1.875" bestFit="1" customWidth="1"/>
    <col min="3" max="3" width="35.125" customWidth="1"/>
    <col min="4" max="4" width="34.125" customWidth="1"/>
    <col min="5" max="5" width="50.375" customWidth="1"/>
  </cols>
  <sheetData>
    <row r="1" spans="1:53">
      <c r="A1" s="46" t="s">
        <v>3</v>
      </c>
      <c r="B1" s="143" t="s">
        <v>66</v>
      </c>
      <c r="C1" s="143"/>
      <c r="D1" s="143"/>
      <c r="E1" s="68" t="s">
        <v>67</v>
      </c>
      <c r="F1" s="69">
        <v>45658</v>
      </c>
      <c r="G1" s="69">
        <v>45689</v>
      </c>
      <c r="H1" s="69">
        <v>45717</v>
      </c>
      <c r="I1" s="69">
        <v>45748</v>
      </c>
      <c r="J1" s="69">
        <v>45778</v>
      </c>
      <c r="K1" s="69">
        <v>45809</v>
      </c>
      <c r="L1" s="69">
        <v>45839</v>
      </c>
      <c r="M1" s="69">
        <v>45870</v>
      </c>
      <c r="N1" s="69">
        <v>45901</v>
      </c>
      <c r="O1" s="69">
        <v>45931</v>
      </c>
      <c r="P1" s="69">
        <v>45962</v>
      </c>
      <c r="Q1" s="69">
        <v>45992</v>
      </c>
      <c r="R1" s="69">
        <v>46023</v>
      </c>
      <c r="S1" s="69">
        <v>46054</v>
      </c>
      <c r="T1" s="69">
        <v>46082</v>
      </c>
      <c r="U1" s="69">
        <v>46113</v>
      </c>
      <c r="V1" s="69">
        <v>46143</v>
      </c>
      <c r="W1" s="69">
        <v>46174</v>
      </c>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c r="AX1" s="47"/>
      <c r="AY1" s="47"/>
      <c r="BA1" s="48"/>
    </row>
    <row r="2" spans="1:53">
      <c r="A2" s="70">
        <v>1</v>
      </c>
      <c r="B2" s="143" t="s">
        <v>68</v>
      </c>
      <c r="C2" s="143"/>
      <c r="D2" s="143"/>
      <c r="E2" s="59" t="s">
        <v>69</v>
      </c>
      <c r="F2" s="71">
        <f>SUM(F3:F6)</f>
        <v>453639</v>
      </c>
      <c r="G2" s="71">
        <f t="shared" ref="G2:W2" si="0">SUM(G3:G6)</f>
        <v>281302</v>
      </c>
      <c r="H2" s="71">
        <f t="shared" si="0"/>
        <v>68929</v>
      </c>
      <c r="I2" s="71">
        <f t="shared" si="0"/>
        <v>387606</v>
      </c>
      <c r="J2" s="71">
        <f t="shared" si="0"/>
        <v>336253</v>
      </c>
      <c r="K2" s="71">
        <f t="shared" si="0"/>
        <v>369979</v>
      </c>
      <c r="L2" s="71">
        <f t="shared" si="0"/>
        <v>412770</v>
      </c>
      <c r="M2" s="71">
        <f t="shared" si="0"/>
        <v>250523</v>
      </c>
      <c r="N2" s="71">
        <f t="shared" si="0"/>
        <v>229843</v>
      </c>
      <c r="O2" s="71">
        <f t="shared" si="0"/>
        <v>241379</v>
      </c>
      <c r="P2" s="71">
        <f t="shared" si="0"/>
        <v>244007</v>
      </c>
      <c r="Q2" s="71">
        <f t="shared" si="0"/>
        <v>474408</v>
      </c>
      <c r="R2" s="71">
        <f t="shared" si="0"/>
        <v>322284</v>
      </c>
      <c r="S2" s="71">
        <f t="shared" si="0"/>
        <v>168909</v>
      </c>
      <c r="T2" s="71">
        <f t="shared" si="0"/>
        <v>262443</v>
      </c>
      <c r="U2" s="71">
        <f t="shared" si="0"/>
        <v>256150</v>
      </c>
      <c r="V2" s="71">
        <f t="shared" si="0"/>
        <v>383909</v>
      </c>
      <c r="W2" s="71">
        <f t="shared" si="0"/>
        <v>413329</v>
      </c>
      <c r="X2" s="47"/>
      <c r="Y2" s="47"/>
      <c r="Z2" s="47"/>
      <c r="AA2" s="47"/>
      <c r="AB2" s="47"/>
      <c r="AC2" s="47"/>
      <c r="AD2" s="47"/>
      <c r="AE2" s="47"/>
      <c r="AF2" s="47"/>
      <c r="AG2" s="47"/>
      <c r="AH2" s="47"/>
      <c r="AI2" s="47"/>
      <c r="AJ2" s="47"/>
      <c r="AK2" s="47"/>
      <c r="AL2" s="47"/>
      <c r="AM2" s="47"/>
      <c r="AN2" s="47"/>
      <c r="AO2" s="47"/>
      <c r="AP2" s="47"/>
      <c r="AQ2" s="47"/>
      <c r="AR2" s="47"/>
      <c r="AS2" s="47"/>
      <c r="AT2" s="47"/>
      <c r="AU2" s="47"/>
      <c r="AV2" s="47"/>
      <c r="AW2" s="47"/>
      <c r="AX2" s="47"/>
      <c r="AY2" s="47"/>
    </row>
    <row r="3" spans="1:53">
      <c r="A3" s="60"/>
      <c r="B3" s="60"/>
      <c r="C3" s="115" t="s">
        <v>70</v>
      </c>
      <c r="D3" s="115"/>
      <c r="E3" s="60"/>
      <c r="F3" s="61">
        <v>128957</v>
      </c>
      <c r="G3" s="61">
        <v>67427</v>
      </c>
      <c r="H3" s="61">
        <v>31120</v>
      </c>
      <c r="I3" s="61">
        <v>129432</v>
      </c>
      <c r="J3" s="61">
        <v>92067</v>
      </c>
      <c r="K3" s="61">
        <v>124937</v>
      </c>
      <c r="L3" s="61">
        <v>141627</v>
      </c>
      <c r="M3" s="61">
        <v>91970</v>
      </c>
      <c r="N3" s="61">
        <v>74228</v>
      </c>
      <c r="O3" s="61">
        <v>71159</v>
      </c>
      <c r="P3" s="61">
        <v>76409</v>
      </c>
      <c r="Q3" s="61">
        <v>138113</v>
      </c>
      <c r="R3" s="61">
        <v>86434</v>
      </c>
      <c r="S3" s="61">
        <v>50961</v>
      </c>
      <c r="T3" s="61">
        <v>89033</v>
      </c>
      <c r="U3" s="61">
        <v>59039</v>
      </c>
      <c r="V3" s="61">
        <v>95451</v>
      </c>
      <c r="W3" s="61">
        <v>116195</v>
      </c>
      <c r="X3" s="62"/>
      <c r="Y3" s="62"/>
      <c r="Z3" s="62"/>
      <c r="AA3" s="62"/>
      <c r="AB3" s="62"/>
      <c r="AC3" s="62"/>
      <c r="AD3" s="47"/>
      <c r="AE3" s="47"/>
      <c r="AF3" s="47"/>
      <c r="AG3" s="47"/>
      <c r="AH3" s="47"/>
      <c r="AI3" s="47"/>
      <c r="AJ3" s="47"/>
      <c r="AK3" s="47"/>
      <c r="AL3" s="47"/>
      <c r="AM3" s="47"/>
      <c r="AN3" s="47"/>
      <c r="AO3" s="47"/>
      <c r="AP3" s="47"/>
      <c r="AQ3" s="47"/>
      <c r="AR3" s="47"/>
      <c r="AS3" s="47"/>
      <c r="AT3" s="47"/>
      <c r="AU3" s="47"/>
      <c r="AV3" s="47"/>
      <c r="AW3" s="47"/>
      <c r="AX3" s="47"/>
      <c r="AY3" s="47"/>
    </row>
    <row r="4" spans="1:53">
      <c r="A4" s="60"/>
      <c r="B4" s="60"/>
      <c r="C4" s="115" t="s">
        <v>71</v>
      </c>
      <c r="D4" s="115"/>
      <c r="E4" s="60"/>
      <c r="F4" s="61">
        <v>302035</v>
      </c>
      <c r="G4" s="61">
        <v>196094</v>
      </c>
      <c r="H4" s="61">
        <v>33288</v>
      </c>
      <c r="I4" s="61">
        <v>236462</v>
      </c>
      <c r="J4" s="61">
        <v>215811</v>
      </c>
      <c r="K4" s="61">
        <v>222054</v>
      </c>
      <c r="L4" s="61">
        <v>244796</v>
      </c>
      <c r="M4" s="61">
        <v>138163</v>
      </c>
      <c r="N4" s="61">
        <v>137227</v>
      </c>
      <c r="O4" s="61">
        <v>150496</v>
      </c>
      <c r="P4" s="61">
        <v>150782</v>
      </c>
      <c r="Q4" s="61">
        <v>308084</v>
      </c>
      <c r="R4" s="61">
        <v>214389</v>
      </c>
      <c r="S4" s="61">
        <v>105895</v>
      </c>
      <c r="T4" s="61">
        <v>159109</v>
      </c>
      <c r="U4" s="61">
        <v>176451</v>
      </c>
      <c r="V4" s="61">
        <v>261511</v>
      </c>
      <c r="W4" s="61">
        <v>270901</v>
      </c>
      <c r="X4" s="62"/>
      <c r="Y4" s="62"/>
      <c r="Z4" s="62"/>
      <c r="AA4" s="62"/>
      <c r="AB4" s="62"/>
      <c r="AC4" s="62"/>
      <c r="AD4" s="47"/>
      <c r="AE4" s="47"/>
      <c r="AF4" s="47"/>
      <c r="AG4" s="47"/>
      <c r="AH4" s="47"/>
      <c r="AI4" s="47"/>
      <c r="AJ4" s="47"/>
      <c r="AK4" s="47"/>
      <c r="AL4" s="47"/>
      <c r="AM4" s="47"/>
      <c r="AN4" s="47"/>
      <c r="AO4" s="47"/>
      <c r="AP4" s="47"/>
      <c r="AQ4" s="47"/>
      <c r="AR4" s="47"/>
      <c r="AS4" s="47"/>
      <c r="AT4" s="47"/>
      <c r="AU4" s="47"/>
      <c r="AV4" s="47"/>
      <c r="AW4" s="47"/>
      <c r="AX4" s="47"/>
      <c r="AY4" s="47"/>
    </row>
    <row r="5" spans="1:53">
      <c r="A5" s="60"/>
      <c r="B5" s="60"/>
      <c r="C5" s="115" t="s">
        <v>72</v>
      </c>
      <c r="D5" s="115"/>
      <c r="E5" s="60"/>
      <c r="F5" s="61">
        <v>14131</v>
      </c>
      <c r="G5" s="61">
        <v>6405</v>
      </c>
      <c r="H5" s="61">
        <v>3138</v>
      </c>
      <c r="I5" s="61">
        <v>12128</v>
      </c>
      <c r="J5" s="61">
        <v>11770</v>
      </c>
      <c r="K5" s="61">
        <v>13064</v>
      </c>
      <c r="L5" s="61">
        <v>12591</v>
      </c>
      <c r="M5" s="61">
        <v>8432</v>
      </c>
      <c r="N5" s="61">
        <v>8299</v>
      </c>
      <c r="O5" s="61">
        <v>7008</v>
      </c>
      <c r="P5" s="61">
        <v>7144</v>
      </c>
      <c r="Q5" s="61">
        <v>13752</v>
      </c>
      <c r="R5" s="61">
        <v>8470</v>
      </c>
      <c r="S5" s="61">
        <v>5019</v>
      </c>
      <c r="T5" s="61">
        <v>8003</v>
      </c>
      <c r="U5" s="61">
        <v>5867</v>
      </c>
      <c r="V5" s="61">
        <v>9933</v>
      </c>
      <c r="W5" s="61">
        <v>10349</v>
      </c>
      <c r="X5" s="62"/>
      <c r="Y5" s="62"/>
      <c r="Z5" s="62"/>
      <c r="AA5" s="62"/>
      <c r="AB5" s="62"/>
      <c r="AC5" s="62"/>
      <c r="AD5" s="47"/>
      <c r="AE5" s="47"/>
      <c r="AF5" s="47"/>
      <c r="AG5" s="47"/>
      <c r="AH5" s="47"/>
      <c r="AI5" s="47"/>
      <c r="AJ5" s="47"/>
      <c r="AK5" s="47"/>
      <c r="AL5" s="47"/>
      <c r="AM5" s="47"/>
      <c r="AN5" s="47"/>
      <c r="AO5" s="47"/>
      <c r="AP5" s="47"/>
      <c r="AQ5" s="47"/>
      <c r="AR5" s="47"/>
      <c r="AS5" s="47"/>
      <c r="AT5" s="47"/>
      <c r="AU5" s="47"/>
      <c r="AV5" s="47"/>
      <c r="AW5" s="47"/>
      <c r="AX5" s="47"/>
      <c r="AY5" s="47"/>
    </row>
    <row r="6" spans="1:53">
      <c r="A6" s="60"/>
      <c r="B6" s="60"/>
      <c r="C6" s="115" t="s">
        <v>73</v>
      </c>
      <c r="D6" s="115"/>
      <c r="E6" s="60"/>
      <c r="F6" s="61">
        <v>8516</v>
      </c>
      <c r="G6" s="61">
        <v>11376</v>
      </c>
      <c r="H6" s="61">
        <v>1383</v>
      </c>
      <c r="I6" s="61">
        <v>9584</v>
      </c>
      <c r="J6" s="61">
        <v>16605</v>
      </c>
      <c r="K6" s="61">
        <v>9924</v>
      </c>
      <c r="L6" s="61">
        <v>13756</v>
      </c>
      <c r="M6" s="61">
        <v>11958</v>
      </c>
      <c r="N6" s="61">
        <v>10089</v>
      </c>
      <c r="O6" s="61">
        <v>12716</v>
      </c>
      <c r="P6" s="61">
        <v>9672</v>
      </c>
      <c r="Q6" s="61">
        <v>14459</v>
      </c>
      <c r="R6" s="61">
        <v>12991</v>
      </c>
      <c r="S6" s="61">
        <v>7034</v>
      </c>
      <c r="T6" s="61">
        <v>6298</v>
      </c>
      <c r="U6" s="61">
        <v>14793</v>
      </c>
      <c r="V6" s="61">
        <v>17014</v>
      </c>
      <c r="W6" s="61">
        <v>15884</v>
      </c>
      <c r="X6" s="62"/>
      <c r="Y6" s="62"/>
      <c r="Z6" s="62"/>
      <c r="AA6" s="62"/>
      <c r="AB6" s="62"/>
      <c r="AC6" s="62"/>
      <c r="AD6" s="47"/>
      <c r="AE6" s="47"/>
      <c r="AF6" s="47"/>
      <c r="AG6" s="47"/>
      <c r="AH6" s="47"/>
      <c r="AI6" s="47"/>
      <c r="AJ6" s="47"/>
      <c r="AK6" s="47"/>
      <c r="AL6" s="47"/>
      <c r="AM6" s="47"/>
      <c r="AN6" s="47"/>
      <c r="AO6" s="47"/>
      <c r="AP6" s="47"/>
      <c r="AQ6" s="47"/>
      <c r="AR6" s="47"/>
      <c r="AS6" s="47"/>
      <c r="AT6" s="47"/>
      <c r="AU6" s="47"/>
      <c r="AV6" s="47"/>
      <c r="AW6" s="47"/>
      <c r="AX6" s="47"/>
      <c r="AY6" s="47"/>
    </row>
    <row r="7" spans="1:53" ht="36">
      <c r="A7" s="70">
        <v>2</v>
      </c>
      <c r="B7" s="143" t="s">
        <v>74</v>
      </c>
      <c r="C7" s="143"/>
      <c r="D7" s="143"/>
      <c r="E7" s="59" t="s">
        <v>75</v>
      </c>
      <c r="F7" s="50">
        <f>SUM(F9:F15)</f>
        <v>1523</v>
      </c>
      <c r="G7" s="50">
        <f t="shared" ref="G7:W7" si="1">SUM(G9:G15)</f>
        <v>930</v>
      </c>
      <c r="H7" s="50">
        <f t="shared" si="1"/>
        <v>512</v>
      </c>
      <c r="I7" s="50">
        <f t="shared" si="1"/>
        <v>1759</v>
      </c>
      <c r="J7" s="50">
        <f t="shared" si="1"/>
        <v>1663</v>
      </c>
      <c r="K7" s="50">
        <f t="shared" si="1"/>
        <v>1222</v>
      </c>
      <c r="L7" s="50">
        <f t="shared" si="1"/>
        <v>1438</v>
      </c>
      <c r="M7" s="50">
        <f t="shared" si="1"/>
        <v>112</v>
      </c>
      <c r="N7" s="50">
        <f t="shared" si="1"/>
        <v>273</v>
      </c>
      <c r="O7" s="50">
        <f t="shared" si="1"/>
        <v>1081</v>
      </c>
      <c r="P7" s="50">
        <f t="shared" si="1"/>
        <v>1232</v>
      </c>
      <c r="Q7" s="50">
        <f t="shared" si="1"/>
        <v>1149</v>
      </c>
      <c r="R7" s="50">
        <f t="shared" si="1"/>
        <v>1920</v>
      </c>
      <c r="S7" s="50">
        <f t="shared" si="1"/>
        <v>1377</v>
      </c>
      <c r="T7" s="50">
        <f t="shared" si="1"/>
        <v>1769</v>
      </c>
      <c r="U7" s="50">
        <f t="shared" si="1"/>
        <v>1751</v>
      </c>
      <c r="V7" s="50">
        <f>SUM(V9:V15)</f>
        <v>2093</v>
      </c>
      <c r="W7" s="50" t="e">
        <f t="shared" si="1"/>
        <v>#VALUE!</v>
      </c>
      <c r="X7" s="47"/>
      <c r="Y7" s="47"/>
      <c r="Z7" s="47"/>
      <c r="AA7" s="47"/>
      <c r="AB7" s="47"/>
      <c r="AC7" s="47"/>
      <c r="AD7" s="47"/>
      <c r="AE7" s="47"/>
      <c r="AF7" s="47"/>
      <c r="AG7" s="47"/>
      <c r="AH7" s="47"/>
      <c r="AI7" s="47"/>
      <c r="AJ7" s="47"/>
      <c r="AK7" s="47"/>
      <c r="AL7" s="47"/>
      <c r="AM7" s="47"/>
      <c r="AN7" s="47"/>
      <c r="AO7" s="47"/>
      <c r="AP7" s="47"/>
      <c r="AQ7" s="47"/>
      <c r="AR7" s="47"/>
      <c r="AS7" s="47"/>
      <c r="AT7" s="47"/>
      <c r="AU7" s="47"/>
      <c r="AV7" s="47"/>
      <c r="AW7" s="47"/>
      <c r="AX7" s="47"/>
      <c r="AY7" s="47"/>
    </row>
    <row r="8" spans="1:53">
      <c r="A8" s="119">
        <v>3</v>
      </c>
      <c r="B8" s="143" t="s">
        <v>76</v>
      </c>
      <c r="C8" s="143"/>
      <c r="D8" s="143"/>
      <c r="E8" s="59" t="s">
        <v>77</v>
      </c>
      <c r="F8" s="50" t="s">
        <v>77</v>
      </c>
      <c r="G8" s="50" t="s">
        <v>77</v>
      </c>
      <c r="H8" s="50" t="s">
        <v>77</v>
      </c>
      <c r="I8" s="50" t="s">
        <v>77</v>
      </c>
      <c r="J8" s="50" t="s">
        <v>77</v>
      </c>
      <c r="K8" s="50" t="s">
        <v>77</v>
      </c>
      <c r="L8" s="50" t="s">
        <v>77</v>
      </c>
      <c r="M8" s="50" t="s">
        <v>77</v>
      </c>
      <c r="N8" s="50" t="s">
        <v>77</v>
      </c>
      <c r="O8" s="50" t="s">
        <v>77</v>
      </c>
      <c r="P8" s="50" t="s">
        <v>77</v>
      </c>
      <c r="Q8" s="50" t="s">
        <v>77</v>
      </c>
      <c r="R8" s="50" t="s">
        <v>77</v>
      </c>
      <c r="S8" s="50" t="s">
        <v>77</v>
      </c>
      <c r="T8" s="50" t="s">
        <v>77</v>
      </c>
      <c r="U8" s="50" t="s">
        <v>77</v>
      </c>
      <c r="V8" s="50"/>
      <c r="W8" s="50"/>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row>
    <row r="9" spans="1:53" ht="16.5" customHeight="1">
      <c r="A9" s="119"/>
      <c r="B9" s="50" t="s">
        <v>78</v>
      </c>
      <c r="C9" s="144" t="s">
        <v>79</v>
      </c>
      <c r="D9" s="144"/>
      <c r="E9" s="123" t="s">
        <v>80</v>
      </c>
      <c r="F9" s="50">
        <f>F17+F24+F31+F38+F45+F52+F59+F66+F73+F80</f>
        <v>15</v>
      </c>
      <c r="G9" s="50">
        <f t="shared" ref="G9:W9" si="2">G17+G24+G31+G38+G45+G52+G59+G66+G73+G80</f>
        <v>8</v>
      </c>
      <c r="H9" s="50">
        <f t="shared" si="2"/>
        <v>4</v>
      </c>
      <c r="I9" s="50">
        <f t="shared" si="2"/>
        <v>16</v>
      </c>
      <c r="J9" s="50">
        <f t="shared" si="2"/>
        <v>10</v>
      </c>
      <c r="K9" s="50">
        <f t="shared" si="2"/>
        <v>14</v>
      </c>
      <c r="L9" s="50">
        <f t="shared" si="2"/>
        <v>25</v>
      </c>
      <c r="M9" s="50">
        <f t="shared" si="2"/>
        <v>25</v>
      </c>
      <c r="N9" s="50">
        <f t="shared" si="2"/>
        <v>6</v>
      </c>
      <c r="O9" s="50">
        <f t="shared" si="2"/>
        <v>25</v>
      </c>
      <c r="P9" s="50">
        <f t="shared" si="2"/>
        <v>17</v>
      </c>
      <c r="Q9" s="50">
        <f t="shared" si="2"/>
        <v>7</v>
      </c>
      <c r="R9" s="50">
        <f t="shared" si="2"/>
        <v>8</v>
      </c>
      <c r="S9" s="50">
        <f t="shared" si="2"/>
        <v>2</v>
      </c>
      <c r="T9" s="50">
        <f t="shared" si="2"/>
        <v>0</v>
      </c>
      <c r="U9" s="50">
        <f t="shared" si="2"/>
        <v>3</v>
      </c>
      <c r="V9" s="50">
        <f>V17+V24+V31+V38+V45+V52+V59+V66+V73+V80</f>
        <v>4</v>
      </c>
      <c r="W9" s="50" t="e">
        <f>W17+W24+W31+W38+W45+W52+W59+W66+W73+W80</f>
        <v>#VALUE!</v>
      </c>
      <c r="X9" s="47"/>
      <c r="Y9" s="47"/>
      <c r="Z9" s="47"/>
      <c r="AA9" s="47"/>
      <c r="AB9" s="47"/>
      <c r="AC9" s="47"/>
      <c r="AD9" s="47"/>
      <c r="AE9" s="47"/>
      <c r="AF9" s="47"/>
      <c r="AG9" s="47"/>
      <c r="AH9" s="47"/>
      <c r="AI9" s="47"/>
      <c r="AJ9" s="47"/>
      <c r="AK9" s="47"/>
      <c r="AL9" s="47"/>
      <c r="AM9" s="47"/>
      <c r="AN9" s="47"/>
      <c r="AO9" s="47"/>
      <c r="AP9" s="47"/>
      <c r="AQ9" s="47"/>
      <c r="AR9" s="47"/>
      <c r="AS9" s="47"/>
      <c r="AT9" s="47"/>
      <c r="AU9" s="47"/>
      <c r="AV9" s="47"/>
      <c r="AW9" s="47"/>
      <c r="AX9" s="47"/>
      <c r="AY9" s="47"/>
    </row>
    <row r="10" spans="1:53">
      <c r="A10" s="119"/>
      <c r="B10" s="50" t="s">
        <v>81</v>
      </c>
      <c r="C10" s="145" t="s">
        <v>82</v>
      </c>
      <c r="D10" s="145"/>
      <c r="E10" s="123"/>
      <c r="F10" s="50">
        <f>F18+F25+F32+F39+F46+F53+F60+F67+F74+F81</f>
        <v>9</v>
      </c>
      <c r="G10" s="50">
        <f t="shared" ref="G10:W10" si="3">G18+G25+G32+G39+G46+G53+G60+G67+G74+G81</f>
        <v>0</v>
      </c>
      <c r="H10" s="50">
        <f t="shared" si="3"/>
        <v>0</v>
      </c>
      <c r="I10" s="50">
        <f t="shared" si="3"/>
        <v>0</v>
      </c>
      <c r="J10" s="50">
        <f t="shared" si="3"/>
        <v>0</v>
      </c>
      <c r="K10" s="50">
        <f t="shared" si="3"/>
        <v>0</v>
      </c>
      <c r="L10" s="50">
        <f t="shared" si="3"/>
        <v>0</v>
      </c>
      <c r="M10" s="50">
        <f t="shared" si="3"/>
        <v>19</v>
      </c>
      <c r="N10" s="50">
        <f t="shared" si="3"/>
        <v>4</v>
      </c>
      <c r="O10" s="50">
        <f t="shared" si="3"/>
        <v>8</v>
      </c>
      <c r="P10" s="50">
        <f t="shared" si="3"/>
        <v>26</v>
      </c>
      <c r="Q10" s="50">
        <f t="shared" si="3"/>
        <v>6</v>
      </c>
      <c r="R10" s="50">
        <f t="shared" si="3"/>
        <v>36</v>
      </c>
      <c r="S10" s="50">
        <f t="shared" si="3"/>
        <v>23</v>
      </c>
      <c r="T10" s="50">
        <f t="shared" si="3"/>
        <v>17</v>
      </c>
      <c r="U10" s="50">
        <f t="shared" si="3"/>
        <v>34</v>
      </c>
      <c r="V10" s="50">
        <f t="shared" si="3"/>
        <v>38</v>
      </c>
      <c r="W10" s="50" t="e">
        <f t="shared" ref="W10" si="4">W18+W25+W32+W39+W46+W53+W60+W67+W74+W81</f>
        <v>#VALUE!</v>
      </c>
      <c r="X10" s="47"/>
      <c r="Y10" s="47"/>
      <c r="Z10" s="47"/>
      <c r="AA10" s="47"/>
      <c r="AB10" s="47"/>
      <c r="AC10" s="47"/>
      <c r="AD10" s="47"/>
      <c r="AE10" s="47"/>
      <c r="AF10" s="47"/>
      <c r="AG10" s="47"/>
      <c r="AH10" s="47"/>
      <c r="AI10" s="47"/>
      <c r="AJ10" s="47"/>
      <c r="AK10" s="47"/>
      <c r="AL10" s="47"/>
      <c r="AM10" s="47"/>
      <c r="AN10" s="47"/>
      <c r="AO10" s="47"/>
      <c r="AP10" s="47"/>
      <c r="AQ10" s="47"/>
      <c r="AR10" s="47"/>
      <c r="AS10" s="47"/>
      <c r="AT10" s="47"/>
      <c r="AU10" s="47"/>
      <c r="AV10" s="47"/>
      <c r="AW10" s="47"/>
      <c r="AX10" s="47"/>
      <c r="AY10" s="47"/>
    </row>
    <row r="11" spans="1:53">
      <c r="A11" s="119"/>
      <c r="B11" s="50" t="s">
        <v>83</v>
      </c>
      <c r="C11" s="144" t="s">
        <v>84</v>
      </c>
      <c r="D11" s="144"/>
      <c r="E11" s="123"/>
      <c r="F11" s="50">
        <f>F19+F26+F33+F40+F47+F54+F61+F68+F75+F82</f>
        <v>0</v>
      </c>
      <c r="G11" s="50">
        <f t="shared" ref="G11:W11" si="5">G19+G26+G33+G40+G47+G54+G61+G68+G75+G82</f>
        <v>0</v>
      </c>
      <c r="H11" s="50">
        <f t="shared" si="5"/>
        <v>0</v>
      </c>
      <c r="I11" s="50">
        <f t="shared" si="5"/>
        <v>0</v>
      </c>
      <c r="J11" s="50">
        <f t="shared" si="5"/>
        <v>0</v>
      </c>
      <c r="K11" s="50">
        <f t="shared" si="5"/>
        <v>0</v>
      </c>
      <c r="L11" s="50">
        <f t="shared" si="5"/>
        <v>0</v>
      </c>
      <c r="M11" s="50">
        <f t="shared" si="5"/>
        <v>0</v>
      </c>
      <c r="N11" s="50">
        <f t="shared" si="5"/>
        <v>0</v>
      </c>
      <c r="O11" s="50">
        <f t="shared" si="5"/>
        <v>0</v>
      </c>
      <c r="P11" s="50">
        <f t="shared" si="5"/>
        <v>0</v>
      </c>
      <c r="Q11" s="50">
        <f t="shared" si="5"/>
        <v>0</v>
      </c>
      <c r="R11" s="50">
        <f t="shared" si="5"/>
        <v>0</v>
      </c>
      <c r="S11" s="50">
        <f t="shared" si="5"/>
        <v>0</v>
      </c>
      <c r="T11" s="50">
        <f t="shared" si="5"/>
        <v>0</v>
      </c>
      <c r="U11" s="50">
        <f t="shared" si="5"/>
        <v>0</v>
      </c>
      <c r="V11" s="50">
        <f t="shared" si="5"/>
        <v>0</v>
      </c>
      <c r="W11" s="50" t="e">
        <f t="shared" ref="W11" si="6">W19+W26+W33+W40+W47+W54+W61+W68+W75+W82</f>
        <v>#VALUE!</v>
      </c>
      <c r="X11" s="47"/>
      <c r="Y11" s="47"/>
      <c r="Z11" s="47"/>
      <c r="AA11" s="47"/>
      <c r="AB11" s="47"/>
      <c r="AC11" s="47"/>
      <c r="AD11" s="47"/>
      <c r="AE11" s="47"/>
      <c r="AF11" s="47"/>
      <c r="AG11" s="47"/>
      <c r="AH11" s="47"/>
      <c r="AI11" s="47"/>
      <c r="AJ11" s="47"/>
      <c r="AK11" s="47"/>
      <c r="AL11" s="47"/>
      <c r="AM11" s="47"/>
      <c r="AN11" s="47"/>
      <c r="AO11" s="47"/>
      <c r="AP11" s="47"/>
      <c r="AQ11" s="47"/>
      <c r="AR11" s="47"/>
      <c r="AS11" s="47"/>
      <c r="AT11" s="47"/>
      <c r="AU11" s="47"/>
      <c r="AV11" s="47"/>
      <c r="AW11" s="47"/>
      <c r="AX11" s="47"/>
      <c r="AY11" s="47"/>
    </row>
    <row r="12" spans="1:53">
      <c r="A12" s="119"/>
      <c r="B12" s="50" t="s">
        <v>85</v>
      </c>
      <c r="C12" s="144" t="s">
        <v>86</v>
      </c>
      <c r="D12" s="144"/>
      <c r="E12" s="123"/>
      <c r="F12" s="71">
        <f>F20+F27+F34+F41+F48+F55+F62+F69+F76+F83</f>
        <v>1499</v>
      </c>
      <c r="G12" s="71">
        <f t="shared" ref="G12:W12" si="7">G20+G27+G34+G41+G48+G55+G62+G69+G76+G83</f>
        <v>922</v>
      </c>
      <c r="H12" s="71">
        <f t="shared" si="7"/>
        <v>508</v>
      </c>
      <c r="I12" s="71">
        <f t="shared" si="7"/>
        <v>1743</v>
      </c>
      <c r="J12" s="71">
        <f t="shared" si="7"/>
        <v>1653</v>
      </c>
      <c r="K12" s="71">
        <f t="shared" si="7"/>
        <v>1208</v>
      </c>
      <c r="L12" s="71">
        <f t="shared" si="7"/>
        <v>1413</v>
      </c>
      <c r="M12" s="71">
        <f t="shared" si="7"/>
        <v>68</v>
      </c>
      <c r="N12" s="71">
        <f t="shared" si="7"/>
        <v>263</v>
      </c>
      <c r="O12" s="71">
        <f t="shared" si="7"/>
        <v>1048</v>
      </c>
      <c r="P12" s="71">
        <f t="shared" si="7"/>
        <v>1189</v>
      </c>
      <c r="Q12" s="71">
        <f t="shared" si="7"/>
        <v>1136</v>
      </c>
      <c r="R12" s="71">
        <f t="shared" si="7"/>
        <v>1848</v>
      </c>
      <c r="S12" s="71">
        <f t="shared" si="7"/>
        <v>1326</v>
      </c>
      <c r="T12" s="71">
        <f t="shared" si="7"/>
        <v>1692</v>
      </c>
      <c r="U12" s="71">
        <f t="shared" si="7"/>
        <v>1677</v>
      </c>
      <c r="V12" s="71">
        <f t="shared" si="7"/>
        <v>2014</v>
      </c>
      <c r="W12" s="71" t="e">
        <f t="shared" ref="W12" si="8">W20+W27+W34+W41+W48+W55+W62+W69+W76+W83</f>
        <v>#VALUE!</v>
      </c>
      <c r="X12" s="47"/>
      <c r="Y12" s="47"/>
      <c r="Z12" s="47"/>
      <c r="AA12" s="47"/>
      <c r="AB12" s="47"/>
      <c r="AC12" s="47"/>
      <c r="AD12" s="47"/>
      <c r="AE12" s="47"/>
      <c r="AF12" s="47"/>
      <c r="AG12" s="47"/>
      <c r="AH12" s="47"/>
      <c r="AI12" s="47"/>
      <c r="AJ12" s="47"/>
      <c r="AK12" s="47"/>
      <c r="AL12" s="47"/>
      <c r="AM12" s="47"/>
      <c r="AN12" s="47"/>
      <c r="AO12" s="47"/>
      <c r="AP12" s="47"/>
      <c r="AQ12" s="47"/>
      <c r="AR12" s="47"/>
      <c r="AS12" s="47"/>
      <c r="AT12" s="47"/>
      <c r="AU12" s="47"/>
      <c r="AV12" s="47"/>
      <c r="AW12" s="47"/>
      <c r="AX12" s="47"/>
      <c r="AY12" s="47"/>
    </row>
    <row r="13" spans="1:53">
      <c r="A13" s="119"/>
      <c r="B13" s="50" t="s">
        <v>87</v>
      </c>
      <c r="C13" s="144" t="s">
        <v>88</v>
      </c>
      <c r="D13" s="144"/>
      <c r="E13" s="123"/>
      <c r="F13" s="50">
        <f>F21+F28+F35+F42+F49+F56+F63+F70+F77+F84</f>
        <v>0</v>
      </c>
      <c r="G13" s="50">
        <f t="shared" ref="G13:W13" si="9">G21+G28+G35+G42+G49+G56+G63+G70+G77+G84</f>
        <v>0</v>
      </c>
      <c r="H13" s="50">
        <f t="shared" si="9"/>
        <v>0</v>
      </c>
      <c r="I13" s="50">
        <f t="shared" si="9"/>
        <v>0</v>
      </c>
      <c r="J13" s="50">
        <f t="shared" si="9"/>
        <v>0</v>
      </c>
      <c r="K13" s="50">
        <f t="shared" si="9"/>
        <v>0</v>
      </c>
      <c r="L13" s="50">
        <f t="shared" si="9"/>
        <v>0</v>
      </c>
      <c r="M13" s="50">
        <f t="shared" si="9"/>
        <v>0</v>
      </c>
      <c r="N13" s="50">
        <f t="shared" si="9"/>
        <v>0</v>
      </c>
      <c r="O13" s="50">
        <f t="shared" si="9"/>
        <v>0</v>
      </c>
      <c r="P13" s="50">
        <f t="shared" si="9"/>
        <v>0</v>
      </c>
      <c r="Q13" s="50">
        <f t="shared" si="9"/>
        <v>0</v>
      </c>
      <c r="R13" s="50">
        <f t="shared" si="9"/>
        <v>0</v>
      </c>
      <c r="S13" s="50">
        <f t="shared" si="9"/>
        <v>0</v>
      </c>
      <c r="T13" s="50">
        <f t="shared" si="9"/>
        <v>0</v>
      </c>
      <c r="U13" s="50">
        <f t="shared" si="9"/>
        <v>0</v>
      </c>
      <c r="V13" s="50">
        <f t="shared" si="9"/>
        <v>0</v>
      </c>
      <c r="W13" s="50" t="e">
        <f t="shared" ref="W13" si="10">W21+W28+W35+W42+W49+W56+W63+W70+W77+W84</f>
        <v>#VALUE!</v>
      </c>
      <c r="X13" s="47"/>
      <c r="Y13" s="47"/>
      <c r="Z13" s="47"/>
      <c r="AA13" s="47"/>
      <c r="AB13" s="47"/>
      <c r="AC13" s="47"/>
      <c r="AD13" s="47"/>
      <c r="AE13" s="47"/>
      <c r="AF13" s="47"/>
      <c r="AG13" s="47"/>
      <c r="AH13" s="47"/>
      <c r="AI13" s="47"/>
      <c r="AJ13" s="47"/>
      <c r="AK13" s="47"/>
      <c r="AL13" s="47"/>
      <c r="AM13" s="47"/>
      <c r="AN13" s="47"/>
      <c r="AO13" s="47"/>
      <c r="AP13" s="47"/>
      <c r="AQ13" s="47"/>
      <c r="AR13" s="47"/>
      <c r="AS13" s="47"/>
      <c r="AT13" s="47"/>
      <c r="AU13" s="47"/>
      <c r="AV13" s="47"/>
      <c r="AW13" s="47"/>
      <c r="AX13" s="47"/>
      <c r="AY13" s="47"/>
    </row>
    <row r="14" spans="1:53">
      <c r="A14" s="70" t="s">
        <v>77</v>
      </c>
      <c r="B14" s="72" t="s">
        <v>89</v>
      </c>
      <c r="C14" s="145" t="s">
        <v>90</v>
      </c>
      <c r="D14" s="145"/>
      <c r="E14" s="123"/>
      <c r="F14" s="50">
        <f>F22+F29+F36+F43+F50+F57+F64+F71+F78+F85</f>
        <v>0</v>
      </c>
      <c r="G14" s="50">
        <f t="shared" ref="G14:W14" si="11">G22+G29+G36+G43+G50+G57+G64+G71+G78+G85</f>
        <v>0</v>
      </c>
      <c r="H14" s="50">
        <f t="shared" si="11"/>
        <v>0</v>
      </c>
      <c r="I14" s="50">
        <f t="shared" si="11"/>
        <v>0</v>
      </c>
      <c r="J14" s="50">
        <f t="shared" si="11"/>
        <v>0</v>
      </c>
      <c r="K14" s="50">
        <f t="shared" si="11"/>
        <v>0</v>
      </c>
      <c r="L14" s="50">
        <f t="shared" si="11"/>
        <v>0</v>
      </c>
      <c r="M14" s="50">
        <f t="shared" si="11"/>
        <v>0</v>
      </c>
      <c r="N14" s="50">
        <f t="shared" si="11"/>
        <v>0</v>
      </c>
      <c r="O14" s="50">
        <f t="shared" si="11"/>
        <v>0</v>
      </c>
      <c r="P14" s="50">
        <f t="shared" si="11"/>
        <v>0</v>
      </c>
      <c r="Q14" s="50">
        <f t="shared" si="11"/>
        <v>0</v>
      </c>
      <c r="R14" s="50">
        <f t="shared" si="11"/>
        <v>17</v>
      </c>
      <c r="S14" s="50">
        <f t="shared" si="11"/>
        <v>9</v>
      </c>
      <c r="T14" s="50">
        <f t="shared" si="11"/>
        <v>15</v>
      </c>
      <c r="U14" s="50">
        <f t="shared" si="11"/>
        <v>20</v>
      </c>
      <c r="V14" s="50">
        <f t="shared" si="11"/>
        <v>17</v>
      </c>
      <c r="W14" s="50" t="e">
        <f t="shared" ref="W14" si="12">W22+W29+W36+W43+W50+W57+W64+W71+W78+W85</f>
        <v>#VALUE!</v>
      </c>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row>
    <row r="15" spans="1:53">
      <c r="A15" s="70" t="s">
        <v>77</v>
      </c>
      <c r="B15" s="72" t="s">
        <v>91</v>
      </c>
      <c r="C15" s="145" t="s">
        <v>92</v>
      </c>
      <c r="D15" s="145"/>
      <c r="E15" s="123"/>
      <c r="F15" s="50">
        <f>F23+F30+F37+F44+F51+F58+F65+F72+F79+F86</f>
        <v>0</v>
      </c>
      <c r="G15" s="50">
        <f t="shared" ref="G15:W15" si="13">G23+G30+G37+G44+G51+G58+G65+G72+G79+G86</f>
        <v>0</v>
      </c>
      <c r="H15" s="50">
        <f t="shared" si="13"/>
        <v>0</v>
      </c>
      <c r="I15" s="50">
        <f t="shared" si="13"/>
        <v>0</v>
      </c>
      <c r="J15" s="50">
        <f t="shared" si="13"/>
        <v>0</v>
      </c>
      <c r="K15" s="50">
        <f t="shared" si="13"/>
        <v>0</v>
      </c>
      <c r="L15" s="50">
        <f t="shared" si="13"/>
        <v>0</v>
      </c>
      <c r="M15" s="50">
        <f t="shared" si="13"/>
        <v>0</v>
      </c>
      <c r="N15" s="50">
        <f t="shared" si="13"/>
        <v>0</v>
      </c>
      <c r="O15" s="50">
        <f t="shared" si="13"/>
        <v>0</v>
      </c>
      <c r="P15" s="50">
        <f t="shared" si="13"/>
        <v>0</v>
      </c>
      <c r="Q15" s="50">
        <f t="shared" si="13"/>
        <v>0</v>
      </c>
      <c r="R15" s="50">
        <f t="shared" si="13"/>
        <v>11</v>
      </c>
      <c r="S15" s="50">
        <f t="shared" si="13"/>
        <v>17</v>
      </c>
      <c r="T15" s="50">
        <f t="shared" si="13"/>
        <v>45</v>
      </c>
      <c r="U15" s="50">
        <f t="shared" si="13"/>
        <v>17</v>
      </c>
      <c r="V15" s="50">
        <f>V23+V30+V37+V44+V51+V58+V65+V72+V79+V86</f>
        <v>20</v>
      </c>
      <c r="W15" s="50" t="e">
        <f>W23+W30+W37+W44+W51+W58+W65+W72+W79+W86</f>
        <v>#VALUE!</v>
      </c>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row>
    <row r="16" spans="1:53">
      <c r="A16" s="119">
        <v>4</v>
      </c>
      <c r="B16" s="143" t="s">
        <v>93</v>
      </c>
      <c r="C16" s="143"/>
      <c r="D16" s="143"/>
      <c r="E16" s="59" t="s">
        <v>77</v>
      </c>
      <c r="F16" s="50" t="s">
        <v>77</v>
      </c>
      <c r="G16" s="50" t="s">
        <v>77</v>
      </c>
      <c r="H16" s="50" t="s">
        <v>77</v>
      </c>
      <c r="I16" s="50" t="s">
        <v>77</v>
      </c>
      <c r="J16" s="50" t="s">
        <v>77</v>
      </c>
      <c r="K16" s="50" t="s">
        <v>77</v>
      </c>
      <c r="L16" s="50" t="s">
        <v>77</v>
      </c>
      <c r="M16" s="50" t="s">
        <v>77</v>
      </c>
      <c r="N16" s="50" t="s">
        <v>77</v>
      </c>
      <c r="O16" s="50" t="s">
        <v>77</v>
      </c>
      <c r="P16" s="50" t="s">
        <v>77</v>
      </c>
      <c r="Q16" s="50" t="s">
        <v>77</v>
      </c>
      <c r="R16" s="50" t="s">
        <v>77</v>
      </c>
      <c r="S16" s="50" t="s">
        <v>77</v>
      </c>
      <c r="T16" s="50" t="s">
        <v>77</v>
      </c>
      <c r="U16" s="50" t="s">
        <v>77</v>
      </c>
      <c r="V16" s="50"/>
      <c r="W16" s="50"/>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7"/>
      <c r="AW16" s="47"/>
      <c r="AX16" s="47"/>
      <c r="AY16" s="47"/>
    </row>
    <row r="17" spans="1:51">
      <c r="A17" s="119"/>
      <c r="B17" s="50" t="s">
        <v>78</v>
      </c>
      <c r="C17" s="49" t="s">
        <v>94</v>
      </c>
      <c r="D17" s="50" t="s">
        <v>79</v>
      </c>
      <c r="E17" s="59" t="s">
        <v>77</v>
      </c>
      <c r="F17" s="73">
        <v>0</v>
      </c>
      <c r="G17" s="73">
        <v>0</v>
      </c>
      <c r="H17" s="73">
        <v>0</v>
      </c>
      <c r="I17" s="73">
        <v>0</v>
      </c>
      <c r="J17" s="73">
        <v>0</v>
      </c>
      <c r="K17" s="73">
        <v>0</v>
      </c>
      <c r="L17" s="73">
        <v>0</v>
      </c>
      <c r="M17" s="73">
        <v>0</v>
      </c>
      <c r="N17" s="73">
        <v>0</v>
      </c>
      <c r="O17" s="73">
        <v>0</v>
      </c>
      <c r="P17" s="73">
        <v>0</v>
      </c>
      <c r="Q17" s="73">
        <v>0</v>
      </c>
      <c r="R17" s="73">
        <v>0</v>
      </c>
      <c r="S17" s="73">
        <v>0</v>
      </c>
      <c r="T17" s="73">
        <v>0</v>
      </c>
      <c r="U17" s="73">
        <v>0</v>
      </c>
      <c r="V17" s="73">
        <v>0</v>
      </c>
      <c r="W17" s="50"/>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AX17" s="47"/>
      <c r="AY17" s="47"/>
    </row>
    <row r="18" spans="1:51">
      <c r="A18" s="119"/>
      <c r="B18" s="50" t="s">
        <v>77</v>
      </c>
      <c r="C18" s="49" t="s">
        <v>77</v>
      </c>
      <c r="D18" s="50" t="s">
        <v>82</v>
      </c>
      <c r="E18" s="59" t="s">
        <v>77</v>
      </c>
      <c r="F18" s="73">
        <v>0</v>
      </c>
      <c r="G18" s="73">
        <v>0</v>
      </c>
      <c r="H18" s="73">
        <v>0</v>
      </c>
      <c r="I18" s="73">
        <v>0</v>
      </c>
      <c r="J18" s="73">
        <v>0</v>
      </c>
      <c r="K18" s="73">
        <v>0</v>
      </c>
      <c r="L18" s="73">
        <v>0</v>
      </c>
      <c r="M18" s="73">
        <v>0</v>
      </c>
      <c r="N18" s="73">
        <v>0</v>
      </c>
      <c r="O18" s="73">
        <v>0</v>
      </c>
      <c r="P18" s="73">
        <v>0</v>
      </c>
      <c r="Q18" s="73">
        <v>0</v>
      </c>
      <c r="R18" s="73">
        <v>0</v>
      </c>
      <c r="S18" s="73">
        <v>0</v>
      </c>
      <c r="T18" s="73">
        <v>0</v>
      </c>
      <c r="U18" s="73">
        <v>0</v>
      </c>
      <c r="V18" s="73">
        <v>0</v>
      </c>
      <c r="W18" s="50"/>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row>
    <row r="19" spans="1:51">
      <c r="A19" s="119"/>
      <c r="B19" s="50" t="s">
        <v>77</v>
      </c>
      <c r="C19" s="49" t="s">
        <v>77</v>
      </c>
      <c r="D19" s="50" t="s">
        <v>84</v>
      </c>
      <c r="E19" s="59" t="s">
        <v>77</v>
      </c>
      <c r="F19" s="73">
        <v>0</v>
      </c>
      <c r="G19" s="73">
        <v>0</v>
      </c>
      <c r="H19" s="73">
        <v>0</v>
      </c>
      <c r="I19" s="73">
        <v>0</v>
      </c>
      <c r="J19" s="73">
        <v>0</v>
      </c>
      <c r="K19" s="73">
        <v>0</v>
      </c>
      <c r="L19" s="73">
        <v>0</v>
      </c>
      <c r="M19" s="73">
        <v>0</v>
      </c>
      <c r="N19" s="73">
        <v>0</v>
      </c>
      <c r="O19" s="73">
        <v>0</v>
      </c>
      <c r="P19" s="73">
        <v>0</v>
      </c>
      <c r="Q19" s="73">
        <v>0</v>
      </c>
      <c r="R19" s="73">
        <v>0</v>
      </c>
      <c r="S19" s="73">
        <v>0</v>
      </c>
      <c r="T19" s="73">
        <v>0</v>
      </c>
      <c r="U19" s="73">
        <v>0</v>
      </c>
      <c r="V19" s="73">
        <v>0</v>
      </c>
      <c r="W19" s="50"/>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7"/>
      <c r="AV19" s="47"/>
      <c r="AW19" s="47"/>
      <c r="AX19" s="47"/>
      <c r="AY19" s="47"/>
    </row>
    <row r="20" spans="1:51">
      <c r="A20" s="119"/>
      <c r="B20" s="50" t="s">
        <v>77</v>
      </c>
      <c r="C20" s="49" t="s">
        <v>77</v>
      </c>
      <c r="D20" s="50" t="s">
        <v>86</v>
      </c>
      <c r="E20" s="59" t="s">
        <v>77</v>
      </c>
      <c r="F20" s="73">
        <v>0</v>
      </c>
      <c r="G20" s="73">
        <v>0</v>
      </c>
      <c r="H20" s="73">
        <v>0</v>
      </c>
      <c r="I20" s="73">
        <v>0</v>
      </c>
      <c r="J20" s="73">
        <v>0</v>
      </c>
      <c r="K20" s="73">
        <v>0</v>
      </c>
      <c r="L20" s="73">
        <v>0</v>
      </c>
      <c r="M20" s="73">
        <v>0</v>
      </c>
      <c r="N20" s="73">
        <v>0</v>
      </c>
      <c r="O20" s="73">
        <v>0</v>
      </c>
      <c r="P20" s="73">
        <v>0</v>
      </c>
      <c r="Q20" s="73">
        <v>0</v>
      </c>
      <c r="R20" s="73">
        <v>0</v>
      </c>
      <c r="S20" s="73">
        <v>0</v>
      </c>
      <c r="T20" s="73">
        <v>0</v>
      </c>
      <c r="U20" s="73">
        <v>0</v>
      </c>
      <c r="V20" s="73">
        <v>0</v>
      </c>
      <c r="W20" s="50"/>
      <c r="X20" s="47"/>
      <c r="Y20" s="47"/>
      <c r="Z20" s="47"/>
      <c r="AA20" s="47"/>
      <c r="AB20" s="47"/>
      <c r="AC20" s="47"/>
      <c r="AD20" s="47"/>
      <c r="AE20" s="47"/>
      <c r="AF20" s="47"/>
      <c r="AG20" s="47"/>
      <c r="AH20" s="47"/>
      <c r="AI20" s="47"/>
      <c r="AJ20" s="47"/>
      <c r="AK20" s="47"/>
      <c r="AL20" s="47"/>
      <c r="AM20" s="47"/>
      <c r="AN20" s="47"/>
      <c r="AO20" s="47"/>
      <c r="AP20" s="47"/>
      <c r="AQ20" s="47"/>
      <c r="AR20" s="47"/>
      <c r="AS20" s="47"/>
      <c r="AT20" s="47"/>
      <c r="AU20" s="47"/>
      <c r="AV20" s="47"/>
      <c r="AW20" s="47"/>
      <c r="AX20" s="47"/>
      <c r="AY20" s="47"/>
    </row>
    <row r="21" spans="1:51">
      <c r="A21" s="119"/>
      <c r="B21" s="50" t="s">
        <v>77</v>
      </c>
      <c r="C21" s="49" t="s">
        <v>77</v>
      </c>
      <c r="D21" s="50" t="s">
        <v>88</v>
      </c>
      <c r="E21" s="59" t="s">
        <v>77</v>
      </c>
      <c r="F21" s="73">
        <v>0</v>
      </c>
      <c r="G21" s="73">
        <v>0</v>
      </c>
      <c r="H21" s="73">
        <v>0</v>
      </c>
      <c r="I21" s="73">
        <v>0</v>
      </c>
      <c r="J21" s="73">
        <v>0</v>
      </c>
      <c r="K21" s="73">
        <v>0</v>
      </c>
      <c r="L21" s="73">
        <v>0</v>
      </c>
      <c r="M21" s="73">
        <v>0</v>
      </c>
      <c r="N21" s="73">
        <v>0</v>
      </c>
      <c r="O21" s="73">
        <v>0</v>
      </c>
      <c r="P21" s="73">
        <v>0</v>
      </c>
      <c r="Q21" s="73">
        <v>0</v>
      </c>
      <c r="R21" s="73">
        <v>0</v>
      </c>
      <c r="S21" s="73">
        <v>0</v>
      </c>
      <c r="T21" s="73">
        <v>0</v>
      </c>
      <c r="U21" s="73">
        <v>0</v>
      </c>
      <c r="V21" s="73">
        <v>0</v>
      </c>
      <c r="W21" s="50"/>
      <c r="X21" s="47"/>
      <c r="Y21" s="47"/>
      <c r="Z21" s="47"/>
      <c r="AA21" s="47"/>
      <c r="AB21" s="47"/>
      <c r="AC21" s="47"/>
      <c r="AD21" s="47"/>
      <c r="AE21" s="47"/>
      <c r="AF21" s="47"/>
      <c r="AG21" s="47"/>
      <c r="AH21" s="47"/>
      <c r="AI21" s="47"/>
      <c r="AJ21" s="47"/>
      <c r="AK21" s="47"/>
      <c r="AL21" s="47"/>
      <c r="AM21" s="47"/>
      <c r="AN21" s="47"/>
      <c r="AO21" s="47"/>
      <c r="AP21" s="47"/>
      <c r="AQ21" s="47"/>
      <c r="AR21" s="47"/>
      <c r="AS21" s="47"/>
      <c r="AT21" s="47"/>
      <c r="AU21" s="47"/>
      <c r="AV21" s="47"/>
      <c r="AW21" s="47"/>
      <c r="AX21" s="47"/>
      <c r="AY21" s="47"/>
    </row>
    <row r="22" spans="1:51">
      <c r="A22" s="119"/>
      <c r="B22" s="50" t="s">
        <v>77</v>
      </c>
      <c r="C22" s="49" t="s">
        <v>77</v>
      </c>
      <c r="D22" s="50" t="s">
        <v>90</v>
      </c>
      <c r="E22" s="59" t="s">
        <v>77</v>
      </c>
      <c r="F22" s="73">
        <v>0</v>
      </c>
      <c r="G22" s="73">
        <v>0</v>
      </c>
      <c r="H22" s="73">
        <v>0</v>
      </c>
      <c r="I22" s="73">
        <v>0</v>
      </c>
      <c r="J22" s="73">
        <v>0</v>
      </c>
      <c r="K22" s="73">
        <v>0</v>
      </c>
      <c r="L22" s="73">
        <v>0</v>
      </c>
      <c r="M22" s="73">
        <v>0</v>
      </c>
      <c r="N22" s="73">
        <v>0</v>
      </c>
      <c r="O22" s="73">
        <v>0</v>
      </c>
      <c r="P22" s="73">
        <v>0</v>
      </c>
      <c r="Q22" s="73">
        <v>0</v>
      </c>
      <c r="R22" s="73">
        <v>0</v>
      </c>
      <c r="S22" s="73">
        <v>0</v>
      </c>
      <c r="T22" s="73">
        <v>0</v>
      </c>
      <c r="U22" s="73">
        <v>0</v>
      </c>
      <c r="V22" s="73">
        <v>0</v>
      </c>
      <c r="W22" s="50"/>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row>
    <row r="23" spans="1:51">
      <c r="A23" s="119"/>
      <c r="B23" s="50" t="s">
        <v>77</v>
      </c>
      <c r="C23" s="49" t="s">
        <v>77</v>
      </c>
      <c r="D23" s="50" t="s">
        <v>92</v>
      </c>
      <c r="E23" s="59" t="s">
        <v>77</v>
      </c>
      <c r="F23" s="73">
        <v>0</v>
      </c>
      <c r="G23" s="73">
        <v>0</v>
      </c>
      <c r="H23" s="73">
        <v>0</v>
      </c>
      <c r="I23" s="73">
        <v>0</v>
      </c>
      <c r="J23" s="73">
        <v>0</v>
      </c>
      <c r="K23" s="73">
        <v>0</v>
      </c>
      <c r="L23" s="73">
        <v>0</v>
      </c>
      <c r="M23" s="73">
        <v>0</v>
      </c>
      <c r="N23" s="73">
        <v>0</v>
      </c>
      <c r="O23" s="73">
        <v>0</v>
      </c>
      <c r="P23" s="73">
        <v>0</v>
      </c>
      <c r="Q23" s="73">
        <v>0</v>
      </c>
      <c r="R23" s="73">
        <v>0</v>
      </c>
      <c r="S23" s="73">
        <v>0</v>
      </c>
      <c r="T23" s="73">
        <v>0</v>
      </c>
      <c r="U23" s="73">
        <v>0</v>
      </c>
      <c r="V23" s="73">
        <v>0</v>
      </c>
      <c r="W23" s="50"/>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c r="AW23" s="47"/>
      <c r="AX23" s="47"/>
      <c r="AY23" s="47"/>
    </row>
    <row r="24" spans="1:51">
      <c r="A24" s="119"/>
      <c r="B24" s="50" t="s">
        <v>81</v>
      </c>
      <c r="C24" s="74" t="s">
        <v>95</v>
      </c>
      <c r="D24" s="50" t="s">
        <v>79</v>
      </c>
      <c r="E24" s="59" t="s">
        <v>77</v>
      </c>
      <c r="F24" s="73">
        <v>0</v>
      </c>
      <c r="G24" s="73">
        <v>0</v>
      </c>
      <c r="H24" s="73">
        <v>0</v>
      </c>
      <c r="I24" s="73">
        <v>0</v>
      </c>
      <c r="J24" s="73">
        <v>0</v>
      </c>
      <c r="K24" s="73">
        <v>0</v>
      </c>
      <c r="L24" s="73">
        <v>0</v>
      </c>
      <c r="M24" s="73">
        <v>0</v>
      </c>
      <c r="N24" s="73">
        <v>0</v>
      </c>
      <c r="O24" s="73">
        <v>0</v>
      </c>
      <c r="P24" s="73">
        <v>0</v>
      </c>
      <c r="Q24" s="73">
        <v>0</v>
      </c>
      <c r="R24" s="73">
        <v>0</v>
      </c>
      <c r="S24" s="73">
        <v>0</v>
      </c>
      <c r="T24" s="73">
        <v>0</v>
      </c>
      <c r="U24" s="73">
        <v>0</v>
      </c>
      <c r="V24" s="73">
        <v>0</v>
      </c>
      <c r="W24" s="50"/>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row>
    <row r="25" spans="1:51">
      <c r="A25" s="119"/>
      <c r="B25" s="50" t="s">
        <v>77</v>
      </c>
      <c r="C25" s="49" t="s">
        <v>77</v>
      </c>
      <c r="D25" s="50" t="s">
        <v>82</v>
      </c>
      <c r="E25" s="59" t="s">
        <v>77</v>
      </c>
      <c r="F25" s="73">
        <v>0</v>
      </c>
      <c r="G25" s="73">
        <v>0</v>
      </c>
      <c r="H25" s="73">
        <v>0</v>
      </c>
      <c r="I25" s="73">
        <v>0</v>
      </c>
      <c r="J25" s="73">
        <v>0</v>
      </c>
      <c r="K25" s="73">
        <v>0</v>
      </c>
      <c r="L25" s="73">
        <v>0</v>
      </c>
      <c r="M25" s="73">
        <v>0</v>
      </c>
      <c r="N25" s="73">
        <v>0</v>
      </c>
      <c r="O25" s="73">
        <v>0</v>
      </c>
      <c r="P25" s="73">
        <v>0</v>
      </c>
      <c r="Q25" s="73">
        <v>0</v>
      </c>
      <c r="R25" s="73">
        <v>0</v>
      </c>
      <c r="S25" s="73">
        <v>0</v>
      </c>
      <c r="T25" s="73">
        <v>0</v>
      </c>
      <c r="U25" s="73">
        <v>0</v>
      </c>
      <c r="V25" s="73">
        <v>0</v>
      </c>
      <c r="W25" s="50"/>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row>
    <row r="26" spans="1:51">
      <c r="A26" s="119"/>
      <c r="B26" s="50" t="s">
        <v>77</v>
      </c>
      <c r="C26" s="49" t="s">
        <v>77</v>
      </c>
      <c r="D26" s="50" t="s">
        <v>84</v>
      </c>
      <c r="E26" s="59" t="s">
        <v>77</v>
      </c>
      <c r="F26" s="73">
        <v>0</v>
      </c>
      <c r="G26" s="73">
        <v>0</v>
      </c>
      <c r="H26" s="73">
        <v>0</v>
      </c>
      <c r="I26" s="73">
        <v>0</v>
      </c>
      <c r="J26" s="73">
        <v>0</v>
      </c>
      <c r="K26" s="73">
        <v>0</v>
      </c>
      <c r="L26" s="73">
        <v>0</v>
      </c>
      <c r="M26" s="73">
        <v>0</v>
      </c>
      <c r="N26" s="73">
        <v>0</v>
      </c>
      <c r="O26" s="73">
        <v>0</v>
      </c>
      <c r="P26" s="73">
        <v>0</v>
      </c>
      <c r="Q26" s="73">
        <v>0</v>
      </c>
      <c r="R26" s="73">
        <v>0</v>
      </c>
      <c r="S26" s="73">
        <v>0</v>
      </c>
      <c r="T26" s="73">
        <v>0</v>
      </c>
      <c r="U26" s="73">
        <v>0</v>
      </c>
      <c r="V26" s="73">
        <v>0</v>
      </c>
      <c r="W26" s="50"/>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row>
    <row r="27" spans="1:51">
      <c r="A27" s="119"/>
      <c r="B27" s="50" t="s">
        <v>77</v>
      </c>
      <c r="C27" s="49" t="s">
        <v>77</v>
      </c>
      <c r="D27" s="50" t="s">
        <v>86</v>
      </c>
      <c r="E27" s="59" t="s">
        <v>77</v>
      </c>
      <c r="F27" s="73">
        <v>0</v>
      </c>
      <c r="G27" s="73">
        <v>0</v>
      </c>
      <c r="H27" s="73">
        <v>0</v>
      </c>
      <c r="I27" s="73">
        <v>0</v>
      </c>
      <c r="J27" s="73">
        <v>0</v>
      </c>
      <c r="K27" s="73">
        <v>0</v>
      </c>
      <c r="L27" s="73">
        <v>0</v>
      </c>
      <c r="M27" s="73">
        <v>0</v>
      </c>
      <c r="N27" s="73">
        <v>0</v>
      </c>
      <c r="O27" s="73">
        <v>0</v>
      </c>
      <c r="P27" s="73">
        <v>0</v>
      </c>
      <c r="Q27" s="73">
        <v>0</v>
      </c>
      <c r="R27" s="73">
        <v>0</v>
      </c>
      <c r="S27" s="73">
        <v>0</v>
      </c>
      <c r="T27" s="73">
        <v>0</v>
      </c>
      <c r="U27" s="73">
        <v>0</v>
      </c>
      <c r="V27" s="73">
        <v>0</v>
      </c>
      <c r="W27" s="50"/>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7"/>
    </row>
    <row r="28" spans="1:51">
      <c r="A28" s="119"/>
      <c r="B28" s="50" t="s">
        <v>77</v>
      </c>
      <c r="C28" s="49" t="s">
        <v>77</v>
      </c>
      <c r="D28" s="50" t="s">
        <v>88</v>
      </c>
      <c r="E28" s="59" t="s">
        <v>77</v>
      </c>
      <c r="F28" s="73">
        <v>0</v>
      </c>
      <c r="G28" s="73">
        <v>0</v>
      </c>
      <c r="H28" s="73">
        <v>0</v>
      </c>
      <c r="I28" s="73">
        <v>0</v>
      </c>
      <c r="J28" s="73">
        <v>0</v>
      </c>
      <c r="K28" s="73">
        <v>0</v>
      </c>
      <c r="L28" s="73">
        <v>0</v>
      </c>
      <c r="M28" s="73">
        <v>0</v>
      </c>
      <c r="N28" s="73">
        <v>0</v>
      </c>
      <c r="O28" s="73">
        <v>0</v>
      </c>
      <c r="P28" s="73">
        <v>0</v>
      </c>
      <c r="Q28" s="73">
        <v>0</v>
      </c>
      <c r="R28" s="73">
        <v>0</v>
      </c>
      <c r="S28" s="73">
        <v>0</v>
      </c>
      <c r="T28" s="73">
        <v>0</v>
      </c>
      <c r="U28" s="73">
        <v>0</v>
      </c>
      <c r="V28" s="73">
        <v>0</v>
      </c>
      <c r="W28" s="50"/>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row>
    <row r="29" spans="1:51">
      <c r="A29" s="119"/>
      <c r="B29" s="50" t="s">
        <v>77</v>
      </c>
      <c r="C29" s="49" t="s">
        <v>77</v>
      </c>
      <c r="D29" s="50" t="s">
        <v>90</v>
      </c>
      <c r="E29" s="59" t="s">
        <v>77</v>
      </c>
      <c r="F29" s="73">
        <v>0</v>
      </c>
      <c r="G29" s="73">
        <v>0</v>
      </c>
      <c r="H29" s="73">
        <v>0</v>
      </c>
      <c r="I29" s="73">
        <v>0</v>
      </c>
      <c r="J29" s="73">
        <v>0</v>
      </c>
      <c r="K29" s="73">
        <v>0</v>
      </c>
      <c r="L29" s="73">
        <v>0</v>
      </c>
      <c r="M29" s="73">
        <v>0</v>
      </c>
      <c r="N29" s="73">
        <v>0</v>
      </c>
      <c r="O29" s="73">
        <v>0</v>
      </c>
      <c r="P29" s="73">
        <v>0</v>
      </c>
      <c r="Q29" s="73">
        <v>0</v>
      </c>
      <c r="R29" s="73">
        <v>0</v>
      </c>
      <c r="S29" s="73">
        <v>0</v>
      </c>
      <c r="T29" s="73">
        <v>0</v>
      </c>
      <c r="U29" s="73">
        <v>0</v>
      </c>
      <c r="V29" s="73">
        <v>0</v>
      </c>
      <c r="W29" s="50"/>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47"/>
    </row>
    <row r="30" spans="1:51">
      <c r="A30" s="119"/>
      <c r="B30" s="50" t="s">
        <v>77</v>
      </c>
      <c r="C30" s="49" t="s">
        <v>77</v>
      </c>
      <c r="D30" s="50" t="s">
        <v>92</v>
      </c>
      <c r="E30" s="59" t="s">
        <v>77</v>
      </c>
      <c r="F30" s="73">
        <v>0</v>
      </c>
      <c r="G30" s="73">
        <v>0</v>
      </c>
      <c r="H30" s="73">
        <v>0</v>
      </c>
      <c r="I30" s="73">
        <v>0</v>
      </c>
      <c r="J30" s="73">
        <v>0</v>
      </c>
      <c r="K30" s="73">
        <v>0</v>
      </c>
      <c r="L30" s="73">
        <v>0</v>
      </c>
      <c r="M30" s="73">
        <v>0</v>
      </c>
      <c r="N30" s="73">
        <v>0</v>
      </c>
      <c r="O30" s="73">
        <v>0</v>
      </c>
      <c r="P30" s="73">
        <v>0</v>
      </c>
      <c r="Q30" s="73">
        <v>0</v>
      </c>
      <c r="R30" s="73">
        <v>0</v>
      </c>
      <c r="S30" s="73">
        <v>0</v>
      </c>
      <c r="T30" s="73">
        <v>0</v>
      </c>
      <c r="U30" s="73">
        <v>0</v>
      </c>
      <c r="V30" s="73">
        <v>0</v>
      </c>
      <c r="W30" s="50"/>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row>
    <row r="31" spans="1:51">
      <c r="A31" s="119"/>
      <c r="B31" s="50" t="s">
        <v>83</v>
      </c>
      <c r="C31" s="50" t="s">
        <v>96</v>
      </c>
      <c r="D31" s="50" t="s">
        <v>79</v>
      </c>
      <c r="E31" s="59" t="s">
        <v>77</v>
      </c>
      <c r="F31" s="73">
        <v>0</v>
      </c>
      <c r="G31" s="73">
        <v>0</v>
      </c>
      <c r="H31" s="73">
        <v>0</v>
      </c>
      <c r="I31" s="73">
        <v>0</v>
      </c>
      <c r="J31" s="73">
        <v>0</v>
      </c>
      <c r="K31" s="73">
        <v>0</v>
      </c>
      <c r="L31" s="73">
        <v>0</v>
      </c>
      <c r="M31" s="73">
        <v>0</v>
      </c>
      <c r="N31" s="73">
        <v>0</v>
      </c>
      <c r="O31" s="73">
        <v>0</v>
      </c>
      <c r="P31" s="73">
        <v>0</v>
      </c>
      <c r="Q31" s="73">
        <v>0</v>
      </c>
      <c r="R31" s="73">
        <v>0</v>
      </c>
      <c r="S31" s="73">
        <v>0</v>
      </c>
      <c r="T31" s="73">
        <v>0</v>
      </c>
      <c r="U31" s="73">
        <v>0</v>
      </c>
      <c r="V31" s="73">
        <v>0</v>
      </c>
      <c r="W31" s="50"/>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7"/>
    </row>
    <row r="32" spans="1:51">
      <c r="A32" s="119"/>
      <c r="B32" s="50" t="s">
        <v>77</v>
      </c>
      <c r="C32" s="49" t="s">
        <v>77</v>
      </c>
      <c r="D32" s="50" t="s">
        <v>82</v>
      </c>
      <c r="E32" s="59" t="s">
        <v>77</v>
      </c>
      <c r="F32" s="73">
        <v>0</v>
      </c>
      <c r="G32" s="73">
        <v>0</v>
      </c>
      <c r="H32" s="73">
        <v>0</v>
      </c>
      <c r="I32" s="73">
        <v>0</v>
      </c>
      <c r="J32" s="73">
        <v>0</v>
      </c>
      <c r="K32" s="73">
        <v>0</v>
      </c>
      <c r="L32" s="73">
        <v>0</v>
      </c>
      <c r="M32" s="73">
        <v>0</v>
      </c>
      <c r="N32" s="73">
        <v>0</v>
      </c>
      <c r="O32" s="73">
        <v>0</v>
      </c>
      <c r="P32" s="73">
        <v>0</v>
      </c>
      <c r="Q32" s="73">
        <v>0</v>
      </c>
      <c r="R32" s="73">
        <v>0</v>
      </c>
      <c r="S32" s="73">
        <v>0</v>
      </c>
      <c r="T32" s="73">
        <v>0</v>
      </c>
      <c r="U32" s="73">
        <v>0</v>
      </c>
      <c r="V32" s="73">
        <v>0</v>
      </c>
      <c r="W32" s="50"/>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row>
    <row r="33" spans="1:51">
      <c r="A33" s="119"/>
      <c r="B33" s="50" t="s">
        <v>77</v>
      </c>
      <c r="C33" s="49" t="s">
        <v>77</v>
      </c>
      <c r="D33" s="50" t="s">
        <v>84</v>
      </c>
      <c r="E33" s="59" t="s">
        <v>77</v>
      </c>
      <c r="F33" s="73">
        <v>0</v>
      </c>
      <c r="G33" s="73">
        <v>0</v>
      </c>
      <c r="H33" s="73">
        <v>0</v>
      </c>
      <c r="I33" s="73">
        <v>0</v>
      </c>
      <c r="J33" s="73">
        <v>0</v>
      </c>
      <c r="K33" s="73">
        <v>0</v>
      </c>
      <c r="L33" s="73">
        <v>0</v>
      </c>
      <c r="M33" s="73">
        <v>0</v>
      </c>
      <c r="N33" s="73">
        <v>0</v>
      </c>
      <c r="O33" s="73">
        <v>0</v>
      </c>
      <c r="P33" s="73">
        <v>0</v>
      </c>
      <c r="Q33" s="73">
        <v>0</v>
      </c>
      <c r="R33" s="73">
        <v>0</v>
      </c>
      <c r="S33" s="73">
        <v>0</v>
      </c>
      <c r="T33" s="73">
        <v>0</v>
      </c>
      <c r="U33" s="73">
        <v>0</v>
      </c>
      <c r="V33" s="73">
        <v>0</v>
      </c>
      <c r="W33" s="50"/>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row>
    <row r="34" spans="1:51">
      <c r="A34" s="119"/>
      <c r="B34" s="50" t="s">
        <v>77</v>
      </c>
      <c r="C34" s="49" t="s">
        <v>77</v>
      </c>
      <c r="D34" s="50" t="s">
        <v>86</v>
      </c>
      <c r="E34" s="59" t="s">
        <v>77</v>
      </c>
      <c r="F34" s="73">
        <v>0</v>
      </c>
      <c r="G34" s="73">
        <v>0</v>
      </c>
      <c r="H34" s="73">
        <v>0</v>
      </c>
      <c r="I34" s="73">
        <v>0</v>
      </c>
      <c r="J34" s="73">
        <v>0</v>
      </c>
      <c r="K34" s="73">
        <v>0</v>
      </c>
      <c r="L34" s="73">
        <v>0</v>
      </c>
      <c r="M34" s="73">
        <v>0</v>
      </c>
      <c r="N34" s="73">
        <v>0</v>
      </c>
      <c r="O34" s="73">
        <v>0</v>
      </c>
      <c r="P34" s="73">
        <v>0</v>
      </c>
      <c r="Q34" s="73">
        <v>0</v>
      </c>
      <c r="R34" s="73">
        <v>0</v>
      </c>
      <c r="S34" s="73">
        <v>0</v>
      </c>
      <c r="T34" s="73">
        <v>0</v>
      </c>
      <c r="U34" s="73">
        <v>0</v>
      </c>
      <c r="V34" s="73">
        <v>0</v>
      </c>
      <c r="W34" s="50"/>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row>
    <row r="35" spans="1:51">
      <c r="A35" s="119"/>
      <c r="B35" s="50" t="s">
        <v>77</v>
      </c>
      <c r="C35" s="49" t="s">
        <v>77</v>
      </c>
      <c r="D35" s="50" t="s">
        <v>88</v>
      </c>
      <c r="E35" s="59" t="s">
        <v>77</v>
      </c>
      <c r="F35" s="73">
        <v>0</v>
      </c>
      <c r="G35" s="73">
        <v>0</v>
      </c>
      <c r="H35" s="73">
        <v>0</v>
      </c>
      <c r="I35" s="73">
        <v>0</v>
      </c>
      <c r="J35" s="73">
        <v>0</v>
      </c>
      <c r="K35" s="73">
        <v>0</v>
      </c>
      <c r="L35" s="73">
        <v>0</v>
      </c>
      <c r="M35" s="73">
        <v>0</v>
      </c>
      <c r="N35" s="73">
        <v>0</v>
      </c>
      <c r="O35" s="73">
        <v>0</v>
      </c>
      <c r="P35" s="73">
        <v>0</v>
      </c>
      <c r="Q35" s="73">
        <v>0</v>
      </c>
      <c r="R35" s="73">
        <v>0</v>
      </c>
      <c r="S35" s="73">
        <v>0</v>
      </c>
      <c r="T35" s="73">
        <v>0</v>
      </c>
      <c r="U35" s="73">
        <v>0</v>
      </c>
      <c r="V35" s="73">
        <v>0</v>
      </c>
      <c r="W35" s="50"/>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row>
    <row r="36" spans="1:51">
      <c r="A36" s="119"/>
      <c r="B36" s="50" t="s">
        <v>77</v>
      </c>
      <c r="C36" s="49" t="s">
        <v>77</v>
      </c>
      <c r="D36" s="50" t="s">
        <v>90</v>
      </c>
      <c r="E36" s="59" t="s">
        <v>77</v>
      </c>
      <c r="F36" s="73">
        <v>0</v>
      </c>
      <c r="G36" s="73">
        <v>0</v>
      </c>
      <c r="H36" s="73">
        <v>0</v>
      </c>
      <c r="I36" s="73">
        <v>0</v>
      </c>
      <c r="J36" s="73">
        <v>0</v>
      </c>
      <c r="K36" s="73">
        <v>0</v>
      </c>
      <c r="L36" s="73">
        <v>0</v>
      </c>
      <c r="M36" s="73">
        <v>0</v>
      </c>
      <c r="N36" s="73">
        <v>0</v>
      </c>
      <c r="O36" s="73">
        <v>0</v>
      </c>
      <c r="P36" s="73">
        <v>0</v>
      </c>
      <c r="Q36" s="73">
        <v>0</v>
      </c>
      <c r="R36" s="73">
        <v>0</v>
      </c>
      <c r="S36" s="73">
        <v>0</v>
      </c>
      <c r="T36" s="73">
        <v>0</v>
      </c>
      <c r="U36" s="73">
        <v>0</v>
      </c>
      <c r="V36" s="73">
        <v>0</v>
      </c>
      <c r="W36" s="50"/>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row>
    <row r="37" spans="1:51">
      <c r="A37" s="119"/>
      <c r="B37" s="50" t="s">
        <v>77</v>
      </c>
      <c r="C37" s="49" t="s">
        <v>77</v>
      </c>
      <c r="D37" s="50" t="s">
        <v>92</v>
      </c>
      <c r="E37" s="59" t="s">
        <v>77</v>
      </c>
      <c r="F37" s="73">
        <v>0</v>
      </c>
      <c r="G37" s="73">
        <v>0</v>
      </c>
      <c r="H37" s="73">
        <v>0</v>
      </c>
      <c r="I37" s="73">
        <v>0</v>
      </c>
      <c r="J37" s="73">
        <v>0</v>
      </c>
      <c r="K37" s="73">
        <v>0</v>
      </c>
      <c r="L37" s="73">
        <v>0</v>
      </c>
      <c r="M37" s="73">
        <v>0</v>
      </c>
      <c r="N37" s="73">
        <v>0</v>
      </c>
      <c r="O37" s="73">
        <v>0</v>
      </c>
      <c r="P37" s="73">
        <v>0</v>
      </c>
      <c r="Q37" s="73">
        <v>0</v>
      </c>
      <c r="R37" s="73">
        <v>0</v>
      </c>
      <c r="S37" s="73">
        <v>0</v>
      </c>
      <c r="T37" s="73">
        <v>0</v>
      </c>
      <c r="U37" s="73">
        <v>0</v>
      </c>
      <c r="V37" s="73">
        <v>0</v>
      </c>
      <c r="W37" s="50"/>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47"/>
      <c r="AX37" s="47"/>
      <c r="AY37" s="47"/>
    </row>
    <row r="38" spans="1:51">
      <c r="A38" s="119"/>
      <c r="B38" s="50" t="s">
        <v>85</v>
      </c>
      <c r="C38" s="49" t="s">
        <v>97</v>
      </c>
      <c r="D38" s="50" t="s">
        <v>79</v>
      </c>
      <c r="E38" s="59" t="s">
        <v>77</v>
      </c>
      <c r="F38" s="73">
        <v>0</v>
      </c>
      <c r="G38" s="73">
        <v>0</v>
      </c>
      <c r="H38" s="73">
        <v>0</v>
      </c>
      <c r="I38" s="73">
        <v>0</v>
      </c>
      <c r="J38" s="73">
        <v>0</v>
      </c>
      <c r="K38" s="73">
        <v>0</v>
      </c>
      <c r="L38" s="73">
        <v>0</v>
      </c>
      <c r="M38" s="73">
        <v>0</v>
      </c>
      <c r="N38" s="73">
        <v>0</v>
      </c>
      <c r="O38" s="73">
        <v>0</v>
      </c>
      <c r="P38" s="73">
        <v>0</v>
      </c>
      <c r="Q38" s="73">
        <v>0</v>
      </c>
      <c r="R38" s="73">
        <v>0</v>
      </c>
      <c r="S38" s="73">
        <v>0</v>
      </c>
      <c r="T38" s="73">
        <v>0</v>
      </c>
      <c r="U38" s="73">
        <v>0</v>
      </c>
      <c r="V38" s="73">
        <v>0</v>
      </c>
      <c r="W38" s="50"/>
      <c r="X38" s="47"/>
      <c r="Y38" s="47"/>
      <c r="Z38" s="47"/>
      <c r="AA38" s="47"/>
      <c r="AB38" s="47"/>
      <c r="AC38" s="47"/>
      <c r="AD38" s="47"/>
      <c r="AE38" s="47"/>
      <c r="AF38" s="47"/>
      <c r="AG38" s="47"/>
      <c r="AH38" s="47"/>
      <c r="AI38" s="47"/>
      <c r="AJ38" s="47"/>
      <c r="AK38" s="47"/>
      <c r="AL38" s="47"/>
      <c r="AM38" s="47"/>
      <c r="AN38" s="47"/>
      <c r="AO38" s="47"/>
      <c r="AP38" s="47"/>
      <c r="AQ38" s="47"/>
      <c r="AR38" s="47"/>
      <c r="AS38" s="47"/>
      <c r="AT38" s="47"/>
      <c r="AU38" s="47"/>
      <c r="AV38" s="47"/>
      <c r="AW38" s="47"/>
      <c r="AX38" s="47"/>
      <c r="AY38" s="47"/>
    </row>
    <row r="39" spans="1:51">
      <c r="A39" s="119"/>
      <c r="B39" s="50" t="s">
        <v>77</v>
      </c>
      <c r="C39" s="50" t="s">
        <v>77</v>
      </c>
      <c r="D39" s="50" t="s">
        <v>82</v>
      </c>
      <c r="E39" s="59" t="s">
        <v>77</v>
      </c>
      <c r="F39" s="73">
        <v>0</v>
      </c>
      <c r="G39" s="73">
        <v>0</v>
      </c>
      <c r="H39" s="73">
        <v>0</v>
      </c>
      <c r="I39" s="73">
        <v>0</v>
      </c>
      <c r="J39" s="73">
        <v>0</v>
      </c>
      <c r="K39" s="73">
        <v>0</v>
      </c>
      <c r="L39" s="73">
        <v>0</v>
      </c>
      <c r="M39" s="73">
        <v>0</v>
      </c>
      <c r="N39" s="73">
        <v>0</v>
      </c>
      <c r="O39" s="73">
        <v>0</v>
      </c>
      <c r="P39" s="73">
        <v>0</v>
      </c>
      <c r="Q39" s="73">
        <v>0</v>
      </c>
      <c r="R39" s="73">
        <v>0</v>
      </c>
      <c r="S39" s="73">
        <v>0</v>
      </c>
      <c r="T39" s="73">
        <v>0</v>
      </c>
      <c r="U39" s="73">
        <v>0</v>
      </c>
      <c r="V39" s="73">
        <v>0</v>
      </c>
      <c r="W39" s="50"/>
      <c r="X39" s="47"/>
      <c r="Y39" s="47"/>
      <c r="Z39" s="47"/>
      <c r="AA39" s="47"/>
      <c r="AB39" s="47"/>
      <c r="AC39" s="47"/>
      <c r="AD39" s="47"/>
      <c r="AE39" s="47"/>
      <c r="AF39" s="47"/>
      <c r="AG39" s="47"/>
      <c r="AH39" s="47"/>
      <c r="AI39" s="47"/>
      <c r="AJ39" s="47"/>
      <c r="AK39" s="47"/>
      <c r="AL39" s="47"/>
      <c r="AM39" s="47"/>
      <c r="AN39" s="47"/>
      <c r="AO39" s="47"/>
      <c r="AP39" s="47"/>
      <c r="AQ39" s="47"/>
      <c r="AR39" s="47"/>
      <c r="AS39" s="47"/>
      <c r="AT39" s="47"/>
      <c r="AU39" s="47"/>
      <c r="AV39" s="47"/>
      <c r="AW39" s="47"/>
      <c r="AX39" s="47"/>
      <c r="AY39" s="47"/>
    </row>
    <row r="40" spans="1:51">
      <c r="A40" s="119"/>
      <c r="B40" s="50" t="s">
        <v>77</v>
      </c>
      <c r="C40" s="50" t="s">
        <v>77</v>
      </c>
      <c r="D40" s="50" t="s">
        <v>84</v>
      </c>
      <c r="E40" s="59" t="s">
        <v>77</v>
      </c>
      <c r="F40" s="73">
        <v>0</v>
      </c>
      <c r="G40" s="73">
        <v>0</v>
      </c>
      <c r="H40" s="73">
        <v>0</v>
      </c>
      <c r="I40" s="73">
        <v>0</v>
      </c>
      <c r="J40" s="73">
        <v>0</v>
      </c>
      <c r="K40" s="73">
        <v>0</v>
      </c>
      <c r="L40" s="73">
        <v>0</v>
      </c>
      <c r="M40" s="73">
        <v>0</v>
      </c>
      <c r="N40" s="73">
        <v>0</v>
      </c>
      <c r="O40" s="73">
        <v>0</v>
      </c>
      <c r="P40" s="73">
        <v>0</v>
      </c>
      <c r="Q40" s="73">
        <v>0</v>
      </c>
      <c r="R40" s="73">
        <v>0</v>
      </c>
      <c r="S40" s="73">
        <v>0</v>
      </c>
      <c r="T40" s="73">
        <v>0</v>
      </c>
      <c r="U40" s="73">
        <v>0</v>
      </c>
      <c r="V40" s="73">
        <v>0</v>
      </c>
      <c r="W40" s="50"/>
      <c r="X40" s="47"/>
      <c r="Y40" s="47"/>
      <c r="Z40" s="47"/>
      <c r="AA40" s="47"/>
      <c r="AB40" s="47"/>
      <c r="AC40" s="47"/>
      <c r="AD40" s="47"/>
      <c r="AE40" s="47"/>
      <c r="AF40" s="47"/>
      <c r="AG40" s="47"/>
      <c r="AH40" s="47"/>
      <c r="AI40" s="47"/>
      <c r="AJ40" s="47"/>
      <c r="AK40" s="47"/>
      <c r="AL40" s="47"/>
      <c r="AM40" s="47"/>
      <c r="AN40" s="47"/>
      <c r="AO40" s="47"/>
      <c r="AP40" s="47"/>
      <c r="AQ40" s="47"/>
      <c r="AR40" s="47"/>
      <c r="AS40" s="47"/>
      <c r="AT40" s="47"/>
      <c r="AU40" s="47"/>
      <c r="AV40" s="47"/>
      <c r="AW40" s="47"/>
      <c r="AX40" s="47"/>
      <c r="AY40" s="47"/>
    </row>
    <row r="41" spans="1:51">
      <c r="A41" s="119"/>
      <c r="B41" s="50" t="s">
        <v>77</v>
      </c>
      <c r="C41" s="50" t="s">
        <v>77</v>
      </c>
      <c r="D41" s="50" t="s">
        <v>86</v>
      </c>
      <c r="E41" s="59" t="s">
        <v>77</v>
      </c>
      <c r="F41" s="73">
        <v>0</v>
      </c>
      <c r="G41" s="73">
        <v>0</v>
      </c>
      <c r="H41" s="73">
        <v>0</v>
      </c>
      <c r="I41" s="73">
        <v>0</v>
      </c>
      <c r="J41" s="73">
        <v>0</v>
      </c>
      <c r="K41" s="73">
        <v>0</v>
      </c>
      <c r="L41" s="73">
        <v>0</v>
      </c>
      <c r="M41" s="73">
        <v>0</v>
      </c>
      <c r="N41" s="73">
        <v>0</v>
      </c>
      <c r="O41" s="73">
        <v>0</v>
      </c>
      <c r="P41" s="73">
        <v>0</v>
      </c>
      <c r="Q41" s="73">
        <v>0</v>
      </c>
      <c r="R41" s="73">
        <v>0</v>
      </c>
      <c r="S41" s="73">
        <v>0</v>
      </c>
      <c r="T41" s="73">
        <v>0</v>
      </c>
      <c r="U41" s="73">
        <v>0</v>
      </c>
      <c r="V41" s="73">
        <v>0</v>
      </c>
      <c r="W41" s="50"/>
      <c r="X41" s="47"/>
      <c r="Y41" s="47"/>
      <c r="Z41" s="47"/>
      <c r="AA41" s="47"/>
      <c r="AB41" s="47"/>
      <c r="AC41" s="47"/>
      <c r="AD41" s="47"/>
      <c r="AE41" s="47"/>
      <c r="AF41" s="47"/>
      <c r="AG41" s="47"/>
      <c r="AH41" s="47"/>
      <c r="AI41" s="47"/>
      <c r="AJ41" s="47"/>
      <c r="AK41" s="47"/>
      <c r="AL41" s="47"/>
      <c r="AM41" s="47"/>
      <c r="AN41" s="47"/>
      <c r="AO41" s="47"/>
      <c r="AP41" s="47"/>
      <c r="AQ41" s="47"/>
      <c r="AR41" s="47"/>
      <c r="AS41" s="47"/>
      <c r="AT41" s="47"/>
      <c r="AU41" s="47"/>
      <c r="AV41" s="47"/>
      <c r="AW41" s="47"/>
      <c r="AX41" s="47"/>
      <c r="AY41" s="47"/>
    </row>
    <row r="42" spans="1:51">
      <c r="A42" s="119"/>
      <c r="B42" s="50" t="s">
        <v>77</v>
      </c>
      <c r="C42" s="50" t="s">
        <v>77</v>
      </c>
      <c r="D42" s="50" t="s">
        <v>88</v>
      </c>
      <c r="E42" s="59" t="s">
        <v>77</v>
      </c>
      <c r="F42" s="73">
        <v>0</v>
      </c>
      <c r="G42" s="73">
        <v>0</v>
      </c>
      <c r="H42" s="73">
        <v>0</v>
      </c>
      <c r="I42" s="73">
        <v>0</v>
      </c>
      <c r="J42" s="73">
        <v>0</v>
      </c>
      <c r="K42" s="73">
        <v>0</v>
      </c>
      <c r="L42" s="73">
        <v>0</v>
      </c>
      <c r="M42" s="73">
        <v>0</v>
      </c>
      <c r="N42" s="73">
        <v>0</v>
      </c>
      <c r="O42" s="73">
        <v>0</v>
      </c>
      <c r="P42" s="73">
        <v>0</v>
      </c>
      <c r="Q42" s="73">
        <v>0</v>
      </c>
      <c r="R42" s="73">
        <v>0</v>
      </c>
      <c r="S42" s="73">
        <v>0</v>
      </c>
      <c r="T42" s="73">
        <v>0</v>
      </c>
      <c r="U42" s="73">
        <v>0</v>
      </c>
      <c r="V42" s="73">
        <v>0</v>
      </c>
      <c r="W42" s="50"/>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7"/>
      <c r="AV42" s="47"/>
      <c r="AW42" s="47"/>
      <c r="AX42" s="47"/>
      <c r="AY42" s="47"/>
    </row>
    <row r="43" spans="1:51">
      <c r="A43" s="119"/>
      <c r="B43" s="50" t="s">
        <v>77</v>
      </c>
      <c r="C43" s="50" t="s">
        <v>77</v>
      </c>
      <c r="D43" s="50" t="s">
        <v>90</v>
      </c>
      <c r="E43" s="59" t="s">
        <v>77</v>
      </c>
      <c r="F43" s="73">
        <v>0</v>
      </c>
      <c r="G43" s="73">
        <v>0</v>
      </c>
      <c r="H43" s="73">
        <v>0</v>
      </c>
      <c r="I43" s="73">
        <v>0</v>
      </c>
      <c r="J43" s="73">
        <v>0</v>
      </c>
      <c r="K43" s="73">
        <v>0</v>
      </c>
      <c r="L43" s="73">
        <v>0</v>
      </c>
      <c r="M43" s="73">
        <v>0</v>
      </c>
      <c r="N43" s="73">
        <v>0</v>
      </c>
      <c r="O43" s="73">
        <v>0</v>
      </c>
      <c r="P43" s="73">
        <v>0</v>
      </c>
      <c r="Q43" s="73">
        <v>0</v>
      </c>
      <c r="R43" s="73">
        <v>0</v>
      </c>
      <c r="S43" s="73">
        <v>0</v>
      </c>
      <c r="T43" s="73">
        <v>0</v>
      </c>
      <c r="U43" s="73">
        <v>0</v>
      </c>
      <c r="V43" s="73">
        <v>0</v>
      </c>
      <c r="W43" s="50"/>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c r="AV43" s="47"/>
      <c r="AW43" s="47"/>
      <c r="AX43" s="47"/>
      <c r="AY43" s="47"/>
    </row>
    <row r="44" spans="1:51">
      <c r="A44" s="119"/>
      <c r="B44" s="50" t="s">
        <v>77</v>
      </c>
      <c r="C44" s="50" t="s">
        <v>77</v>
      </c>
      <c r="D44" s="50" t="s">
        <v>92</v>
      </c>
      <c r="E44" s="59" t="s">
        <v>77</v>
      </c>
      <c r="F44" s="73">
        <v>0</v>
      </c>
      <c r="G44" s="73">
        <v>0</v>
      </c>
      <c r="H44" s="73">
        <v>0</v>
      </c>
      <c r="I44" s="73">
        <v>0</v>
      </c>
      <c r="J44" s="73">
        <v>0</v>
      </c>
      <c r="K44" s="73">
        <v>0</v>
      </c>
      <c r="L44" s="73">
        <v>0</v>
      </c>
      <c r="M44" s="73">
        <v>0</v>
      </c>
      <c r="N44" s="73">
        <v>0</v>
      </c>
      <c r="O44" s="73">
        <v>0</v>
      </c>
      <c r="P44" s="73">
        <v>0</v>
      </c>
      <c r="Q44" s="73">
        <v>0</v>
      </c>
      <c r="R44" s="73">
        <v>0</v>
      </c>
      <c r="S44" s="73">
        <v>0</v>
      </c>
      <c r="T44" s="73">
        <v>0</v>
      </c>
      <c r="U44" s="73">
        <v>0</v>
      </c>
      <c r="V44" s="73">
        <v>0</v>
      </c>
      <c r="W44" s="50"/>
      <c r="X44" s="47"/>
      <c r="Y44" s="47"/>
      <c r="Z44" s="47"/>
      <c r="AA44" s="47"/>
      <c r="AB44" s="47"/>
      <c r="AC44" s="47"/>
      <c r="AD44" s="47"/>
      <c r="AE44" s="47"/>
      <c r="AF44" s="47"/>
      <c r="AG44" s="47"/>
      <c r="AH44" s="47"/>
      <c r="AI44" s="47"/>
      <c r="AJ44" s="47"/>
      <c r="AK44" s="47"/>
      <c r="AL44" s="47"/>
      <c r="AM44" s="47"/>
      <c r="AN44" s="47"/>
      <c r="AO44" s="47"/>
      <c r="AP44" s="47"/>
      <c r="AQ44" s="47"/>
      <c r="AR44" s="47"/>
      <c r="AS44" s="47"/>
      <c r="AT44" s="47"/>
      <c r="AU44" s="47"/>
      <c r="AV44" s="47"/>
      <c r="AW44" s="47"/>
      <c r="AX44" s="47"/>
      <c r="AY44" s="47"/>
    </row>
    <row r="45" spans="1:51">
      <c r="A45" s="119"/>
      <c r="B45" s="50" t="s">
        <v>87</v>
      </c>
      <c r="C45" s="49" t="s">
        <v>98</v>
      </c>
      <c r="D45" s="50" t="s">
        <v>79</v>
      </c>
      <c r="E45" s="59" t="s">
        <v>77</v>
      </c>
      <c r="F45" s="73">
        <v>0</v>
      </c>
      <c r="G45" s="73">
        <v>0</v>
      </c>
      <c r="H45" s="73">
        <v>0</v>
      </c>
      <c r="I45" s="73">
        <v>0</v>
      </c>
      <c r="J45" s="73">
        <v>0</v>
      </c>
      <c r="K45" s="73">
        <v>0</v>
      </c>
      <c r="L45" s="73">
        <v>0</v>
      </c>
      <c r="M45" s="73">
        <v>0</v>
      </c>
      <c r="N45" s="73">
        <v>0</v>
      </c>
      <c r="O45" s="73">
        <v>0</v>
      </c>
      <c r="P45" s="73">
        <v>0</v>
      </c>
      <c r="Q45" s="73">
        <v>0</v>
      </c>
      <c r="R45" s="73">
        <v>0</v>
      </c>
      <c r="S45" s="73">
        <v>0</v>
      </c>
      <c r="T45" s="73">
        <v>0</v>
      </c>
      <c r="U45" s="73">
        <v>0</v>
      </c>
      <c r="V45" s="73">
        <v>0</v>
      </c>
      <c r="W45" s="50"/>
      <c r="X45" s="47"/>
      <c r="Y45" s="47"/>
      <c r="Z45" s="47"/>
      <c r="AA45" s="47"/>
      <c r="AB45" s="47"/>
      <c r="AC45" s="47"/>
      <c r="AD45" s="47"/>
      <c r="AE45" s="47"/>
      <c r="AF45" s="47"/>
      <c r="AG45" s="47"/>
      <c r="AH45" s="47"/>
      <c r="AI45" s="47"/>
      <c r="AJ45" s="47"/>
      <c r="AK45" s="47"/>
      <c r="AL45" s="47"/>
      <c r="AM45" s="47"/>
      <c r="AN45" s="47"/>
      <c r="AO45" s="47"/>
      <c r="AP45" s="47"/>
      <c r="AQ45" s="47"/>
      <c r="AR45" s="47"/>
      <c r="AS45" s="47"/>
      <c r="AT45" s="47"/>
      <c r="AU45" s="47"/>
      <c r="AV45" s="47"/>
      <c r="AW45" s="47"/>
      <c r="AX45" s="47"/>
      <c r="AY45" s="47"/>
    </row>
    <row r="46" spans="1:51">
      <c r="A46" s="119"/>
      <c r="B46" s="75" t="s">
        <v>77</v>
      </c>
      <c r="C46" s="76" t="s">
        <v>77</v>
      </c>
      <c r="D46" s="50" t="s">
        <v>82</v>
      </c>
      <c r="E46" s="59" t="s">
        <v>77</v>
      </c>
      <c r="F46" s="73">
        <v>0</v>
      </c>
      <c r="G46" s="73">
        <v>0</v>
      </c>
      <c r="H46" s="73">
        <v>0</v>
      </c>
      <c r="I46" s="73">
        <v>0</v>
      </c>
      <c r="J46" s="73">
        <v>0</v>
      </c>
      <c r="K46" s="73">
        <v>0</v>
      </c>
      <c r="L46" s="73">
        <v>0</v>
      </c>
      <c r="M46" s="73">
        <v>0</v>
      </c>
      <c r="N46" s="73">
        <v>0</v>
      </c>
      <c r="O46" s="73">
        <v>0</v>
      </c>
      <c r="P46" s="73">
        <v>0</v>
      </c>
      <c r="Q46" s="73">
        <v>0</v>
      </c>
      <c r="R46" s="73">
        <v>0</v>
      </c>
      <c r="S46" s="73">
        <v>0</v>
      </c>
      <c r="T46" s="73">
        <v>0</v>
      </c>
      <c r="U46" s="73">
        <v>0</v>
      </c>
      <c r="V46" s="73">
        <v>0</v>
      </c>
      <c r="W46" s="50" t="s">
        <v>77</v>
      </c>
      <c r="X46" s="47" t="s">
        <v>77</v>
      </c>
      <c r="Y46" s="47" t="s">
        <v>77</v>
      </c>
      <c r="Z46" s="47" t="s">
        <v>77</v>
      </c>
      <c r="AA46" s="47" t="s">
        <v>77</v>
      </c>
      <c r="AB46" s="47" t="s">
        <v>77</v>
      </c>
      <c r="AC46" s="47" t="s">
        <v>77</v>
      </c>
      <c r="AD46" s="47" t="s">
        <v>77</v>
      </c>
      <c r="AE46" s="47" t="s">
        <v>77</v>
      </c>
      <c r="AF46" s="47" t="s">
        <v>77</v>
      </c>
      <c r="AG46" s="47" t="s">
        <v>77</v>
      </c>
      <c r="AH46" s="47" t="s">
        <v>77</v>
      </c>
      <c r="AI46" s="47" t="s">
        <v>77</v>
      </c>
      <c r="AJ46" s="47" t="s">
        <v>77</v>
      </c>
      <c r="AK46" s="47" t="s">
        <v>77</v>
      </c>
      <c r="AL46" s="47" t="s">
        <v>77</v>
      </c>
      <c r="AM46" s="47" t="s">
        <v>77</v>
      </c>
      <c r="AN46" s="47" t="s">
        <v>77</v>
      </c>
      <c r="AO46" s="47" t="s">
        <v>77</v>
      </c>
      <c r="AP46" s="47" t="s">
        <v>77</v>
      </c>
      <c r="AQ46" s="47" t="s">
        <v>77</v>
      </c>
      <c r="AR46" s="47" t="s">
        <v>77</v>
      </c>
      <c r="AS46" s="47" t="s">
        <v>77</v>
      </c>
      <c r="AT46" s="47" t="s">
        <v>77</v>
      </c>
      <c r="AU46" s="47" t="s">
        <v>77</v>
      </c>
      <c r="AV46" s="47" t="s">
        <v>77</v>
      </c>
      <c r="AW46" s="47" t="s">
        <v>77</v>
      </c>
      <c r="AX46" s="47"/>
      <c r="AY46" s="47"/>
    </row>
    <row r="47" spans="1:51">
      <c r="A47" s="119"/>
      <c r="B47" s="75" t="s">
        <v>77</v>
      </c>
      <c r="C47" s="76" t="s">
        <v>77</v>
      </c>
      <c r="D47" s="50" t="s">
        <v>84</v>
      </c>
      <c r="E47" s="59" t="s">
        <v>77</v>
      </c>
      <c r="F47" s="73">
        <v>0</v>
      </c>
      <c r="G47" s="73">
        <v>0</v>
      </c>
      <c r="H47" s="73">
        <v>0</v>
      </c>
      <c r="I47" s="73">
        <v>0</v>
      </c>
      <c r="J47" s="73">
        <v>0</v>
      </c>
      <c r="K47" s="73">
        <v>0</v>
      </c>
      <c r="L47" s="73">
        <v>0</v>
      </c>
      <c r="M47" s="73">
        <v>0</v>
      </c>
      <c r="N47" s="73">
        <v>0</v>
      </c>
      <c r="O47" s="73">
        <v>0</v>
      </c>
      <c r="P47" s="73">
        <v>0</v>
      </c>
      <c r="Q47" s="73">
        <v>0</v>
      </c>
      <c r="R47" s="73">
        <v>0</v>
      </c>
      <c r="S47" s="73">
        <v>0</v>
      </c>
      <c r="T47" s="73">
        <v>0</v>
      </c>
      <c r="U47" s="73">
        <v>0</v>
      </c>
      <c r="V47" s="73">
        <v>0</v>
      </c>
      <c r="W47" s="50" t="s">
        <v>77</v>
      </c>
      <c r="X47" s="47" t="s">
        <v>77</v>
      </c>
      <c r="Y47" s="47" t="s">
        <v>77</v>
      </c>
      <c r="Z47" s="47" t="s">
        <v>77</v>
      </c>
      <c r="AA47" s="47" t="s">
        <v>77</v>
      </c>
      <c r="AB47" s="47" t="s">
        <v>77</v>
      </c>
      <c r="AC47" s="47" t="s">
        <v>77</v>
      </c>
      <c r="AD47" s="47" t="s">
        <v>77</v>
      </c>
      <c r="AE47" s="47" t="s">
        <v>77</v>
      </c>
      <c r="AF47" s="47" t="s">
        <v>77</v>
      </c>
      <c r="AG47" s="47" t="s">
        <v>77</v>
      </c>
      <c r="AH47" s="47" t="s">
        <v>77</v>
      </c>
      <c r="AI47" s="47" t="s">
        <v>77</v>
      </c>
      <c r="AJ47" s="47" t="s">
        <v>77</v>
      </c>
      <c r="AK47" s="47" t="s">
        <v>77</v>
      </c>
      <c r="AL47" s="47" t="s">
        <v>77</v>
      </c>
      <c r="AM47" s="47" t="s">
        <v>77</v>
      </c>
      <c r="AN47" s="47" t="s">
        <v>77</v>
      </c>
      <c r="AO47" s="47" t="s">
        <v>77</v>
      </c>
      <c r="AP47" s="47" t="s">
        <v>77</v>
      </c>
      <c r="AQ47" s="47" t="s">
        <v>77</v>
      </c>
      <c r="AR47" s="47" t="s">
        <v>77</v>
      </c>
      <c r="AS47" s="47" t="s">
        <v>77</v>
      </c>
      <c r="AT47" s="47" t="s">
        <v>77</v>
      </c>
      <c r="AU47" s="47" t="s">
        <v>77</v>
      </c>
      <c r="AV47" s="47" t="s">
        <v>77</v>
      </c>
      <c r="AW47" s="47" t="s">
        <v>77</v>
      </c>
      <c r="AX47" s="47"/>
      <c r="AY47" s="47"/>
    </row>
    <row r="48" spans="1:51">
      <c r="A48" s="119"/>
      <c r="B48" s="75" t="s">
        <v>77</v>
      </c>
      <c r="C48" s="76" t="s">
        <v>77</v>
      </c>
      <c r="D48" s="50" t="s">
        <v>86</v>
      </c>
      <c r="E48" s="59" t="s">
        <v>77</v>
      </c>
      <c r="F48" s="73">
        <v>0</v>
      </c>
      <c r="G48" s="73">
        <v>0</v>
      </c>
      <c r="H48" s="73">
        <v>0</v>
      </c>
      <c r="I48" s="73">
        <v>0</v>
      </c>
      <c r="J48" s="73">
        <v>0</v>
      </c>
      <c r="K48" s="73">
        <v>0</v>
      </c>
      <c r="L48" s="73">
        <v>0</v>
      </c>
      <c r="M48" s="73">
        <v>0</v>
      </c>
      <c r="N48" s="73">
        <v>0</v>
      </c>
      <c r="O48" s="73">
        <v>0</v>
      </c>
      <c r="P48" s="73">
        <v>0</v>
      </c>
      <c r="Q48" s="73">
        <v>0</v>
      </c>
      <c r="R48" s="73">
        <v>0</v>
      </c>
      <c r="S48" s="73">
        <v>0</v>
      </c>
      <c r="T48" s="73">
        <v>0</v>
      </c>
      <c r="U48" s="73">
        <v>0</v>
      </c>
      <c r="V48" s="73">
        <v>0</v>
      </c>
      <c r="W48" s="50" t="s">
        <v>77</v>
      </c>
      <c r="X48" s="47" t="s">
        <v>77</v>
      </c>
      <c r="Y48" s="47" t="s">
        <v>77</v>
      </c>
      <c r="Z48" s="47" t="s">
        <v>77</v>
      </c>
      <c r="AA48" s="47" t="s">
        <v>77</v>
      </c>
      <c r="AB48" s="47" t="s">
        <v>77</v>
      </c>
      <c r="AC48" s="47" t="s">
        <v>77</v>
      </c>
      <c r="AD48" s="47" t="s">
        <v>77</v>
      </c>
      <c r="AE48" s="47" t="s">
        <v>77</v>
      </c>
      <c r="AF48" s="47" t="s">
        <v>77</v>
      </c>
      <c r="AG48" s="47" t="s">
        <v>77</v>
      </c>
      <c r="AH48" s="47" t="s">
        <v>77</v>
      </c>
      <c r="AI48" s="47" t="s">
        <v>77</v>
      </c>
      <c r="AJ48" s="47" t="s">
        <v>77</v>
      </c>
      <c r="AK48" s="47" t="s">
        <v>77</v>
      </c>
      <c r="AL48" s="47" t="s">
        <v>77</v>
      </c>
      <c r="AM48" s="47" t="s">
        <v>77</v>
      </c>
      <c r="AN48" s="47" t="s">
        <v>77</v>
      </c>
      <c r="AO48" s="47" t="s">
        <v>77</v>
      </c>
      <c r="AP48" s="47" t="s">
        <v>77</v>
      </c>
      <c r="AQ48" s="47" t="s">
        <v>77</v>
      </c>
      <c r="AR48" s="47" t="s">
        <v>77</v>
      </c>
      <c r="AS48" s="47" t="s">
        <v>77</v>
      </c>
      <c r="AT48" s="47" t="s">
        <v>77</v>
      </c>
      <c r="AU48" s="47" t="s">
        <v>77</v>
      </c>
      <c r="AV48" s="47" t="s">
        <v>77</v>
      </c>
      <c r="AW48" s="47" t="s">
        <v>77</v>
      </c>
      <c r="AX48" s="47"/>
      <c r="AY48" s="47"/>
    </row>
    <row r="49" spans="1:51">
      <c r="A49" s="119"/>
      <c r="B49" s="75" t="s">
        <v>77</v>
      </c>
      <c r="C49" s="76" t="s">
        <v>77</v>
      </c>
      <c r="D49" s="50" t="s">
        <v>88</v>
      </c>
      <c r="E49" s="59" t="s">
        <v>77</v>
      </c>
      <c r="F49" s="73">
        <v>0</v>
      </c>
      <c r="G49" s="73">
        <v>0</v>
      </c>
      <c r="H49" s="73">
        <v>0</v>
      </c>
      <c r="I49" s="73">
        <v>0</v>
      </c>
      <c r="J49" s="73">
        <v>0</v>
      </c>
      <c r="K49" s="73">
        <v>0</v>
      </c>
      <c r="L49" s="73">
        <v>0</v>
      </c>
      <c r="M49" s="73">
        <v>0</v>
      </c>
      <c r="N49" s="73">
        <v>0</v>
      </c>
      <c r="O49" s="73">
        <v>0</v>
      </c>
      <c r="P49" s="73">
        <v>0</v>
      </c>
      <c r="Q49" s="73">
        <v>0</v>
      </c>
      <c r="R49" s="73">
        <v>0</v>
      </c>
      <c r="S49" s="73">
        <v>0</v>
      </c>
      <c r="T49" s="73">
        <v>0</v>
      </c>
      <c r="U49" s="73">
        <v>0</v>
      </c>
      <c r="V49" s="73">
        <v>0</v>
      </c>
      <c r="W49" s="50" t="s">
        <v>77</v>
      </c>
      <c r="X49" s="47" t="s">
        <v>77</v>
      </c>
      <c r="Y49" s="47" t="s">
        <v>77</v>
      </c>
      <c r="Z49" s="47" t="s">
        <v>77</v>
      </c>
      <c r="AA49" s="47" t="s">
        <v>77</v>
      </c>
      <c r="AB49" s="47" t="s">
        <v>77</v>
      </c>
      <c r="AC49" s="47" t="s">
        <v>77</v>
      </c>
      <c r="AD49" s="47" t="s">
        <v>77</v>
      </c>
      <c r="AE49" s="47" t="s">
        <v>77</v>
      </c>
      <c r="AF49" s="47" t="s">
        <v>77</v>
      </c>
      <c r="AG49" s="47" t="s">
        <v>77</v>
      </c>
      <c r="AH49" s="47" t="s">
        <v>77</v>
      </c>
      <c r="AI49" s="47" t="s">
        <v>77</v>
      </c>
      <c r="AJ49" s="47" t="s">
        <v>77</v>
      </c>
      <c r="AK49" s="47" t="s">
        <v>77</v>
      </c>
      <c r="AL49" s="47" t="s">
        <v>77</v>
      </c>
      <c r="AM49" s="47" t="s">
        <v>77</v>
      </c>
      <c r="AN49" s="47" t="s">
        <v>77</v>
      </c>
      <c r="AO49" s="47" t="s">
        <v>77</v>
      </c>
      <c r="AP49" s="47" t="s">
        <v>77</v>
      </c>
      <c r="AQ49" s="47" t="s">
        <v>77</v>
      </c>
      <c r="AR49" s="47" t="s">
        <v>77</v>
      </c>
      <c r="AS49" s="47" t="s">
        <v>77</v>
      </c>
      <c r="AT49" s="47" t="s">
        <v>77</v>
      </c>
      <c r="AU49" s="47" t="s">
        <v>77</v>
      </c>
      <c r="AV49" s="47" t="s">
        <v>77</v>
      </c>
      <c r="AW49" s="47" t="s">
        <v>77</v>
      </c>
      <c r="AX49" s="47"/>
      <c r="AY49" s="47"/>
    </row>
    <row r="50" spans="1:51">
      <c r="A50" s="119"/>
      <c r="B50" s="75" t="s">
        <v>77</v>
      </c>
      <c r="C50" s="76" t="s">
        <v>77</v>
      </c>
      <c r="D50" s="50" t="s">
        <v>90</v>
      </c>
      <c r="E50" s="59" t="s">
        <v>77</v>
      </c>
      <c r="F50" s="73">
        <v>0</v>
      </c>
      <c r="G50" s="73">
        <v>0</v>
      </c>
      <c r="H50" s="73">
        <v>0</v>
      </c>
      <c r="I50" s="73">
        <v>0</v>
      </c>
      <c r="J50" s="73">
        <v>0</v>
      </c>
      <c r="K50" s="73">
        <v>0</v>
      </c>
      <c r="L50" s="73">
        <v>0</v>
      </c>
      <c r="M50" s="73">
        <v>0</v>
      </c>
      <c r="N50" s="73">
        <v>0</v>
      </c>
      <c r="O50" s="73">
        <v>0</v>
      </c>
      <c r="P50" s="73">
        <v>0</v>
      </c>
      <c r="Q50" s="73">
        <v>0</v>
      </c>
      <c r="R50" s="73">
        <v>0</v>
      </c>
      <c r="S50" s="73">
        <v>0</v>
      </c>
      <c r="T50" s="73">
        <v>0</v>
      </c>
      <c r="U50" s="73">
        <v>0</v>
      </c>
      <c r="V50" s="73">
        <v>0</v>
      </c>
      <c r="W50" s="50" t="s">
        <v>77</v>
      </c>
      <c r="X50" s="47" t="s">
        <v>77</v>
      </c>
      <c r="Y50" s="47" t="s">
        <v>77</v>
      </c>
      <c r="Z50" s="47" t="s">
        <v>77</v>
      </c>
      <c r="AA50" s="47" t="s">
        <v>77</v>
      </c>
      <c r="AB50" s="47" t="s">
        <v>77</v>
      </c>
      <c r="AC50" s="47" t="s">
        <v>77</v>
      </c>
      <c r="AD50" s="47" t="s">
        <v>77</v>
      </c>
      <c r="AE50" s="47" t="s">
        <v>77</v>
      </c>
      <c r="AF50" s="47" t="s">
        <v>77</v>
      </c>
      <c r="AG50" s="47" t="s">
        <v>77</v>
      </c>
      <c r="AH50" s="47" t="s">
        <v>77</v>
      </c>
      <c r="AI50" s="47" t="s">
        <v>77</v>
      </c>
      <c r="AJ50" s="47" t="s">
        <v>77</v>
      </c>
      <c r="AK50" s="47" t="s">
        <v>77</v>
      </c>
      <c r="AL50" s="47" t="s">
        <v>77</v>
      </c>
      <c r="AM50" s="47" t="s">
        <v>77</v>
      </c>
      <c r="AN50" s="47" t="s">
        <v>77</v>
      </c>
      <c r="AO50" s="47" t="s">
        <v>77</v>
      </c>
      <c r="AP50" s="47" t="s">
        <v>77</v>
      </c>
      <c r="AQ50" s="47" t="s">
        <v>77</v>
      </c>
      <c r="AR50" s="47" t="s">
        <v>77</v>
      </c>
      <c r="AS50" s="47" t="s">
        <v>77</v>
      </c>
      <c r="AT50" s="47" t="s">
        <v>77</v>
      </c>
      <c r="AU50" s="47" t="s">
        <v>77</v>
      </c>
      <c r="AV50" s="47" t="s">
        <v>77</v>
      </c>
      <c r="AW50" s="47" t="s">
        <v>77</v>
      </c>
      <c r="AX50" s="47"/>
      <c r="AY50" s="47"/>
    </row>
    <row r="51" spans="1:51">
      <c r="A51" s="119"/>
      <c r="B51" s="75" t="s">
        <v>77</v>
      </c>
      <c r="C51" s="76" t="s">
        <v>77</v>
      </c>
      <c r="D51" s="50" t="s">
        <v>92</v>
      </c>
      <c r="E51" s="59" t="s">
        <v>77</v>
      </c>
      <c r="F51" s="73">
        <v>0</v>
      </c>
      <c r="G51" s="73">
        <v>0</v>
      </c>
      <c r="H51" s="73">
        <v>0</v>
      </c>
      <c r="I51" s="73">
        <v>0</v>
      </c>
      <c r="J51" s="73">
        <v>0</v>
      </c>
      <c r="K51" s="73">
        <v>0</v>
      </c>
      <c r="L51" s="73">
        <v>0</v>
      </c>
      <c r="M51" s="73">
        <v>0</v>
      </c>
      <c r="N51" s="73">
        <v>0</v>
      </c>
      <c r="O51" s="73">
        <v>0</v>
      </c>
      <c r="P51" s="73">
        <v>0</v>
      </c>
      <c r="Q51" s="73">
        <v>0</v>
      </c>
      <c r="R51" s="73">
        <v>0</v>
      </c>
      <c r="S51" s="73">
        <v>0</v>
      </c>
      <c r="T51" s="73">
        <v>0</v>
      </c>
      <c r="U51" s="73">
        <v>0</v>
      </c>
      <c r="V51" s="73">
        <v>0</v>
      </c>
      <c r="W51" s="50" t="s">
        <v>77</v>
      </c>
      <c r="X51" s="47" t="s">
        <v>77</v>
      </c>
      <c r="Y51" s="47" t="s">
        <v>77</v>
      </c>
      <c r="Z51" s="47" t="s">
        <v>77</v>
      </c>
      <c r="AA51" s="47" t="s">
        <v>77</v>
      </c>
      <c r="AB51" s="47" t="s">
        <v>77</v>
      </c>
      <c r="AC51" s="47" t="s">
        <v>77</v>
      </c>
      <c r="AD51" s="47" t="s">
        <v>77</v>
      </c>
      <c r="AE51" s="47" t="s">
        <v>77</v>
      </c>
      <c r="AF51" s="47" t="s">
        <v>77</v>
      </c>
      <c r="AG51" s="47" t="s">
        <v>77</v>
      </c>
      <c r="AH51" s="47" t="s">
        <v>77</v>
      </c>
      <c r="AI51" s="47" t="s">
        <v>77</v>
      </c>
      <c r="AJ51" s="47" t="s">
        <v>77</v>
      </c>
      <c r="AK51" s="47" t="s">
        <v>77</v>
      </c>
      <c r="AL51" s="47" t="s">
        <v>77</v>
      </c>
      <c r="AM51" s="47" t="s">
        <v>77</v>
      </c>
      <c r="AN51" s="47" t="s">
        <v>77</v>
      </c>
      <c r="AO51" s="47" t="s">
        <v>77</v>
      </c>
      <c r="AP51" s="47" t="s">
        <v>77</v>
      </c>
      <c r="AQ51" s="47" t="s">
        <v>77</v>
      </c>
      <c r="AR51" s="47" t="s">
        <v>77</v>
      </c>
      <c r="AS51" s="47" t="s">
        <v>77</v>
      </c>
      <c r="AT51" s="47" t="s">
        <v>77</v>
      </c>
      <c r="AU51" s="47" t="s">
        <v>77</v>
      </c>
      <c r="AV51" s="47" t="s">
        <v>77</v>
      </c>
      <c r="AW51" s="47" t="s">
        <v>77</v>
      </c>
      <c r="AX51" s="47"/>
      <c r="AY51" s="47"/>
    </row>
    <row r="52" spans="1:51">
      <c r="A52" s="119"/>
      <c r="B52" s="75" t="s">
        <v>89</v>
      </c>
      <c r="C52" s="76" t="s">
        <v>99</v>
      </c>
      <c r="D52" s="75" t="s">
        <v>79</v>
      </c>
      <c r="E52" s="59" t="s">
        <v>77</v>
      </c>
      <c r="F52" s="73">
        <v>0</v>
      </c>
      <c r="G52" s="73">
        <v>0</v>
      </c>
      <c r="H52" s="73">
        <v>0</v>
      </c>
      <c r="I52" s="73">
        <v>0</v>
      </c>
      <c r="J52" s="73">
        <v>0</v>
      </c>
      <c r="K52" s="73">
        <v>0</v>
      </c>
      <c r="L52" s="73">
        <v>0</v>
      </c>
      <c r="M52" s="73">
        <v>0</v>
      </c>
      <c r="N52" s="73">
        <v>0</v>
      </c>
      <c r="O52" s="73">
        <v>0</v>
      </c>
      <c r="P52" s="73">
        <v>0</v>
      </c>
      <c r="Q52" s="73">
        <v>0</v>
      </c>
      <c r="R52" s="73">
        <v>0</v>
      </c>
      <c r="S52" s="73">
        <v>0</v>
      </c>
      <c r="T52" s="73">
        <v>0</v>
      </c>
      <c r="U52" s="73">
        <v>0</v>
      </c>
      <c r="V52" s="73">
        <v>0</v>
      </c>
      <c r="W52" s="50" t="s">
        <v>77</v>
      </c>
      <c r="X52" s="47" t="s">
        <v>77</v>
      </c>
      <c r="Y52" s="47" t="s">
        <v>77</v>
      </c>
      <c r="Z52" s="47" t="s">
        <v>77</v>
      </c>
      <c r="AA52" s="47" t="s">
        <v>77</v>
      </c>
      <c r="AB52" s="47" t="s">
        <v>77</v>
      </c>
      <c r="AC52" s="47" t="s">
        <v>77</v>
      </c>
      <c r="AD52" s="47" t="s">
        <v>77</v>
      </c>
      <c r="AE52" s="47" t="s">
        <v>77</v>
      </c>
      <c r="AF52" s="47" t="s">
        <v>77</v>
      </c>
      <c r="AG52" s="47" t="s">
        <v>77</v>
      </c>
      <c r="AH52" s="47" t="s">
        <v>77</v>
      </c>
      <c r="AI52" s="47" t="s">
        <v>77</v>
      </c>
      <c r="AJ52" s="47" t="s">
        <v>77</v>
      </c>
      <c r="AK52" s="47" t="s">
        <v>77</v>
      </c>
      <c r="AL52" s="47" t="s">
        <v>77</v>
      </c>
      <c r="AM52" s="47" t="s">
        <v>77</v>
      </c>
      <c r="AN52" s="47" t="s">
        <v>77</v>
      </c>
      <c r="AO52" s="47" t="s">
        <v>77</v>
      </c>
      <c r="AP52" s="47" t="s">
        <v>77</v>
      </c>
      <c r="AQ52" s="47" t="s">
        <v>77</v>
      </c>
      <c r="AR52" s="47" t="s">
        <v>77</v>
      </c>
      <c r="AS52" s="47" t="s">
        <v>77</v>
      </c>
      <c r="AT52" s="47" t="s">
        <v>77</v>
      </c>
      <c r="AU52" s="47" t="s">
        <v>77</v>
      </c>
      <c r="AV52" s="47" t="s">
        <v>77</v>
      </c>
      <c r="AW52" s="47" t="s">
        <v>77</v>
      </c>
      <c r="AX52" s="47"/>
      <c r="AY52" s="47"/>
    </row>
    <row r="53" spans="1:51">
      <c r="A53" s="119"/>
      <c r="B53" s="75" t="s">
        <v>77</v>
      </c>
      <c r="C53" s="76" t="s">
        <v>77</v>
      </c>
      <c r="D53" s="75" t="s">
        <v>82</v>
      </c>
      <c r="E53" s="59" t="s">
        <v>77</v>
      </c>
      <c r="F53" s="73">
        <v>0</v>
      </c>
      <c r="G53" s="73">
        <v>0</v>
      </c>
      <c r="H53" s="73">
        <v>0</v>
      </c>
      <c r="I53" s="73">
        <v>0</v>
      </c>
      <c r="J53" s="73">
        <v>0</v>
      </c>
      <c r="K53" s="73">
        <v>0</v>
      </c>
      <c r="L53" s="73">
        <v>0</v>
      </c>
      <c r="M53" s="73">
        <v>0</v>
      </c>
      <c r="N53" s="73">
        <v>0</v>
      </c>
      <c r="O53" s="73">
        <v>0</v>
      </c>
      <c r="P53" s="73">
        <v>0</v>
      </c>
      <c r="Q53" s="73">
        <v>0</v>
      </c>
      <c r="R53" s="73">
        <v>0</v>
      </c>
      <c r="S53" s="73">
        <v>0</v>
      </c>
      <c r="T53" s="73">
        <v>0</v>
      </c>
      <c r="U53" s="73">
        <v>0</v>
      </c>
      <c r="V53" s="73">
        <v>0</v>
      </c>
      <c r="W53" s="50" t="s">
        <v>77</v>
      </c>
      <c r="X53" s="47" t="s">
        <v>77</v>
      </c>
      <c r="Y53" s="47" t="s">
        <v>77</v>
      </c>
      <c r="Z53" s="47" t="s">
        <v>77</v>
      </c>
      <c r="AA53" s="47" t="s">
        <v>77</v>
      </c>
      <c r="AB53" s="47" t="s">
        <v>77</v>
      </c>
      <c r="AC53" s="47" t="s">
        <v>77</v>
      </c>
      <c r="AD53" s="47" t="s">
        <v>77</v>
      </c>
      <c r="AE53" s="47" t="s">
        <v>77</v>
      </c>
      <c r="AF53" s="47" t="s">
        <v>77</v>
      </c>
      <c r="AG53" s="47" t="s">
        <v>77</v>
      </c>
      <c r="AH53" s="47" t="s">
        <v>77</v>
      </c>
      <c r="AI53" s="47" t="s">
        <v>77</v>
      </c>
      <c r="AJ53" s="47" t="s">
        <v>77</v>
      </c>
      <c r="AK53" s="47" t="s">
        <v>77</v>
      </c>
      <c r="AL53" s="47" t="s">
        <v>77</v>
      </c>
      <c r="AM53" s="47" t="s">
        <v>77</v>
      </c>
      <c r="AN53" s="47" t="s">
        <v>77</v>
      </c>
      <c r="AO53" s="47" t="s">
        <v>77</v>
      </c>
      <c r="AP53" s="47" t="s">
        <v>77</v>
      </c>
      <c r="AQ53" s="47" t="s">
        <v>77</v>
      </c>
      <c r="AR53" s="47" t="s">
        <v>77</v>
      </c>
      <c r="AS53" s="47" t="s">
        <v>77</v>
      </c>
      <c r="AT53" s="47" t="s">
        <v>77</v>
      </c>
      <c r="AU53" s="47" t="s">
        <v>77</v>
      </c>
      <c r="AV53" s="47" t="s">
        <v>77</v>
      </c>
      <c r="AW53" s="47" t="s">
        <v>77</v>
      </c>
      <c r="AX53" s="47"/>
      <c r="AY53" s="47"/>
    </row>
    <row r="54" spans="1:51">
      <c r="A54" s="119"/>
      <c r="B54" s="75" t="s">
        <v>77</v>
      </c>
      <c r="C54" s="76" t="s">
        <v>77</v>
      </c>
      <c r="D54" s="75" t="s">
        <v>84</v>
      </c>
      <c r="E54" s="59" t="s">
        <v>77</v>
      </c>
      <c r="F54" s="73">
        <v>0</v>
      </c>
      <c r="G54" s="73">
        <v>0</v>
      </c>
      <c r="H54" s="73">
        <v>0</v>
      </c>
      <c r="I54" s="73">
        <v>0</v>
      </c>
      <c r="J54" s="73">
        <v>0</v>
      </c>
      <c r="K54" s="73">
        <v>0</v>
      </c>
      <c r="L54" s="73">
        <v>0</v>
      </c>
      <c r="M54" s="73">
        <v>0</v>
      </c>
      <c r="N54" s="73">
        <v>0</v>
      </c>
      <c r="O54" s="73">
        <v>0</v>
      </c>
      <c r="P54" s="73">
        <v>0</v>
      </c>
      <c r="Q54" s="73">
        <v>0</v>
      </c>
      <c r="R54" s="73">
        <v>0</v>
      </c>
      <c r="S54" s="73">
        <v>0</v>
      </c>
      <c r="T54" s="73">
        <v>0</v>
      </c>
      <c r="U54" s="73">
        <v>0</v>
      </c>
      <c r="V54" s="73">
        <v>0</v>
      </c>
      <c r="W54" s="50" t="s">
        <v>77</v>
      </c>
      <c r="X54" s="47" t="s">
        <v>77</v>
      </c>
      <c r="Y54" s="47" t="s">
        <v>77</v>
      </c>
      <c r="Z54" s="47" t="s">
        <v>77</v>
      </c>
      <c r="AA54" s="47" t="s">
        <v>77</v>
      </c>
      <c r="AB54" s="47" t="s">
        <v>77</v>
      </c>
      <c r="AC54" s="47" t="s">
        <v>77</v>
      </c>
      <c r="AD54" s="47" t="s">
        <v>77</v>
      </c>
      <c r="AE54" s="47" t="s">
        <v>77</v>
      </c>
      <c r="AF54" s="47" t="s">
        <v>77</v>
      </c>
      <c r="AG54" s="47" t="s">
        <v>77</v>
      </c>
      <c r="AH54" s="47" t="s">
        <v>77</v>
      </c>
      <c r="AI54" s="47" t="s">
        <v>77</v>
      </c>
      <c r="AJ54" s="47" t="s">
        <v>77</v>
      </c>
      <c r="AK54" s="47" t="s">
        <v>77</v>
      </c>
      <c r="AL54" s="47" t="s">
        <v>77</v>
      </c>
      <c r="AM54" s="47" t="s">
        <v>77</v>
      </c>
      <c r="AN54" s="47" t="s">
        <v>77</v>
      </c>
      <c r="AO54" s="47" t="s">
        <v>77</v>
      </c>
      <c r="AP54" s="47" t="s">
        <v>77</v>
      </c>
      <c r="AQ54" s="47" t="s">
        <v>77</v>
      </c>
      <c r="AR54" s="47" t="s">
        <v>77</v>
      </c>
      <c r="AS54" s="47" t="s">
        <v>77</v>
      </c>
      <c r="AT54" s="47" t="s">
        <v>77</v>
      </c>
      <c r="AU54" s="47" t="s">
        <v>77</v>
      </c>
      <c r="AV54" s="47" t="s">
        <v>77</v>
      </c>
      <c r="AW54" s="47" t="s">
        <v>77</v>
      </c>
      <c r="AX54" s="47"/>
      <c r="AY54" s="47"/>
    </row>
    <row r="55" spans="1:51">
      <c r="A55" s="119"/>
      <c r="B55" s="75" t="s">
        <v>77</v>
      </c>
      <c r="C55" s="76" t="s">
        <v>77</v>
      </c>
      <c r="D55" s="75" t="s">
        <v>86</v>
      </c>
      <c r="E55" s="59" t="s">
        <v>77</v>
      </c>
      <c r="F55" s="73">
        <v>0</v>
      </c>
      <c r="G55" s="73">
        <v>0</v>
      </c>
      <c r="H55" s="73">
        <v>0</v>
      </c>
      <c r="I55" s="73">
        <v>0</v>
      </c>
      <c r="J55" s="73">
        <v>0</v>
      </c>
      <c r="K55" s="73">
        <v>0</v>
      </c>
      <c r="L55" s="73">
        <v>0</v>
      </c>
      <c r="M55" s="73">
        <v>0</v>
      </c>
      <c r="N55" s="73">
        <v>0</v>
      </c>
      <c r="O55" s="73">
        <v>0</v>
      </c>
      <c r="P55" s="73">
        <v>0</v>
      </c>
      <c r="Q55" s="73">
        <v>0</v>
      </c>
      <c r="R55" s="73">
        <v>0</v>
      </c>
      <c r="S55" s="73">
        <v>0</v>
      </c>
      <c r="T55" s="73">
        <v>0</v>
      </c>
      <c r="U55" s="73">
        <v>0</v>
      </c>
      <c r="V55" s="73">
        <v>0</v>
      </c>
      <c r="W55" s="50" t="s">
        <v>77</v>
      </c>
      <c r="X55" s="47" t="s">
        <v>77</v>
      </c>
      <c r="Y55" s="47" t="s">
        <v>77</v>
      </c>
      <c r="Z55" s="47" t="s">
        <v>77</v>
      </c>
      <c r="AA55" s="47" t="s">
        <v>77</v>
      </c>
      <c r="AB55" s="47" t="s">
        <v>77</v>
      </c>
      <c r="AC55" s="47" t="s">
        <v>77</v>
      </c>
      <c r="AD55" s="47" t="s">
        <v>77</v>
      </c>
      <c r="AE55" s="47" t="s">
        <v>77</v>
      </c>
      <c r="AF55" s="47" t="s">
        <v>77</v>
      </c>
      <c r="AG55" s="47" t="s">
        <v>77</v>
      </c>
      <c r="AH55" s="47" t="s">
        <v>77</v>
      </c>
      <c r="AI55" s="47" t="s">
        <v>77</v>
      </c>
      <c r="AJ55" s="47" t="s">
        <v>77</v>
      </c>
      <c r="AK55" s="47" t="s">
        <v>77</v>
      </c>
      <c r="AL55" s="47" t="s">
        <v>77</v>
      </c>
      <c r="AM55" s="47" t="s">
        <v>77</v>
      </c>
      <c r="AN55" s="47" t="s">
        <v>77</v>
      </c>
      <c r="AO55" s="47" t="s">
        <v>77</v>
      </c>
      <c r="AP55" s="47" t="s">
        <v>77</v>
      </c>
      <c r="AQ55" s="47" t="s">
        <v>77</v>
      </c>
      <c r="AR55" s="47" t="s">
        <v>77</v>
      </c>
      <c r="AS55" s="47" t="s">
        <v>77</v>
      </c>
      <c r="AT55" s="47" t="s">
        <v>77</v>
      </c>
      <c r="AU55" s="47" t="s">
        <v>77</v>
      </c>
      <c r="AV55" s="47" t="s">
        <v>77</v>
      </c>
      <c r="AW55" s="47" t="s">
        <v>77</v>
      </c>
      <c r="AX55" s="47"/>
      <c r="AY55" s="47"/>
    </row>
    <row r="56" spans="1:51">
      <c r="A56" s="119"/>
      <c r="B56" s="75" t="s">
        <v>77</v>
      </c>
      <c r="C56" s="76" t="s">
        <v>77</v>
      </c>
      <c r="D56" s="75" t="s">
        <v>88</v>
      </c>
      <c r="E56" s="59" t="s">
        <v>77</v>
      </c>
      <c r="F56" s="73">
        <v>0</v>
      </c>
      <c r="G56" s="73">
        <v>0</v>
      </c>
      <c r="H56" s="73">
        <v>0</v>
      </c>
      <c r="I56" s="73">
        <v>0</v>
      </c>
      <c r="J56" s="73">
        <v>0</v>
      </c>
      <c r="K56" s="73">
        <v>0</v>
      </c>
      <c r="L56" s="73">
        <v>0</v>
      </c>
      <c r="M56" s="73">
        <v>0</v>
      </c>
      <c r="N56" s="73">
        <v>0</v>
      </c>
      <c r="O56" s="73">
        <v>0</v>
      </c>
      <c r="P56" s="73">
        <v>0</v>
      </c>
      <c r="Q56" s="73">
        <v>0</v>
      </c>
      <c r="R56" s="73">
        <v>0</v>
      </c>
      <c r="S56" s="73">
        <v>0</v>
      </c>
      <c r="T56" s="73">
        <v>0</v>
      </c>
      <c r="U56" s="73">
        <v>0</v>
      </c>
      <c r="V56" s="73">
        <v>0</v>
      </c>
      <c r="W56" s="50" t="s">
        <v>77</v>
      </c>
      <c r="X56" s="47" t="s">
        <v>77</v>
      </c>
      <c r="Y56" s="47" t="s">
        <v>77</v>
      </c>
      <c r="Z56" s="47" t="s">
        <v>77</v>
      </c>
      <c r="AA56" s="47" t="s">
        <v>77</v>
      </c>
      <c r="AB56" s="47" t="s">
        <v>77</v>
      </c>
      <c r="AC56" s="47" t="s">
        <v>77</v>
      </c>
      <c r="AD56" s="47" t="s">
        <v>77</v>
      </c>
      <c r="AE56" s="47" t="s">
        <v>77</v>
      </c>
      <c r="AF56" s="47" t="s">
        <v>77</v>
      </c>
      <c r="AG56" s="47" t="s">
        <v>77</v>
      </c>
      <c r="AH56" s="47" t="s">
        <v>77</v>
      </c>
      <c r="AI56" s="47" t="s">
        <v>77</v>
      </c>
      <c r="AJ56" s="47" t="s">
        <v>77</v>
      </c>
      <c r="AK56" s="47" t="s">
        <v>77</v>
      </c>
      <c r="AL56" s="47" t="s">
        <v>77</v>
      </c>
      <c r="AM56" s="47" t="s">
        <v>77</v>
      </c>
      <c r="AN56" s="47" t="s">
        <v>77</v>
      </c>
      <c r="AO56" s="47" t="s">
        <v>77</v>
      </c>
      <c r="AP56" s="47" t="s">
        <v>77</v>
      </c>
      <c r="AQ56" s="47" t="s">
        <v>77</v>
      </c>
      <c r="AR56" s="47" t="s">
        <v>77</v>
      </c>
      <c r="AS56" s="47" t="s">
        <v>77</v>
      </c>
      <c r="AT56" s="47" t="s">
        <v>77</v>
      </c>
      <c r="AU56" s="47" t="s">
        <v>77</v>
      </c>
      <c r="AV56" s="47" t="s">
        <v>77</v>
      </c>
      <c r="AW56" s="47" t="s">
        <v>77</v>
      </c>
      <c r="AX56" s="47"/>
      <c r="AY56" s="47"/>
    </row>
    <row r="57" spans="1:51">
      <c r="A57" s="119"/>
      <c r="B57" s="75"/>
      <c r="C57" s="76"/>
      <c r="D57" s="50" t="s">
        <v>90</v>
      </c>
      <c r="E57" s="59"/>
      <c r="F57" s="73">
        <v>0</v>
      </c>
      <c r="G57" s="73">
        <v>0</v>
      </c>
      <c r="H57" s="73">
        <v>0</v>
      </c>
      <c r="I57" s="73">
        <v>0</v>
      </c>
      <c r="J57" s="73">
        <v>0</v>
      </c>
      <c r="K57" s="73">
        <v>0</v>
      </c>
      <c r="L57" s="73">
        <v>0</v>
      </c>
      <c r="M57" s="73">
        <v>0</v>
      </c>
      <c r="N57" s="73">
        <v>0</v>
      </c>
      <c r="O57" s="73">
        <v>0</v>
      </c>
      <c r="P57" s="73">
        <v>0</v>
      </c>
      <c r="Q57" s="73">
        <v>0</v>
      </c>
      <c r="R57" s="73">
        <v>0</v>
      </c>
      <c r="S57" s="73">
        <v>0</v>
      </c>
      <c r="T57" s="73">
        <v>0</v>
      </c>
      <c r="U57" s="73">
        <v>0</v>
      </c>
      <c r="V57" s="73">
        <v>0</v>
      </c>
      <c r="W57" s="50"/>
      <c r="X57" s="47"/>
      <c r="Y57" s="47"/>
      <c r="Z57" s="47"/>
      <c r="AA57" s="47"/>
      <c r="AB57" s="47"/>
      <c r="AC57" s="47"/>
      <c r="AD57" s="47"/>
      <c r="AE57" s="47"/>
      <c r="AF57" s="47"/>
      <c r="AG57" s="47"/>
      <c r="AH57" s="47"/>
      <c r="AI57" s="47"/>
      <c r="AJ57" s="47"/>
      <c r="AK57" s="47"/>
      <c r="AL57" s="47"/>
      <c r="AM57" s="47"/>
      <c r="AN57" s="47"/>
      <c r="AO57" s="47"/>
      <c r="AP57" s="47"/>
      <c r="AQ57" s="47"/>
      <c r="AR57" s="47"/>
      <c r="AS57" s="47"/>
      <c r="AT57" s="47"/>
      <c r="AU57" s="47"/>
      <c r="AV57" s="47"/>
      <c r="AW57" s="47"/>
      <c r="AX57" s="47"/>
      <c r="AY57" s="47"/>
    </row>
    <row r="58" spans="1:51">
      <c r="A58" s="119"/>
      <c r="B58" s="75"/>
      <c r="C58" s="76"/>
      <c r="D58" s="50" t="s">
        <v>92</v>
      </c>
      <c r="E58" s="59"/>
      <c r="F58" s="73">
        <v>0</v>
      </c>
      <c r="G58" s="73">
        <v>0</v>
      </c>
      <c r="H58" s="73">
        <v>0</v>
      </c>
      <c r="I58" s="73">
        <v>0</v>
      </c>
      <c r="J58" s="73">
        <v>0</v>
      </c>
      <c r="K58" s="73">
        <v>0</v>
      </c>
      <c r="L58" s="73">
        <v>0</v>
      </c>
      <c r="M58" s="73">
        <v>0</v>
      </c>
      <c r="N58" s="73">
        <v>0</v>
      </c>
      <c r="O58" s="73">
        <v>0</v>
      </c>
      <c r="P58" s="73">
        <v>0</v>
      </c>
      <c r="Q58" s="73">
        <v>0</v>
      </c>
      <c r="R58" s="73">
        <v>0</v>
      </c>
      <c r="S58" s="73">
        <v>0</v>
      </c>
      <c r="T58" s="73">
        <v>0</v>
      </c>
      <c r="U58" s="73">
        <v>0</v>
      </c>
      <c r="V58" s="73">
        <v>0</v>
      </c>
      <c r="W58" s="50"/>
      <c r="X58" s="47"/>
      <c r="Y58" s="47"/>
      <c r="Z58" s="47"/>
      <c r="AA58" s="47"/>
      <c r="AB58" s="47"/>
      <c r="AC58" s="47"/>
      <c r="AD58" s="47"/>
      <c r="AE58" s="47"/>
      <c r="AF58" s="47"/>
      <c r="AG58" s="47"/>
      <c r="AH58" s="47"/>
      <c r="AI58" s="47"/>
      <c r="AJ58" s="47"/>
      <c r="AK58" s="47"/>
      <c r="AL58" s="47"/>
      <c r="AM58" s="47"/>
      <c r="AN58" s="47"/>
      <c r="AO58" s="47"/>
      <c r="AP58" s="47"/>
      <c r="AQ58" s="47"/>
      <c r="AR58" s="47"/>
      <c r="AS58" s="47"/>
      <c r="AT58" s="47"/>
      <c r="AU58" s="47"/>
      <c r="AV58" s="47"/>
      <c r="AW58" s="47"/>
      <c r="AX58" s="47"/>
      <c r="AY58" s="47"/>
    </row>
    <row r="59" spans="1:51">
      <c r="A59" s="119"/>
      <c r="B59" s="75" t="s">
        <v>91</v>
      </c>
      <c r="C59" s="76" t="s">
        <v>100</v>
      </c>
      <c r="D59" s="75" t="s">
        <v>79</v>
      </c>
      <c r="E59" s="59" t="s">
        <v>77</v>
      </c>
      <c r="F59" s="60">
        <v>15</v>
      </c>
      <c r="G59" s="60">
        <v>8</v>
      </c>
      <c r="H59" s="60">
        <v>4</v>
      </c>
      <c r="I59" s="60">
        <v>13</v>
      </c>
      <c r="J59" s="60">
        <v>10</v>
      </c>
      <c r="K59" s="60">
        <v>14</v>
      </c>
      <c r="L59" s="60">
        <v>22</v>
      </c>
      <c r="M59" s="60">
        <v>24</v>
      </c>
      <c r="N59" s="60">
        <v>5</v>
      </c>
      <c r="O59" s="60">
        <v>19</v>
      </c>
      <c r="P59" s="60">
        <v>17</v>
      </c>
      <c r="Q59" s="60">
        <v>7</v>
      </c>
      <c r="R59" s="60">
        <v>8</v>
      </c>
      <c r="S59" s="60">
        <v>2</v>
      </c>
      <c r="T59" s="60">
        <v>0</v>
      </c>
      <c r="U59" s="60">
        <v>3</v>
      </c>
      <c r="V59" s="60">
        <v>3</v>
      </c>
      <c r="W59" s="60"/>
      <c r="X59" s="62"/>
      <c r="Y59" s="47" t="s">
        <v>77</v>
      </c>
      <c r="Z59" s="47" t="s">
        <v>77</v>
      </c>
      <c r="AA59" s="47" t="s">
        <v>77</v>
      </c>
      <c r="AB59" s="47" t="s">
        <v>77</v>
      </c>
      <c r="AC59" s="47" t="s">
        <v>77</v>
      </c>
      <c r="AD59" s="47" t="s">
        <v>77</v>
      </c>
      <c r="AE59" s="47" t="s">
        <v>77</v>
      </c>
      <c r="AF59" s="47" t="s">
        <v>77</v>
      </c>
      <c r="AG59" s="47" t="s">
        <v>77</v>
      </c>
      <c r="AH59" s="47" t="s">
        <v>77</v>
      </c>
      <c r="AI59" s="47" t="s">
        <v>77</v>
      </c>
      <c r="AJ59" s="47" t="s">
        <v>77</v>
      </c>
      <c r="AK59" s="47" t="s">
        <v>77</v>
      </c>
      <c r="AL59" s="47" t="s">
        <v>77</v>
      </c>
      <c r="AM59" s="47" t="s">
        <v>77</v>
      </c>
      <c r="AN59" s="47" t="s">
        <v>77</v>
      </c>
      <c r="AO59" s="47" t="s">
        <v>77</v>
      </c>
      <c r="AP59" s="47" t="s">
        <v>77</v>
      </c>
      <c r="AQ59" s="47" t="s">
        <v>77</v>
      </c>
      <c r="AR59" s="47" t="s">
        <v>77</v>
      </c>
      <c r="AS59" s="47" t="s">
        <v>77</v>
      </c>
      <c r="AT59" s="47" t="s">
        <v>77</v>
      </c>
      <c r="AU59" s="47" t="s">
        <v>77</v>
      </c>
      <c r="AV59" s="47" t="s">
        <v>77</v>
      </c>
      <c r="AW59" s="47" t="s">
        <v>77</v>
      </c>
      <c r="AX59" s="47"/>
      <c r="AY59" s="47"/>
    </row>
    <row r="60" spans="1:51">
      <c r="A60" s="119"/>
      <c r="B60" s="75" t="s">
        <v>77</v>
      </c>
      <c r="C60" s="76" t="s">
        <v>77</v>
      </c>
      <c r="D60" s="75" t="s">
        <v>82</v>
      </c>
      <c r="E60" s="59" t="s">
        <v>77</v>
      </c>
      <c r="F60" s="60">
        <v>9</v>
      </c>
      <c r="G60" s="60">
        <v>0</v>
      </c>
      <c r="H60" s="60">
        <v>0</v>
      </c>
      <c r="I60" s="60">
        <v>0</v>
      </c>
      <c r="J60" s="60">
        <v>0</v>
      </c>
      <c r="K60" s="60">
        <v>0</v>
      </c>
      <c r="L60" s="60">
        <v>0</v>
      </c>
      <c r="M60" s="60">
        <v>18</v>
      </c>
      <c r="N60" s="60">
        <v>4</v>
      </c>
      <c r="O60" s="60">
        <v>7</v>
      </c>
      <c r="P60" s="60">
        <v>25</v>
      </c>
      <c r="Q60" s="60">
        <v>6</v>
      </c>
      <c r="R60" s="60">
        <v>30</v>
      </c>
      <c r="S60" s="60">
        <v>22</v>
      </c>
      <c r="T60" s="60">
        <v>16</v>
      </c>
      <c r="U60" s="60">
        <v>32</v>
      </c>
      <c r="V60" s="60">
        <v>34</v>
      </c>
      <c r="W60" s="60"/>
      <c r="X60" s="62"/>
      <c r="Y60" s="47" t="s">
        <v>77</v>
      </c>
      <c r="Z60" s="47" t="s">
        <v>77</v>
      </c>
      <c r="AA60" s="47" t="s">
        <v>77</v>
      </c>
      <c r="AB60" s="47" t="s">
        <v>77</v>
      </c>
      <c r="AC60" s="47" t="s">
        <v>77</v>
      </c>
      <c r="AD60" s="47" t="s">
        <v>77</v>
      </c>
      <c r="AE60" s="47" t="s">
        <v>77</v>
      </c>
      <c r="AF60" s="47" t="s">
        <v>77</v>
      </c>
      <c r="AG60" s="47" t="s">
        <v>77</v>
      </c>
      <c r="AH60" s="47" t="s">
        <v>77</v>
      </c>
      <c r="AI60" s="47" t="s">
        <v>77</v>
      </c>
      <c r="AJ60" s="47" t="s">
        <v>77</v>
      </c>
      <c r="AK60" s="47" t="s">
        <v>77</v>
      </c>
      <c r="AL60" s="47" t="s">
        <v>77</v>
      </c>
      <c r="AM60" s="47" t="s">
        <v>77</v>
      </c>
      <c r="AN60" s="47" t="s">
        <v>77</v>
      </c>
      <c r="AO60" s="47" t="s">
        <v>77</v>
      </c>
      <c r="AP60" s="47" t="s">
        <v>77</v>
      </c>
      <c r="AQ60" s="47" t="s">
        <v>77</v>
      </c>
      <c r="AR60" s="47" t="s">
        <v>77</v>
      </c>
      <c r="AS60" s="47" t="s">
        <v>77</v>
      </c>
      <c r="AT60" s="47" t="s">
        <v>77</v>
      </c>
      <c r="AU60" s="47" t="s">
        <v>77</v>
      </c>
      <c r="AV60" s="47" t="s">
        <v>77</v>
      </c>
      <c r="AW60" s="47" t="s">
        <v>77</v>
      </c>
      <c r="AX60" s="47"/>
      <c r="AY60" s="47"/>
    </row>
    <row r="61" spans="1:51">
      <c r="A61" s="119"/>
      <c r="B61" s="75" t="s">
        <v>77</v>
      </c>
      <c r="C61" s="76" t="s">
        <v>77</v>
      </c>
      <c r="D61" s="75" t="s">
        <v>84</v>
      </c>
      <c r="E61" s="59" t="s">
        <v>77</v>
      </c>
      <c r="F61" s="50">
        <v>0</v>
      </c>
      <c r="G61" s="50">
        <v>0</v>
      </c>
      <c r="H61" s="50">
        <v>0</v>
      </c>
      <c r="I61" s="50">
        <v>0</v>
      </c>
      <c r="J61" s="50">
        <v>0</v>
      </c>
      <c r="K61" s="50">
        <v>0</v>
      </c>
      <c r="L61" s="50">
        <v>0</v>
      </c>
      <c r="M61" s="50">
        <v>0</v>
      </c>
      <c r="N61" s="50">
        <v>0</v>
      </c>
      <c r="O61" s="50">
        <v>0</v>
      </c>
      <c r="P61" s="50">
        <v>0</v>
      </c>
      <c r="Q61" s="50">
        <v>0</v>
      </c>
      <c r="R61" s="50">
        <v>0</v>
      </c>
      <c r="S61" s="50">
        <v>0</v>
      </c>
      <c r="T61" s="50">
        <v>0</v>
      </c>
      <c r="U61" s="50">
        <v>0</v>
      </c>
      <c r="V61" s="50">
        <v>0</v>
      </c>
      <c r="W61" s="50" t="s">
        <v>77</v>
      </c>
      <c r="X61" s="47" t="s">
        <v>77</v>
      </c>
      <c r="Y61" s="47" t="s">
        <v>77</v>
      </c>
      <c r="Z61" s="47" t="s">
        <v>77</v>
      </c>
      <c r="AA61" s="47" t="s">
        <v>77</v>
      </c>
      <c r="AB61" s="47" t="s">
        <v>77</v>
      </c>
      <c r="AC61" s="47" t="s">
        <v>77</v>
      </c>
      <c r="AD61" s="47" t="s">
        <v>77</v>
      </c>
      <c r="AE61" s="47" t="s">
        <v>77</v>
      </c>
      <c r="AF61" s="47" t="s">
        <v>77</v>
      </c>
      <c r="AG61" s="47" t="s">
        <v>77</v>
      </c>
      <c r="AH61" s="47" t="s">
        <v>77</v>
      </c>
      <c r="AI61" s="47" t="s">
        <v>77</v>
      </c>
      <c r="AJ61" s="47" t="s">
        <v>77</v>
      </c>
      <c r="AK61" s="47" t="s">
        <v>77</v>
      </c>
      <c r="AL61" s="47" t="s">
        <v>77</v>
      </c>
      <c r="AM61" s="47" t="s">
        <v>77</v>
      </c>
      <c r="AN61" s="47" t="s">
        <v>77</v>
      </c>
      <c r="AO61" s="47" t="s">
        <v>77</v>
      </c>
      <c r="AP61" s="47" t="s">
        <v>77</v>
      </c>
      <c r="AQ61" s="47" t="s">
        <v>77</v>
      </c>
      <c r="AR61" s="47" t="s">
        <v>77</v>
      </c>
      <c r="AS61" s="47" t="s">
        <v>77</v>
      </c>
      <c r="AT61" s="47" t="s">
        <v>77</v>
      </c>
      <c r="AU61" s="47" t="s">
        <v>77</v>
      </c>
      <c r="AV61" s="47" t="s">
        <v>77</v>
      </c>
      <c r="AW61" s="47" t="s">
        <v>77</v>
      </c>
      <c r="AX61" s="47"/>
      <c r="AY61" s="47"/>
    </row>
    <row r="62" spans="1:51">
      <c r="A62" s="119"/>
      <c r="B62" s="75" t="s">
        <v>77</v>
      </c>
      <c r="C62" s="76" t="s">
        <v>77</v>
      </c>
      <c r="D62" s="75" t="s">
        <v>86</v>
      </c>
      <c r="E62" s="59" t="s">
        <v>77</v>
      </c>
      <c r="F62" s="61">
        <v>1456</v>
      </c>
      <c r="G62" s="60">
        <v>891</v>
      </c>
      <c r="H62" s="60">
        <v>497</v>
      </c>
      <c r="I62" s="61">
        <v>1666</v>
      </c>
      <c r="J62" s="61">
        <v>1588</v>
      </c>
      <c r="K62" s="61">
        <v>1102</v>
      </c>
      <c r="L62" s="61">
        <v>1280</v>
      </c>
      <c r="M62" s="60">
        <v>19</v>
      </c>
      <c r="N62" s="60">
        <v>255</v>
      </c>
      <c r="O62" s="60">
        <v>987</v>
      </c>
      <c r="P62" s="61">
        <v>1095</v>
      </c>
      <c r="Q62" s="61">
        <v>1069</v>
      </c>
      <c r="R62" s="61">
        <v>1706</v>
      </c>
      <c r="S62" s="61">
        <v>1222</v>
      </c>
      <c r="T62" s="61">
        <v>1553</v>
      </c>
      <c r="U62" s="61">
        <v>1565</v>
      </c>
      <c r="V62" s="61">
        <v>1893</v>
      </c>
      <c r="W62" s="60"/>
      <c r="X62" s="62"/>
      <c r="Y62" s="47" t="s">
        <v>77</v>
      </c>
      <c r="Z62" s="47" t="s">
        <v>77</v>
      </c>
      <c r="AA62" s="47" t="s">
        <v>77</v>
      </c>
      <c r="AB62" s="47" t="s">
        <v>77</v>
      </c>
      <c r="AC62" s="47" t="s">
        <v>77</v>
      </c>
      <c r="AD62" s="47" t="s">
        <v>77</v>
      </c>
      <c r="AE62" s="47" t="s">
        <v>77</v>
      </c>
      <c r="AF62" s="47" t="s">
        <v>77</v>
      </c>
      <c r="AG62" s="47" t="s">
        <v>77</v>
      </c>
      <c r="AH62" s="47" t="s">
        <v>77</v>
      </c>
      <c r="AI62" s="47" t="s">
        <v>77</v>
      </c>
      <c r="AJ62" s="47" t="s">
        <v>77</v>
      </c>
      <c r="AK62" s="47" t="s">
        <v>77</v>
      </c>
      <c r="AL62" s="47" t="s">
        <v>77</v>
      </c>
      <c r="AM62" s="47" t="s">
        <v>77</v>
      </c>
      <c r="AN62" s="47" t="s">
        <v>77</v>
      </c>
      <c r="AO62" s="47" t="s">
        <v>77</v>
      </c>
      <c r="AP62" s="47" t="s">
        <v>77</v>
      </c>
      <c r="AQ62" s="47" t="s">
        <v>77</v>
      </c>
      <c r="AR62" s="47" t="s">
        <v>77</v>
      </c>
      <c r="AS62" s="47" t="s">
        <v>77</v>
      </c>
      <c r="AT62" s="47" t="s">
        <v>77</v>
      </c>
      <c r="AU62" s="47" t="s">
        <v>77</v>
      </c>
      <c r="AV62" s="47" t="s">
        <v>77</v>
      </c>
      <c r="AW62" s="47" t="s">
        <v>77</v>
      </c>
      <c r="AX62" s="47"/>
      <c r="AY62" s="47"/>
    </row>
    <row r="63" spans="1:51">
      <c r="A63" s="119"/>
      <c r="B63" s="75" t="s">
        <v>77</v>
      </c>
      <c r="C63" s="76" t="s">
        <v>77</v>
      </c>
      <c r="D63" s="75" t="s">
        <v>88</v>
      </c>
      <c r="E63" s="59" t="s">
        <v>77</v>
      </c>
      <c r="F63" s="50">
        <v>0</v>
      </c>
      <c r="G63" s="50">
        <v>0</v>
      </c>
      <c r="H63" s="50">
        <v>0</v>
      </c>
      <c r="I63" s="50">
        <v>0</v>
      </c>
      <c r="J63" s="50">
        <v>0</v>
      </c>
      <c r="K63" s="50">
        <v>0</v>
      </c>
      <c r="L63" s="50">
        <v>0</v>
      </c>
      <c r="M63" s="50">
        <v>0</v>
      </c>
      <c r="N63" s="50">
        <v>0</v>
      </c>
      <c r="O63" s="50">
        <v>0</v>
      </c>
      <c r="P63" s="50">
        <v>0</v>
      </c>
      <c r="Q63" s="50">
        <v>0</v>
      </c>
      <c r="R63" s="50">
        <v>0</v>
      </c>
      <c r="S63" s="50">
        <v>0</v>
      </c>
      <c r="T63" s="50">
        <v>0</v>
      </c>
      <c r="U63" s="50">
        <v>0</v>
      </c>
      <c r="V63" s="50">
        <v>0</v>
      </c>
      <c r="W63" s="50" t="s">
        <v>77</v>
      </c>
      <c r="X63" s="47" t="s">
        <v>77</v>
      </c>
      <c r="Y63" s="47" t="s">
        <v>77</v>
      </c>
      <c r="Z63" s="47" t="s">
        <v>77</v>
      </c>
      <c r="AA63" s="47" t="s">
        <v>77</v>
      </c>
      <c r="AB63" s="47" t="s">
        <v>77</v>
      </c>
      <c r="AC63" s="47" t="s">
        <v>77</v>
      </c>
      <c r="AD63" s="47" t="s">
        <v>77</v>
      </c>
      <c r="AE63" s="47" t="s">
        <v>77</v>
      </c>
      <c r="AF63" s="47" t="s">
        <v>77</v>
      </c>
      <c r="AG63" s="47" t="s">
        <v>77</v>
      </c>
      <c r="AH63" s="47" t="s">
        <v>77</v>
      </c>
      <c r="AI63" s="47" t="s">
        <v>77</v>
      </c>
      <c r="AJ63" s="47" t="s">
        <v>77</v>
      </c>
      <c r="AK63" s="47" t="s">
        <v>77</v>
      </c>
      <c r="AL63" s="47" t="s">
        <v>77</v>
      </c>
      <c r="AM63" s="47" t="s">
        <v>77</v>
      </c>
      <c r="AN63" s="47" t="s">
        <v>77</v>
      </c>
      <c r="AO63" s="47" t="s">
        <v>77</v>
      </c>
      <c r="AP63" s="47" t="s">
        <v>77</v>
      </c>
      <c r="AQ63" s="47" t="s">
        <v>77</v>
      </c>
      <c r="AR63" s="47" t="s">
        <v>77</v>
      </c>
      <c r="AS63" s="47" t="s">
        <v>77</v>
      </c>
      <c r="AT63" s="47" t="s">
        <v>77</v>
      </c>
      <c r="AU63" s="47" t="s">
        <v>77</v>
      </c>
      <c r="AV63" s="47" t="s">
        <v>77</v>
      </c>
      <c r="AW63" s="47" t="s">
        <v>77</v>
      </c>
      <c r="AX63" s="47"/>
      <c r="AY63" s="47"/>
    </row>
    <row r="64" spans="1:51">
      <c r="A64" s="119"/>
      <c r="B64" s="75" t="s">
        <v>77</v>
      </c>
      <c r="C64" s="76" t="s">
        <v>77</v>
      </c>
      <c r="D64" s="75" t="s">
        <v>90</v>
      </c>
      <c r="E64" s="59" t="s">
        <v>77</v>
      </c>
      <c r="F64" s="60">
        <v>0</v>
      </c>
      <c r="G64" s="60">
        <v>0</v>
      </c>
      <c r="H64" s="60">
        <v>0</v>
      </c>
      <c r="I64" s="60">
        <v>0</v>
      </c>
      <c r="J64" s="60">
        <v>0</v>
      </c>
      <c r="K64" s="60">
        <v>0</v>
      </c>
      <c r="L64" s="60">
        <v>0</v>
      </c>
      <c r="M64" s="60">
        <v>0</v>
      </c>
      <c r="N64" s="60">
        <v>0</v>
      </c>
      <c r="O64" s="60">
        <v>0</v>
      </c>
      <c r="P64" s="60">
        <v>0</v>
      </c>
      <c r="Q64" s="60">
        <v>0</v>
      </c>
      <c r="R64" s="60">
        <v>16</v>
      </c>
      <c r="S64" s="60">
        <v>8</v>
      </c>
      <c r="T64" s="60">
        <v>14</v>
      </c>
      <c r="U64" s="60">
        <v>19</v>
      </c>
      <c r="V64" s="60">
        <v>17</v>
      </c>
      <c r="W64" s="60"/>
      <c r="X64" s="62"/>
      <c r="Y64" s="47" t="s">
        <v>77</v>
      </c>
      <c r="Z64" s="47" t="s">
        <v>77</v>
      </c>
      <c r="AA64" s="47" t="s">
        <v>77</v>
      </c>
      <c r="AB64" s="47" t="s">
        <v>77</v>
      </c>
      <c r="AC64" s="47" t="s">
        <v>77</v>
      </c>
      <c r="AD64" s="47" t="s">
        <v>77</v>
      </c>
      <c r="AE64" s="47" t="s">
        <v>77</v>
      </c>
      <c r="AF64" s="47" t="s">
        <v>77</v>
      </c>
      <c r="AG64" s="47" t="s">
        <v>77</v>
      </c>
      <c r="AH64" s="47" t="s">
        <v>77</v>
      </c>
      <c r="AI64" s="47" t="s">
        <v>77</v>
      </c>
      <c r="AJ64" s="47" t="s">
        <v>77</v>
      </c>
      <c r="AK64" s="47" t="s">
        <v>77</v>
      </c>
      <c r="AL64" s="47" t="s">
        <v>77</v>
      </c>
      <c r="AM64" s="47" t="s">
        <v>77</v>
      </c>
      <c r="AN64" s="47" t="s">
        <v>77</v>
      </c>
      <c r="AO64" s="47" t="s">
        <v>77</v>
      </c>
      <c r="AP64" s="47" t="s">
        <v>77</v>
      </c>
      <c r="AQ64" s="47" t="s">
        <v>77</v>
      </c>
      <c r="AR64" s="47" t="s">
        <v>77</v>
      </c>
      <c r="AS64" s="47" t="s">
        <v>77</v>
      </c>
      <c r="AT64" s="47" t="s">
        <v>77</v>
      </c>
      <c r="AU64" s="47" t="s">
        <v>77</v>
      </c>
      <c r="AV64" s="47" t="s">
        <v>77</v>
      </c>
      <c r="AW64" s="47" t="s">
        <v>77</v>
      </c>
      <c r="AX64" s="47"/>
      <c r="AY64" s="47"/>
    </row>
    <row r="65" spans="1:51">
      <c r="A65" s="119"/>
      <c r="B65" s="75" t="s">
        <v>77</v>
      </c>
      <c r="C65" s="76" t="s">
        <v>77</v>
      </c>
      <c r="D65" s="75" t="s">
        <v>92</v>
      </c>
      <c r="E65" s="59" t="s">
        <v>77</v>
      </c>
      <c r="F65" s="60">
        <v>0</v>
      </c>
      <c r="G65" s="60">
        <v>0</v>
      </c>
      <c r="H65" s="60">
        <v>0</v>
      </c>
      <c r="I65" s="60">
        <v>0</v>
      </c>
      <c r="J65" s="60">
        <v>0</v>
      </c>
      <c r="K65" s="60">
        <v>0</v>
      </c>
      <c r="L65" s="60">
        <v>0</v>
      </c>
      <c r="M65" s="60">
        <v>0</v>
      </c>
      <c r="N65" s="60">
        <v>0</v>
      </c>
      <c r="O65" s="60">
        <v>0</v>
      </c>
      <c r="P65" s="60">
        <v>0</v>
      </c>
      <c r="Q65" s="60">
        <v>0</v>
      </c>
      <c r="R65" s="60">
        <v>8</v>
      </c>
      <c r="S65" s="60">
        <v>14</v>
      </c>
      <c r="T65" s="60">
        <v>41</v>
      </c>
      <c r="U65" s="60">
        <v>14</v>
      </c>
      <c r="V65" s="60">
        <v>20</v>
      </c>
      <c r="W65" s="60"/>
      <c r="X65" s="62"/>
      <c r="Y65" s="47" t="s">
        <v>77</v>
      </c>
      <c r="Z65" s="47" t="s">
        <v>77</v>
      </c>
      <c r="AA65" s="47" t="s">
        <v>77</v>
      </c>
      <c r="AB65" s="47" t="s">
        <v>77</v>
      </c>
      <c r="AC65" s="47" t="s">
        <v>77</v>
      </c>
      <c r="AD65" s="47" t="s">
        <v>77</v>
      </c>
      <c r="AE65" s="47" t="s">
        <v>77</v>
      </c>
      <c r="AF65" s="47" t="s">
        <v>77</v>
      </c>
      <c r="AG65" s="47" t="s">
        <v>77</v>
      </c>
      <c r="AH65" s="47" t="s">
        <v>77</v>
      </c>
      <c r="AI65" s="47" t="s">
        <v>77</v>
      </c>
      <c r="AJ65" s="47" t="s">
        <v>77</v>
      </c>
      <c r="AK65" s="47" t="s">
        <v>77</v>
      </c>
      <c r="AL65" s="47" t="s">
        <v>77</v>
      </c>
      <c r="AM65" s="47" t="s">
        <v>77</v>
      </c>
      <c r="AN65" s="47" t="s">
        <v>77</v>
      </c>
      <c r="AO65" s="47" t="s">
        <v>77</v>
      </c>
      <c r="AP65" s="47" t="s">
        <v>77</v>
      </c>
      <c r="AQ65" s="47" t="s">
        <v>77</v>
      </c>
      <c r="AR65" s="47" t="s">
        <v>77</v>
      </c>
      <c r="AS65" s="47" t="s">
        <v>77</v>
      </c>
      <c r="AT65" s="47" t="s">
        <v>77</v>
      </c>
      <c r="AU65" s="47" t="s">
        <v>77</v>
      </c>
      <c r="AV65" s="47" t="s">
        <v>77</v>
      </c>
      <c r="AW65" s="47" t="s">
        <v>77</v>
      </c>
      <c r="AX65" s="47"/>
      <c r="AY65" s="47"/>
    </row>
    <row r="66" spans="1:51">
      <c r="A66" s="119"/>
      <c r="B66" s="50" t="s">
        <v>101</v>
      </c>
      <c r="C66" s="49" t="s">
        <v>102</v>
      </c>
      <c r="D66" s="50" t="s">
        <v>79</v>
      </c>
      <c r="E66" s="59" t="s">
        <v>77</v>
      </c>
      <c r="F66" s="60">
        <v>0</v>
      </c>
      <c r="G66" s="60">
        <v>0</v>
      </c>
      <c r="H66" s="60">
        <v>0</v>
      </c>
      <c r="I66" s="60">
        <v>0</v>
      </c>
      <c r="J66" s="60">
        <v>0</v>
      </c>
      <c r="K66" s="60">
        <v>0</v>
      </c>
      <c r="L66" s="60">
        <v>0</v>
      </c>
      <c r="M66" s="60">
        <v>0</v>
      </c>
      <c r="N66" s="60">
        <v>0</v>
      </c>
      <c r="O66" s="60">
        <v>0</v>
      </c>
      <c r="P66" s="60">
        <v>0</v>
      </c>
      <c r="Q66" s="60">
        <v>0</v>
      </c>
      <c r="R66" s="60">
        <v>0</v>
      </c>
      <c r="S66" s="60">
        <v>0</v>
      </c>
      <c r="T66" s="60">
        <v>0</v>
      </c>
      <c r="U66" s="60">
        <v>0</v>
      </c>
      <c r="V66" s="60">
        <v>0</v>
      </c>
      <c r="W66" s="60"/>
      <c r="X66" s="62"/>
      <c r="Y66" s="47"/>
      <c r="Z66" s="47"/>
      <c r="AA66" s="47"/>
      <c r="AB66" s="47"/>
      <c r="AC66" s="47"/>
      <c r="AD66" s="47"/>
      <c r="AE66" s="47"/>
      <c r="AF66" s="47"/>
      <c r="AG66" s="47"/>
      <c r="AH66" s="47"/>
      <c r="AI66" s="47"/>
      <c r="AJ66" s="47"/>
      <c r="AK66" s="47"/>
      <c r="AL66" s="47"/>
      <c r="AM66" s="47"/>
      <c r="AN66" s="47"/>
      <c r="AO66" s="47"/>
      <c r="AP66" s="47"/>
      <c r="AQ66" s="47"/>
      <c r="AR66" s="47"/>
      <c r="AS66" s="47"/>
      <c r="AT66" s="47"/>
      <c r="AU66" s="47"/>
      <c r="AV66" s="47"/>
      <c r="AW66" s="47"/>
      <c r="AX66" s="47"/>
      <c r="AY66" s="47"/>
    </row>
    <row r="67" spans="1:51">
      <c r="A67" s="119"/>
      <c r="B67" s="75" t="s">
        <v>77</v>
      </c>
      <c r="C67" s="75" t="s">
        <v>77</v>
      </c>
      <c r="D67" s="50" t="s">
        <v>82</v>
      </c>
      <c r="E67" s="59" t="s">
        <v>77</v>
      </c>
      <c r="F67" s="60">
        <v>0</v>
      </c>
      <c r="G67" s="60">
        <v>0</v>
      </c>
      <c r="H67" s="60">
        <v>0</v>
      </c>
      <c r="I67" s="60">
        <v>0</v>
      </c>
      <c r="J67" s="60">
        <v>0</v>
      </c>
      <c r="K67" s="60">
        <v>0</v>
      </c>
      <c r="L67" s="60">
        <v>0</v>
      </c>
      <c r="M67" s="60">
        <v>0</v>
      </c>
      <c r="N67" s="60">
        <v>0</v>
      </c>
      <c r="O67" s="60">
        <v>0</v>
      </c>
      <c r="P67" s="60">
        <v>0</v>
      </c>
      <c r="Q67" s="60">
        <v>0</v>
      </c>
      <c r="R67" s="60">
        <v>0</v>
      </c>
      <c r="S67" s="60">
        <v>0</v>
      </c>
      <c r="T67" s="60">
        <v>0</v>
      </c>
      <c r="U67" s="60">
        <v>0</v>
      </c>
      <c r="V67" s="60">
        <v>0</v>
      </c>
      <c r="W67" s="60"/>
      <c r="X67" s="62"/>
      <c r="Y67" s="47" t="s">
        <v>77</v>
      </c>
      <c r="Z67" s="47" t="s">
        <v>77</v>
      </c>
      <c r="AA67" s="47" t="s">
        <v>77</v>
      </c>
      <c r="AB67" s="47" t="s">
        <v>77</v>
      </c>
      <c r="AC67" s="47" t="s">
        <v>77</v>
      </c>
      <c r="AD67" s="47" t="s">
        <v>77</v>
      </c>
      <c r="AE67" s="47" t="s">
        <v>77</v>
      </c>
      <c r="AF67" s="47" t="s">
        <v>77</v>
      </c>
      <c r="AG67" s="47" t="s">
        <v>77</v>
      </c>
      <c r="AH67" s="47" t="s">
        <v>77</v>
      </c>
      <c r="AI67" s="47" t="s">
        <v>77</v>
      </c>
      <c r="AJ67" s="47" t="s">
        <v>77</v>
      </c>
      <c r="AK67" s="47" t="s">
        <v>77</v>
      </c>
      <c r="AL67" s="47" t="s">
        <v>77</v>
      </c>
      <c r="AM67" s="47" t="s">
        <v>77</v>
      </c>
      <c r="AN67" s="47" t="s">
        <v>77</v>
      </c>
      <c r="AO67" s="47" t="s">
        <v>77</v>
      </c>
      <c r="AP67" s="47" t="s">
        <v>77</v>
      </c>
      <c r="AQ67" s="47" t="s">
        <v>77</v>
      </c>
      <c r="AR67" s="47" t="s">
        <v>77</v>
      </c>
      <c r="AS67" s="47" t="s">
        <v>77</v>
      </c>
      <c r="AT67" s="47" t="s">
        <v>77</v>
      </c>
      <c r="AU67" s="47" t="s">
        <v>77</v>
      </c>
      <c r="AV67" s="47" t="s">
        <v>77</v>
      </c>
      <c r="AW67" s="47" t="s">
        <v>77</v>
      </c>
      <c r="AX67" s="47"/>
      <c r="AY67" s="47"/>
    </row>
    <row r="68" spans="1:51">
      <c r="A68" s="119"/>
      <c r="B68" s="50" t="s">
        <v>77</v>
      </c>
      <c r="C68" s="50" t="s">
        <v>77</v>
      </c>
      <c r="D68" s="50" t="s">
        <v>84</v>
      </c>
      <c r="E68" s="59" t="s">
        <v>77</v>
      </c>
      <c r="F68" s="60">
        <v>0</v>
      </c>
      <c r="G68" s="60">
        <v>0</v>
      </c>
      <c r="H68" s="60">
        <v>0</v>
      </c>
      <c r="I68" s="60">
        <v>0</v>
      </c>
      <c r="J68" s="60">
        <v>0</v>
      </c>
      <c r="K68" s="60">
        <v>0</v>
      </c>
      <c r="L68" s="60">
        <v>0</v>
      </c>
      <c r="M68" s="60">
        <v>0</v>
      </c>
      <c r="N68" s="60">
        <v>0</v>
      </c>
      <c r="O68" s="60">
        <v>0</v>
      </c>
      <c r="P68" s="60">
        <v>0</v>
      </c>
      <c r="Q68" s="60">
        <v>0</v>
      </c>
      <c r="R68" s="60">
        <v>0</v>
      </c>
      <c r="S68" s="60">
        <v>0</v>
      </c>
      <c r="T68" s="60">
        <v>0</v>
      </c>
      <c r="U68" s="60">
        <v>0</v>
      </c>
      <c r="V68" s="60">
        <v>0</v>
      </c>
      <c r="W68" s="60"/>
      <c r="X68" s="62"/>
      <c r="Y68" s="47"/>
      <c r="Z68" s="47"/>
      <c r="AA68" s="47"/>
      <c r="AB68" s="47"/>
      <c r="AC68" s="47"/>
      <c r="AD68" s="47"/>
      <c r="AE68" s="47"/>
      <c r="AF68" s="47"/>
      <c r="AG68" s="47"/>
      <c r="AH68" s="47"/>
      <c r="AI68" s="47"/>
      <c r="AJ68" s="47"/>
      <c r="AK68" s="47"/>
      <c r="AL68" s="47"/>
      <c r="AM68" s="47"/>
      <c r="AN68" s="47"/>
      <c r="AO68" s="47"/>
      <c r="AP68" s="47"/>
      <c r="AQ68" s="47"/>
      <c r="AR68" s="47"/>
      <c r="AS68" s="47"/>
      <c r="AT68" s="47"/>
      <c r="AU68" s="47"/>
      <c r="AV68" s="47"/>
      <c r="AW68" s="47"/>
      <c r="AX68" s="47"/>
      <c r="AY68" s="47"/>
    </row>
    <row r="69" spans="1:51">
      <c r="A69" s="119"/>
      <c r="B69" s="50" t="s">
        <v>77</v>
      </c>
      <c r="C69" s="50" t="s">
        <v>77</v>
      </c>
      <c r="D69" s="50" t="s">
        <v>86</v>
      </c>
      <c r="E69" s="59" t="s">
        <v>77</v>
      </c>
      <c r="F69" s="60">
        <v>0</v>
      </c>
      <c r="G69" s="60">
        <v>0</v>
      </c>
      <c r="H69" s="60">
        <v>0</v>
      </c>
      <c r="I69" s="60">
        <v>0</v>
      </c>
      <c r="J69" s="60">
        <v>0</v>
      </c>
      <c r="K69" s="60">
        <v>0</v>
      </c>
      <c r="L69" s="60">
        <v>0</v>
      </c>
      <c r="M69" s="60">
        <v>0</v>
      </c>
      <c r="N69" s="60">
        <v>0</v>
      </c>
      <c r="O69" s="60">
        <v>0</v>
      </c>
      <c r="P69" s="60">
        <v>0</v>
      </c>
      <c r="Q69" s="60">
        <v>0</v>
      </c>
      <c r="R69" s="60">
        <v>0</v>
      </c>
      <c r="S69" s="60">
        <v>0</v>
      </c>
      <c r="T69" s="60">
        <v>0</v>
      </c>
      <c r="U69" s="60">
        <v>0</v>
      </c>
      <c r="V69" s="60">
        <v>0</v>
      </c>
      <c r="W69" s="60"/>
      <c r="X69" s="62"/>
      <c r="Y69" s="47"/>
      <c r="Z69" s="47"/>
      <c r="AA69" s="47"/>
      <c r="AB69" s="47"/>
      <c r="AC69" s="47"/>
      <c r="AD69" s="47"/>
      <c r="AE69" s="47"/>
      <c r="AF69" s="47"/>
      <c r="AG69" s="47"/>
      <c r="AH69" s="47"/>
      <c r="AI69" s="47"/>
      <c r="AJ69" s="47"/>
      <c r="AK69" s="47"/>
      <c r="AL69" s="47"/>
      <c r="AM69" s="47"/>
      <c r="AN69" s="47"/>
      <c r="AO69" s="47"/>
      <c r="AP69" s="47"/>
      <c r="AQ69" s="47"/>
      <c r="AR69" s="47"/>
      <c r="AS69" s="47"/>
      <c r="AT69" s="47"/>
      <c r="AU69" s="47"/>
      <c r="AV69" s="47"/>
      <c r="AW69" s="47"/>
      <c r="AX69" s="47"/>
      <c r="AY69" s="47"/>
    </row>
    <row r="70" spans="1:51">
      <c r="A70" s="119"/>
      <c r="B70" s="75" t="s">
        <v>77</v>
      </c>
      <c r="C70" s="75" t="s">
        <v>77</v>
      </c>
      <c r="D70" s="50" t="s">
        <v>88</v>
      </c>
      <c r="E70" s="59" t="s">
        <v>77</v>
      </c>
      <c r="F70" s="60">
        <v>0</v>
      </c>
      <c r="G70" s="60">
        <v>0</v>
      </c>
      <c r="H70" s="60">
        <v>0</v>
      </c>
      <c r="I70" s="60">
        <v>0</v>
      </c>
      <c r="J70" s="60">
        <v>0</v>
      </c>
      <c r="K70" s="60">
        <v>0</v>
      </c>
      <c r="L70" s="60">
        <v>0</v>
      </c>
      <c r="M70" s="60">
        <v>0</v>
      </c>
      <c r="N70" s="60">
        <v>0</v>
      </c>
      <c r="O70" s="60">
        <v>0</v>
      </c>
      <c r="P70" s="60">
        <v>0</v>
      </c>
      <c r="Q70" s="60">
        <v>0</v>
      </c>
      <c r="R70" s="60">
        <v>0</v>
      </c>
      <c r="S70" s="60">
        <v>0</v>
      </c>
      <c r="T70" s="60">
        <v>0</v>
      </c>
      <c r="U70" s="60">
        <v>0</v>
      </c>
      <c r="V70" s="60">
        <v>0</v>
      </c>
      <c r="W70" s="60"/>
      <c r="X70" s="62"/>
      <c r="Y70" s="47" t="s">
        <v>77</v>
      </c>
      <c r="Z70" s="47" t="s">
        <v>77</v>
      </c>
      <c r="AA70" s="47" t="s">
        <v>77</v>
      </c>
      <c r="AB70" s="47" t="s">
        <v>77</v>
      </c>
      <c r="AC70" s="47" t="s">
        <v>77</v>
      </c>
      <c r="AD70" s="47" t="s">
        <v>77</v>
      </c>
      <c r="AE70" s="47" t="s">
        <v>77</v>
      </c>
      <c r="AF70" s="47" t="s">
        <v>77</v>
      </c>
      <c r="AG70" s="47" t="s">
        <v>77</v>
      </c>
      <c r="AH70" s="47" t="s">
        <v>77</v>
      </c>
      <c r="AI70" s="47" t="s">
        <v>77</v>
      </c>
      <c r="AJ70" s="47" t="s">
        <v>77</v>
      </c>
      <c r="AK70" s="47" t="s">
        <v>77</v>
      </c>
      <c r="AL70" s="47" t="s">
        <v>77</v>
      </c>
      <c r="AM70" s="47" t="s">
        <v>77</v>
      </c>
      <c r="AN70" s="47" t="s">
        <v>77</v>
      </c>
      <c r="AO70" s="47" t="s">
        <v>77</v>
      </c>
      <c r="AP70" s="47" t="s">
        <v>77</v>
      </c>
      <c r="AQ70" s="47" t="s">
        <v>77</v>
      </c>
      <c r="AR70" s="47" t="s">
        <v>77</v>
      </c>
      <c r="AS70" s="47" t="s">
        <v>77</v>
      </c>
      <c r="AT70" s="47" t="s">
        <v>77</v>
      </c>
      <c r="AU70" s="47" t="s">
        <v>77</v>
      </c>
      <c r="AV70" s="47" t="s">
        <v>77</v>
      </c>
      <c r="AW70" s="47" t="s">
        <v>77</v>
      </c>
      <c r="AX70" s="47"/>
      <c r="AY70" s="47"/>
    </row>
    <row r="71" spans="1:51">
      <c r="A71" s="119"/>
      <c r="B71" s="75" t="s">
        <v>77</v>
      </c>
      <c r="C71" s="75" t="s">
        <v>77</v>
      </c>
      <c r="D71" s="50" t="s">
        <v>90</v>
      </c>
      <c r="E71" s="59" t="s">
        <v>77</v>
      </c>
      <c r="F71" s="60">
        <v>0</v>
      </c>
      <c r="G71" s="60">
        <v>0</v>
      </c>
      <c r="H71" s="60">
        <v>0</v>
      </c>
      <c r="I71" s="60">
        <v>0</v>
      </c>
      <c r="J71" s="60">
        <v>0</v>
      </c>
      <c r="K71" s="60">
        <v>0</v>
      </c>
      <c r="L71" s="60">
        <v>0</v>
      </c>
      <c r="M71" s="60">
        <v>0</v>
      </c>
      <c r="N71" s="60">
        <v>0</v>
      </c>
      <c r="O71" s="60">
        <v>0</v>
      </c>
      <c r="P71" s="60">
        <v>0</v>
      </c>
      <c r="Q71" s="60">
        <v>0</v>
      </c>
      <c r="R71" s="60">
        <v>0</v>
      </c>
      <c r="S71" s="60">
        <v>0</v>
      </c>
      <c r="T71" s="60">
        <v>0</v>
      </c>
      <c r="U71" s="60">
        <v>0</v>
      </c>
      <c r="V71" s="60">
        <v>0</v>
      </c>
      <c r="W71" s="60"/>
      <c r="X71" s="62"/>
      <c r="Y71" s="47" t="s">
        <v>77</v>
      </c>
      <c r="Z71" s="47" t="s">
        <v>77</v>
      </c>
      <c r="AA71" s="47" t="s">
        <v>77</v>
      </c>
      <c r="AB71" s="47" t="s">
        <v>77</v>
      </c>
      <c r="AC71" s="47" t="s">
        <v>77</v>
      </c>
      <c r="AD71" s="47" t="s">
        <v>77</v>
      </c>
      <c r="AE71" s="47" t="s">
        <v>77</v>
      </c>
      <c r="AF71" s="47" t="s">
        <v>77</v>
      </c>
      <c r="AG71" s="47" t="s">
        <v>77</v>
      </c>
      <c r="AH71" s="47" t="s">
        <v>77</v>
      </c>
      <c r="AI71" s="47" t="s">
        <v>77</v>
      </c>
      <c r="AJ71" s="47" t="s">
        <v>77</v>
      </c>
      <c r="AK71" s="47" t="s">
        <v>77</v>
      </c>
      <c r="AL71" s="47" t="s">
        <v>77</v>
      </c>
      <c r="AM71" s="47" t="s">
        <v>77</v>
      </c>
      <c r="AN71" s="47" t="s">
        <v>77</v>
      </c>
      <c r="AO71" s="47" t="s">
        <v>77</v>
      </c>
      <c r="AP71" s="47" t="s">
        <v>77</v>
      </c>
      <c r="AQ71" s="47" t="s">
        <v>77</v>
      </c>
      <c r="AR71" s="47" t="s">
        <v>77</v>
      </c>
      <c r="AS71" s="47" t="s">
        <v>77</v>
      </c>
      <c r="AT71" s="47" t="s">
        <v>77</v>
      </c>
      <c r="AU71" s="47" t="s">
        <v>77</v>
      </c>
      <c r="AV71" s="47" t="s">
        <v>77</v>
      </c>
      <c r="AW71" s="47" t="s">
        <v>77</v>
      </c>
      <c r="AX71" s="47"/>
      <c r="AY71" s="47"/>
    </row>
    <row r="72" spans="1:51">
      <c r="A72" s="119"/>
      <c r="B72" s="75" t="s">
        <v>77</v>
      </c>
      <c r="C72" s="75" t="s">
        <v>77</v>
      </c>
      <c r="D72" s="50" t="s">
        <v>92</v>
      </c>
      <c r="E72" s="59" t="s">
        <v>77</v>
      </c>
      <c r="F72" s="60">
        <v>0</v>
      </c>
      <c r="G72" s="60">
        <v>0</v>
      </c>
      <c r="H72" s="60">
        <v>0</v>
      </c>
      <c r="I72" s="60">
        <v>0</v>
      </c>
      <c r="J72" s="60">
        <v>0</v>
      </c>
      <c r="K72" s="60">
        <v>0</v>
      </c>
      <c r="L72" s="60">
        <v>0</v>
      </c>
      <c r="M72" s="60">
        <v>0</v>
      </c>
      <c r="N72" s="60">
        <v>0</v>
      </c>
      <c r="O72" s="60">
        <v>0</v>
      </c>
      <c r="P72" s="60">
        <v>0</v>
      </c>
      <c r="Q72" s="60">
        <v>0</v>
      </c>
      <c r="R72" s="60">
        <v>0</v>
      </c>
      <c r="S72" s="60">
        <v>0</v>
      </c>
      <c r="T72" s="60">
        <v>0</v>
      </c>
      <c r="U72" s="60">
        <v>0</v>
      </c>
      <c r="V72" s="60">
        <v>0</v>
      </c>
      <c r="W72" s="60"/>
      <c r="X72" s="62"/>
      <c r="Y72" s="47" t="s">
        <v>77</v>
      </c>
      <c r="Z72" s="47" t="s">
        <v>77</v>
      </c>
      <c r="AA72" s="47" t="s">
        <v>77</v>
      </c>
      <c r="AB72" s="47" t="s">
        <v>77</v>
      </c>
      <c r="AC72" s="47" t="s">
        <v>77</v>
      </c>
      <c r="AD72" s="47" t="s">
        <v>77</v>
      </c>
      <c r="AE72" s="47" t="s">
        <v>77</v>
      </c>
      <c r="AF72" s="47" t="s">
        <v>77</v>
      </c>
      <c r="AG72" s="47" t="s">
        <v>77</v>
      </c>
      <c r="AH72" s="47" t="s">
        <v>77</v>
      </c>
      <c r="AI72" s="47" t="s">
        <v>77</v>
      </c>
      <c r="AJ72" s="47" t="s">
        <v>77</v>
      </c>
      <c r="AK72" s="47" t="s">
        <v>77</v>
      </c>
      <c r="AL72" s="47" t="s">
        <v>77</v>
      </c>
      <c r="AM72" s="47" t="s">
        <v>77</v>
      </c>
      <c r="AN72" s="47" t="s">
        <v>77</v>
      </c>
      <c r="AO72" s="47" t="s">
        <v>77</v>
      </c>
      <c r="AP72" s="47" t="s">
        <v>77</v>
      </c>
      <c r="AQ72" s="47" t="s">
        <v>77</v>
      </c>
      <c r="AR72" s="47" t="s">
        <v>77</v>
      </c>
      <c r="AS72" s="47" t="s">
        <v>77</v>
      </c>
      <c r="AT72" s="47" t="s">
        <v>77</v>
      </c>
      <c r="AU72" s="47" t="s">
        <v>77</v>
      </c>
      <c r="AV72" s="47" t="s">
        <v>77</v>
      </c>
      <c r="AW72" s="47" t="s">
        <v>77</v>
      </c>
      <c r="AX72" s="47"/>
      <c r="AY72" s="47"/>
    </row>
    <row r="73" spans="1:51">
      <c r="A73" s="119"/>
      <c r="B73" s="50" t="s">
        <v>103</v>
      </c>
      <c r="C73" s="49" t="s">
        <v>104</v>
      </c>
      <c r="D73" s="50" t="s">
        <v>79</v>
      </c>
      <c r="E73" s="59" t="s">
        <v>77</v>
      </c>
      <c r="F73" s="60">
        <v>0</v>
      </c>
      <c r="G73" s="60">
        <v>0</v>
      </c>
      <c r="H73" s="60">
        <v>0</v>
      </c>
      <c r="I73" s="60">
        <v>0</v>
      </c>
      <c r="J73" s="60">
        <v>0</v>
      </c>
      <c r="K73" s="60">
        <v>0</v>
      </c>
      <c r="L73" s="60">
        <v>0</v>
      </c>
      <c r="M73" s="60">
        <v>0</v>
      </c>
      <c r="N73" s="60">
        <v>0</v>
      </c>
      <c r="O73" s="60">
        <v>0</v>
      </c>
      <c r="P73" s="60">
        <v>0</v>
      </c>
      <c r="Q73" s="60">
        <v>0</v>
      </c>
      <c r="R73" s="60">
        <v>0</v>
      </c>
      <c r="S73" s="60">
        <v>0</v>
      </c>
      <c r="T73" s="60">
        <v>0</v>
      </c>
      <c r="U73" s="60">
        <v>0</v>
      </c>
      <c r="V73" s="60">
        <v>0</v>
      </c>
      <c r="W73" s="60"/>
      <c r="X73" s="62"/>
      <c r="Y73" s="47"/>
      <c r="Z73" s="47"/>
      <c r="AA73" s="47"/>
      <c r="AB73" s="47"/>
      <c r="AC73" s="47"/>
      <c r="AD73" s="47"/>
      <c r="AE73" s="47"/>
      <c r="AF73" s="47"/>
      <c r="AG73" s="47"/>
      <c r="AH73" s="47"/>
      <c r="AI73" s="47"/>
      <c r="AJ73" s="47"/>
      <c r="AK73" s="47"/>
      <c r="AL73" s="47"/>
      <c r="AM73" s="47"/>
      <c r="AN73" s="47"/>
      <c r="AO73" s="47"/>
      <c r="AP73" s="47"/>
      <c r="AQ73" s="47"/>
      <c r="AR73" s="47"/>
      <c r="AS73" s="47"/>
      <c r="AT73" s="47"/>
      <c r="AU73" s="47"/>
      <c r="AV73" s="47"/>
      <c r="AW73" s="47"/>
      <c r="AX73" s="47"/>
      <c r="AY73" s="47"/>
    </row>
    <row r="74" spans="1:51">
      <c r="A74" s="119"/>
      <c r="B74" s="75" t="s">
        <v>77</v>
      </c>
      <c r="C74" s="75" t="s">
        <v>77</v>
      </c>
      <c r="D74" s="50" t="s">
        <v>82</v>
      </c>
      <c r="E74" s="59" t="s">
        <v>77</v>
      </c>
      <c r="F74" s="60">
        <v>0</v>
      </c>
      <c r="G74" s="60">
        <v>0</v>
      </c>
      <c r="H74" s="60">
        <v>0</v>
      </c>
      <c r="I74" s="60">
        <v>0</v>
      </c>
      <c r="J74" s="60">
        <v>0</v>
      </c>
      <c r="K74" s="60">
        <v>0</v>
      </c>
      <c r="L74" s="60">
        <v>0</v>
      </c>
      <c r="M74" s="60">
        <v>0</v>
      </c>
      <c r="N74" s="60">
        <v>0</v>
      </c>
      <c r="O74" s="60">
        <v>0</v>
      </c>
      <c r="P74" s="60">
        <v>0</v>
      </c>
      <c r="Q74" s="60">
        <v>0</v>
      </c>
      <c r="R74" s="60">
        <v>0</v>
      </c>
      <c r="S74" s="60">
        <v>0</v>
      </c>
      <c r="T74" s="60">
        <v>0</v>
      </c>
      <c r="U74" s="60">
        <v>0</v>
      </c>
      <c r="V74" s="60">
        <v>0</v>
      </c>
      <c r="W74" s="60"/>
      <c r="X74" s="62"/>
      <c r="Y74" s="47" t="s">
        <v>77</v>
      </c>
      <c r="Z74" s="47" t="s">
        <v>77</v>
      </c>
      <c r="AA74" s="47" t="s">
        <v>77</v>
      </c>
      <c r="AB74" s="47" t="s">
        <v>77</v>
      </c>
      <c r="AC74" s="47" t="s">
        <v>77</v>
      </c>
      <c r="AD74" s="47" t="s">
        <v>77</v>
      </c>
      <c r="AE74" s="47" t="s">
        <v>77</v>
      </c>
      <c r="AF74" s="47" t="s">
        <v>77</v>
      </c>
      <c r="AG74" s="47" t="s">
        <v>77</v>
      </c>
      <c r="AH74" s="47" t="s">
        <v>77</v>
      </c>
      <c r="AI74" s="47" t="s">
        <v>77</v>
      </c>
      <c r="AJ74" s="47" t="s">
        <v>77</v>
      </c>
      <c r="AK74" s="47" t="s">
        <v>77</v>
      </c>
      <c r="AL74" s="47" t="s">
        <v>77</v>
      </c>
      <c r="AM74" s="47" t="s">
        <v>77</v>
      </c>
      <c r="AN74" s="47" t="s">
        <v>77</v>
      </c>
      <c r="AO74" s="47" t="s">
        <v>77</v>
      </c>
      <c r="AP74" s="47" t="s">
        <v>77</v>
      </c>
      <c r="AQ74" s="47" t="s">
        <v>77</v>
      </c>
      <c r="AR74" s="47" t="s">
        <v>77</v>
      </c>
      <c r="AS74" s="47" t="s">
        <v>77</v>
      </c>
      <c r="AT74" s="47" t="s">
        <v>77</v>
      </c>
      <c r="AU74" s="47" t="s">
        <v>77</v>
      </c>
      <c r="AV74" s="47" t="s">
        <v>77</v>
      </c>
      <c r="AW74" s="47" t="s">
        <v>77</v>
      </c>
      <c r="AX74" s="47"/>
      <c r="AY74" s="47"/>
    </row>
    <row r="75" spans="1:51">
      <c r="A75" s="119"/>
      <c r="B75" s="50" t="s">
        <v>77</v>
      </c>
      <c r="C75" s="50" t="s">
        <v>77</v>
      </c>
      <c r="D75" s="50" t="s">
        <v>84</v>
      </c>
      <c r="E75" s="59" t="s">
        <v>77</v>
      </c>
      <c r="F75" s="60">
        <v>0</v>
      </c>
      <c r="G75" s="60">
        <v>0</v>
      </c>
      <c r="H75" s="60">
        <v>0</v>
      </c>
      <c r="I75" s="60">
        <v>0</v>
      </c>
      <c r="J75" s="60">
        <v>0</v>
      </c>
      <c r="K75" s="60">
        <v>0</v>
      </c>
      <c r="L75" s="60">
        <v>0</v>
      </c>
      <c r="M75" s="60">
        <v>0</v>
      </c>
      <c r="N75" s="60">
        <v>0</v>
      </c>
      <c r="O75" s="60">
        <v>0</v>
      </c>
      <c r="P75" s="60">
        <v>0</v>
      </c>
      <c r="Q75" s="60">
        <v>0</v>
      </c>
      <c r="R75" s="60">
        <v>0</v>
      </c>
      <c r="S75" s="60">
        <v>0</v>
      </c>
      <c r="T75" s="60">
        <v>0</v>
      </c>
      <c r="U75" s="60">
        <v>0</v>
      </c>
      <c r="V75" s="60">
        <v>0</v>
      </c>
      <c r="W75" s="60"/>
      <c r="X75" s="62"/>
      <c r="Y75" s="47"/>
      <c r="Z75" s="47"/>
      <c r="AA75" s="47"/>
      <c r="AB75" s="47"/>
      <c r="AC75" s="47"/>
      <c r="AD75" s="47"/>
      <c r="AE75" s="47"/>
      <c r="AF75" s="47"/>
      <c r="AG75" s="47"/>
      <c r="AH75" s="47"/>
      <c r="AI75" s="47"/>
      <c r="AJ75" s="47"/>
      <c r="AK75" s="47"/>
      <c r="AL75" s="47"/>
      <c r="AM75" s="47"/>
      <c r="AN75" s="47"/>
      <c r="AO75" s="47"/>
      <c r="AP75" s="47"/>
      <c r="AQ75" s="47"/>
      <c r="AR75" s="47"/>
      <c r="AS75" s="47"/>
      <c r="AT75" s="47"/>
      <c r="AU75" s="47"/>
      <c r="AV75" s="47"/>
      <c r="AW75" s="47"/>
      <c r="AX75" s="47"/>
      <c r="AY75" s="47"/>
    </row>
    <row r="76" spans="1:51">
      <c r="A76" s="119"/>
      <c r="B76" s="50" t="s">
        <v>77</v>
      </c>
      <c r="C76" s="50" t="s">
        <v>77</v>
      </c>
      <c r="D76" s="50" t="s">
        <v>86</v>
      </c>
      <c r="E76" s="59" t="s">
        <v>77</v>
      </c>
      <c r="F76" s="60">
        <v>0</v>
      </c>
      <c r="G76" s="60">
        <v>0</v>
      </c>
      <c r="H76" s="60">
        <v>0</v>
      </c>
      <c r="I76" s="60">
        <v>0</v>
      </c>
      <c r="J76" s="60">
        <v>0</v>
      </c>
      <c r="K76" s="60">
        <v>0</v>
      </c>
      <c r="L76" s="60">
        <v>0</v>
      </c>
      <c r="M76" s="60">
        <v>0</v>
      </c>
      <c r="N76" s="60">
        <v>0</v>
      </c>
      <c r="O76" s="60">
        <v>0</v>
      </c>
      <c r="P76" s="60">
        <v>0</v>
      </c>
      <c r="Q76" s="60">
        <v>0</v>
      </c>
      <c r="R76" s="60">
        <v>0</v>
      </c>
      <c r="S76" s="60">
        <v>0</v>
      </c>
      <c r="T76" s="60">
        <v>0</v>
      </c>
      <c r="U76" s="60">
        <v>0</v>
      </c>
      <c r="V76" s="60">
        <v>0</v>
      </c>
      <c r="W76" s="60"/>
      <c r="X76" s="62"/>
      <c r="Y76" s="47"/>
      <c r="Z76" s="47"/>
      <c r="AA76" s="47"/>
      <c r="AB76" s="47"/>
      <c r="AC76" s="47"/>
      <c r="AD76" s="47"/>
      <c r="AE76" s="47"/>
      <c r="AF76" s="47"/>
      <c r="AG76" s="47"/>
      <c r="AH76" s="47"/>
      <c r="AI76" s="47"/>
      <c r="AJ76" s="47"/>
      <c r="AK76" s="47"/>
      <c r="AL76" s="47"/>
      <c r="AM76" s="47"/>
      <c r="AN76" s="47"/>
      <c r="AO76" s="47"/>
      <c r="AP76" s="47"/>
      <c r="AQ76" s="47"/>
      <c r="AR76" s="47"/>
      <c r="AS76" s="47"/>
      <c r="AT76" s="47"/>
      <c r="AU76" s="47"/>
      <c r="AV76" s="47"/>
      <c r="AW76" s="47"/>
      <c r="AX76" s="47"/>
      <c r="AY76" s="47"/>
    </row>
    <row r="77" spans="1:51">
      <c r="A77" s="119"/>
      <c r="B77" s="75" t="s">
        <v>77</v>
      </c>
      <c r="C77" s="75" t="s">
        <v>77</v>
      </c>
      <c r="D77" s="50" t="s">
        <v>88</v>
      </c>
      <c r="E77" s="59" t="s">
        <v>77</v>
      </c>
      <c r="F77" s="60">
        <v>0</v>
      </c>
      <c r="G77" s="60">
        <v>0</v>
      </c>
      <c r="H77" s="60">
        <v>0</v>
      </c>
      <c r="I77" s="60">
        <v>0</v>
      </c>
      <c r="J77" s="60">
        <v>0</v>
      </c>
      <c r="K77" s="60">
        <v>0</v>
      </c>
      <c r="L77" s="60">
        <v>0</v>
      </c>
      <c r="M77" s="60">
        <v>0</v>
      </c>
      <c r="N77" s="60">
        <v>0</v>
      </c>
      <c r="O77" s="60">
        <v>0</v>
      </c>
      <c r="P77" s="60">
        <v>0</v>
      </c>
      <c r="Q77" s="60">
        <v>0</v>
      </c>
      <c r="R77" s="60">
        <v>0</v>
      </c>
      <c r="S77" s="60">
        <v>0</v>
      </c>
      <c r="T77" s="60">
        <v>0</v>
      </c>
      <c r="U77" s="60">
        <v>0</v>
      </c>
      <c r="V77" s="60">
        <v>0</v>
      </c>
      <c r="W77" s="60"/>
      <c r="X77" s="62"/>
      <c r="Y77" s="47" t="s">
        <v>77</v>
      </c>
      <c r="Z77" s="47" t="s">
        <v>77</v>
      </c>
      <c r="AA77" s="47" t="s">
        <v>77</v>
      </c>
      <c r="AB77" s="47" t="s">
        <v>77</v>
      </c>
      <c r="AC77" s="47" t="s">
        <v>77</v>
      </c>
      <c r="AD77" s="47" t="s">
        <v>77</v>
      </c>
      <c r="AE77" s="47" t="s">
        <v>77</v>
      </c>
      <c r="AF77" s="47" t="s">
        <v>77</v>
      </c>
      <c r="AG77" s="47" t="s">
        <v>77</v>
      </c>
      <c r="AH77" s="47" t="s">
        <v>77</v>
      </c>
      <c r="AI77" s="47" t="s">
        <v>77</v>
      </c>
      <c r="AJ77" s="47" t="s">
        <v>77</v>
      </c>
      <c r="AK77" s="47" t="s">
        <v>77</v>
      </c>
      <c r="AL77" s="47" t="s">
        <v>77</v>
      </c>
      <c r="AM77" s="47" t="s">
        <v>77</v>
      </c>
      <c r="AN77" s="47" t="s">
        <v>77</v>
      </c>
      <c r="AO77" s="47" t="s">
        <v>77</v>
      </c>
      <c r="AP77" s="47" t="s">
        <v>77</v>
      </c>
      <c r="AQ77" s="47" t="s">
        <v>77</v>
      </c>
      <c r="AR77" s="47" t="s">
        <v>77</v>
      </c>
      <c r="AS77" s="47" t="s">
        <v>77</v>
      </c>
      <c r="AT77" s="47" t="s">
        <v>77</v>
      </c>
      <c r="AU77" s="47" t="s">
        <v>77</v>
      </c>
      <c r="AV77" s="47" t="s">
        <v>77</v>
      </c>
      <c r="AW77" s="47" t="s">
        <v>77</v>
      </c>
      <c r="AX77" s="47"/>
      <c r="AY77" s="47"/>
    </row>
    <row r="78" spans="1:51">
      <c r="A78" s="119"/>
      <c r="B78" s="75" t="s">
        <v>77</v>
      </c>
      <c r="C78" s="75" t="s">
        <v>77</v>
      </c>
      <c r="D78" s="50" t="s">
        <v>90</v>
      </c>
      <c r="E78" s="59" t="s">
        <v>77</v>
      </c>
      <c r="F78" s="60">
        <v>0</v>
      </c>
      <c r="G78" s="60">
        <v>0</v>
      </c>
      <c r="H78" s="60">
        <v>0</v>
      </c>
      <c r="I78" s="60">
        <v>0</v>
      </c>
      <c r="J78" s="60">
        <v>0</v>
      </c>
      <c r="K78" s="60">
        <v>0</v>
      </c>
      <c r="L78" s="60">
        <v>0</v>
      </c>
      <c r="M78" s="60">
        <v>0</v>
      </c>
      <c r="N78" s="60">
        <v>0</v>
      </c>
      <c r="O78" s="60">
        <v>0</v>
      </c>
      <c r="P78" s="60">
        <v>0</v>
      </c>
      <c r="Q78" s="60">
        <v>0</v>
      </c>
      <c r="R78" s="60">
        <v>0</v>
      </c>
      <c r="S78" s="60">
        <v>0</v>
      </c>
      <c r="T78" s="60">
        <v>0</v>
      </c>
      <c r="U78" s="60">
        <v>0</v>
      </c>
      <c r="V78" s="60">
        <v>0</v>
      </c>
      <c r="W78" s="60"/>
      <c r="X78" s="62"/>
      <c r="Y78" s="47" t="s">
        <v>77</v>
      </c>
      <c r="Z78" s="47" t="s">
        <v>77</v>
      </c>
      <c r="AA78" s="47" t="s">
        <v>77</v>
      </c>
      <c r="AB78" s="47" t="s">
        <v>77</v>
      </c>
      <c r="AC78" s="47" t="s">
        <v>77</v>
      </c>
      <c r="AD78" s="47" t="s">
        <v>77</v>
      </c>
      <c r="AE78" s="47" t="s">
        <v>77</v>
      </c>
      <c r="AF78" s="47" t="s">
        <v>77</v>
      </c>
      <c r="AG78" s="47" t="s">
        <v>77</v>
      </c>
      <c r="AH78" s="47" t="s">
        <v>77</v>
      </c>
      <c r="AI78" s="47" t="s">
        <v>77</v>
      </c>
      <c r="AJ78" s="47" t="s">
        <v>77</v>
      </c>
      <c r="AK78" s="47" t="s">
        <v>77</v>
      </c>
      <c r="AL78" s="47" t="s">
        <v>77</v>
      </c>
      <c r="AM78" s="47" t="s">
        <v>77</v>
      </c>
      <c r="AN78" s="47" t="s">
        <v>77</v>
      </c>
      <c r="AO78" s="47" t="s">
        <v>77</v>
      </c>
      <c r="AP78" s="47" t="s">
        <v>77</v>
      </c>
      <c r="AQ78" s="47" t="s">
        <v>77</v>
      </c>
      <c r="AR78" s="47" t="s">
        <v>77</v>
      </c>
      <c r="AS78" s="47" t="s">
        <v>77</v>
      </c>
      <c r="AT78" s="47" t="s">
        <v>77</v>
      </c>
      <c r="AU78" s="47" t="s">
        <v>77</v>
      </c>
      <c r="AV78" s="47" t="s">
        <v>77</v>
      </c>
      <c r="AW78" s="47" t="s">
        <v>77</v>
      </c>
      <c r="AX78" s="47"/>
      <c r="AY78" s="47"/>
    </row>
    <row r="79" spans="1:51">
      <c r="A79" s="119"/>
      <c r="B79" s="75" t="s">
        <v>77</v>
      </c>
      <c r="C79" s="75" t="s">
        <v>77</v>
      </c>
      <c r="D79" s="50" t="s">
        <v>92</v>
      </c>
      <c r="E79" s="59" t="s">
        <v>77</v>
      </c>
      <c r="F79" s="60">
        <v>0</v>
      </c>
      <c r="G79" s="60">
        <v>0</v>
      </c>
      <c r="H79" s="60">
        <v>0</v>
      </c>
      <c r="I79" s="60">
        <v>0</v>
      </c>
      <c r="J79" s="60">
        <v>0</v>
      </c>
      <c r="K79" s="60">
        <v>0</v>
      </c>
      <c r="L79" s="60">
        <v>0</v>
      </c>
      <c r="M79" s="60">
        <v>0</v>
      </c>
      <c r="N79" s="60">
        <v>0</v>
      </c>
      <c r="O79" s="60">
        <v>0</v>
      </c>
      <c r="P79" s="60">
        <v>0</v>
      </c>
      <c r="Q79" s="60">
        <v>0</v>
      </c>
      <c r="R79" s="60">
        <v>0</v>
      </c>
      <c r="S79" s="60">
        <v>0</v>
      </c>
      <c r="T79" s="60">
        <v>0</v>
      </c>
      <c r="U79" s="60">
        <v>0</v>
      </c>
      <c r="V79" s="60">
        <v>0</v>
      </c>
      <c r="W79" s="60"/>
      <c r="X79" s="62"/>
      <c r="Y79" s="47" t="s">
        <v>77</v>
      </c>
      <c r="Z79" s="47" t="s">
        <v>77</v>
      </c>
      <c r="AA79" s="47" t="s">
        <v>77</v>
      </c>
      <c r="AB79" s="47" t="s">
        <v>77</v>
      </c>
      <c r="AC79" s="47" t="s">
        <v>77</v>
      </c>
      <c r="AD79" s="47" t="s">
        <v>77</v>
      </c>
      <c r="AE79" s="47" t="s">
        <v>77</v>
      </c>
      <c r="AF79" s="47" t="s">
        <v>77</v>
      </c>
      <c r="AG79" s="47" t="s">
        <v>77</v>
      </c>
      <c r="AH79" s="47" t="s">
        <v>77</v>
      </c>
      <c r="AI79" s="47" t="s">
        <v>77</v>
      </c>
      <c r="AJ79" s="47" t="s">
        <v>77</v>
      </c>
      <c r="AK79" s="47" t="s">
        <v>77</v>
      </c>
      <c r="AL79" s="47" t="s">
        <v>77</v>
      </c>
      <c r="AM79" s="47" t="s">
        <v>77</v>
      </c>
      <c r="AN79" s="47" t="s">
        <v>77</v>
      </c>
      <c r="AO79" s="47" t="s">
        <v>77</v>
      </c>
      <c r="AP79" s="47" t="s">
        <v>77</v>
      </c>
      <c r="AQ79" s="47" t="s">
        <v>77</v>
      </c>
      <c r="AR79" s="47" t="s">
        <v>77</v>
      </c>
      <c r="AS79" s="47" t="s">
        <v>77</v>
      </c>
      <c r="AT79" s="47" t="s">
        <v>77</v>
      </c>
      <c r="AU79" s="47" t="s">
        <v>77</v>
      </c>
      <c r="AV79" s="47" t="s">
        <v>77</v>
      </c>
      <c r="AW79" s="47" t="s">
        <v>77</v>
      </c>
      <c r="AX79" s="47"/>
      <c r="AY79" s="47"/>
    </row>
    <row r="80" spans="1:51">
      <c r="A80" s="70"/>
      <c r="B80" s="75"/>
      <c r="C80" s="67" t="s">
        <v>105</v>
      </c>
      <c r="D80" s="50" t="s">
        <v>79</v>
      </c>
      <c r="E80" s="59"/>
      <c r="F80" s="60">
        <v>0</v>
      </c>
      <c r="G80" s="60">
        <v>0</v>
      </c>
      <c r="H80" s="60">
        <v>0</v>
      </c>
      <c r="I80" s="60">
        <v>3</v>
      </c>
      <c r="J80" s="60">
        <v>0</v>
      </c>
      <c r="K80" s="60">
        <v>0</v>
      </c>
      <c r="L80" s="60">
        <v>3</v>
      </c>
      <c r="M80" s="60">
        <v>1</v>
      </c>
      <c r="N80" s="60">
        <v>1</v>
      </c>
      <c r="O80" s="60">
        <v>6</v>
      </c>
      <c r="P80" s="60">
        <v>0</v>
      </c>
      <c r="Q80" s="60">
        <v>0</v>
      </c>
      <c r="R80" s="60">
        <v>0</v>
      </c>
      <c r="S80" s="60">
        <v>0</v>
      </c>
      <c r="T80" s="60">
        <v>0</v>
      </c>
      <c r="U80" s="60">
        <v>0</v>
      </c>
      <c r="V80" s="60">
        <v>1</v>
      </c>
      <c r="W80" s="50"/>
      <c r="X80" s="47"/>
      <c r="Y80" s="47"/>
      <c r="Z80" s="47"/>
      <c r="AA80" s="47"/>
      <c r="AB80" s="47"/>
      <c r="AC80" s="47"/>
      <c r="AD80" s="47"/>
      <c r="AE80" s="47"/>
      <c r="AF80" s="47"/>
      <c r="AG80" s="47"/>
      <c r="AH80" s="47"/>
      <c r="AI80" s="47"/>
      <c r="AJ80" s="47"/>
      <c r="AK80" s="47"/>
      <c r="AL80" s="47"/>
      <c r="AM80" s="47"/>
      <c r="AN80" s="47"/>
      <c r="AO80" s="47"/>
      <c r="AP80" s="47"/>
      <c r="AQ80" s="47"/>
      <c r="AR80" s="47"/>
      <c r="AS80" s="47"/>
      <c r="AT80" s="47"/>
      <c r="AU80" s="47"/>
      <c r="AV80" s="47"/>
      <c r="AW80" s="47"/>
      <c r="AX80" s="47"/>
      <c r="AY80" s="47"/>
    </row>
    <row r="81" spans="1:51">
      <c r="A81" s="70"/>
      <c r="B81" s="75"/>
      <c r="C81" s="67"/>
      <c r="D81" s="50" t="s">
        <v>82</v>
      </c>
      <c r="E81" s="59"/>
      <c r="F81" s="60">
        <v>0</v>
      </c>
      <c r="G81" s="60">
        <v>0</v>
      </c>
      <c r="H81" s="60">
        <v>0</v>
      </c>
      <c r="I81" s="60">
        <v>0</v>
      </c>
      <c r="J81" s="60">
        <v>0</v>
      </c>
      <c r="K81" s="60">
        <v>0</v>
      </c>
      <c r="L81" s="60">
        <v>0</v>
      </c>
      <c r="M81" s="60">
        <v>1</v>
      </c>
      <c r="N81" s="60">
        <v>0</v>
      </c>
      <c r="O81" s="60">
        <v>1</v>
      </c>
      <c r="P81" s="60">
        <v>1</v>
      </c>
      <c r="Q81" s="60">
        <v>0</v>
      </c>
      <c r="R81" s="60">
        <v>6</v>
      </c>
      <c r="S81" s="60">
        <v>1</v>
      </c>
      <c r="T81" s="60">
        <v>1</v>
      </c>
      <c r="U81" s="60">
        <v>2</v>
      </c>
      <c r="V81" s="60">
        <v>4</v>
      </c>
      <c r="W81" s="50"/>
      <c r="X81" s="47"/>
      <c r="Y81" s="47"/>
      <c r="Z81" s="47"/>
      <c r="AA81" s="47"/>
      <c r="AB81" s="47"/>
      <c r="AC81" s="47"/>
      <c r="AD81" s="47"/>
      <c r="AE81" s="47"/>
      <c r="AF81" s="47"/>
      <c r="AG81" s="47"/>
      <c r="AH81" s="47"/>
      <c r="AI81" s="47"/>
      <c r="AJ81" s="47"/>
      <c r="AK81" s="47"/>
      <c r="AL81" s="47"/>
      <c r="AM81" s="47"/>
      <c r="AN81" s="47"/>
      <c r="AO81" s="47"/>
      <c r="AP81" s="47"/>
      <c r="AQ81" s="47"/>
      <c r="AR81" s="47"/>
      <c r="AS81" s="47"/>
      <c r="AT81" s="47"/>
      <c r="AU81" s="47"/>
      <c r="AV81" s="47"/>
      <c r="AW81" s="47"/>
      <c r="AX81" s="47"/>
      <c r="AY81" s="47"/>
    </row>
    <row r="82" spans="1:51">
      <c r="A82" s="70"/>
      <c r="B82" s="75"/>
      <c r="C82" s="67"/>
      <c r="D82" s="50" t="s">
        <v>84</v>
      </c>
      <c r="E82" s="59"/>
      <c r="F82" s="60">
        <v>0</v>
      </c>
      <c r="G82" s="60">
        <v>0</v>
      </c>
      <c r="H82" s="60">
        <v>0</v>
      </c>
      <c r="I82" s="60">
        <v>0</v>
      </c>
      <c r="J82" s="60">
        <v>0</v>
      </c>
      <c r="K82" s="60">
        <v>0</v>
      </c>
      <c r="L82" s="60">
        <v>0</v>
      </c>
      <c r="M82" s="60">
        <v>0</v>
      </c>
      <c r="N82" s="60">
        <v>0</v>
      </c>
      <c r="O82" s="60">
        <v>0</v>
      </c>
      <c r="P82" s="60">
        <v>0</v>
      </c>
      <c r="Q82" s="60">
        <v>0</v>
      </c>
      <c r="R82" s="60">
        <v>0</v>
      </c>
      <c r="S82" s="60">
        <v>0</v>
      </c>
      <c r="T82" s="60">
        <v>0</v>
      </c>
      <c r="U82" s="60">
        <v>0</v>
      </c>
      <c r="V82" s="60">
        <v>0</v>
      </c>
      <c r="W82" s="50"/>
      <c r="X82" s="47"/>
      <c r="Y82" s="47"/>
      <c r="Z82" s="47"/>
      <c r="AA82" s="47"/>
      <c r="AB82" s="47"/>
      <c r="AC82" s="47"/>
      <c r="AD82" s="47"/>
      <c r="AE82" s="47"/>
      <c r="AF82" s="47"/>
      <c r="AG82" s="47"/>
      <c r="AH82" s="47"/>
      <c r="AI82" s="47"/>
      <c r="AJ82" s="47"/>
      <c r="AK82" s="47"/>
      <c r="AL82" s="47"/>
      <c r="AM82" s="47"/>
      <c r="AN82" s="47"/>
      <c r="AO82" s="47"/>
      <c r="AP82" s="47"/>
      <c r="AQ82" s="47"/>
      <c r="AR82" s="47"/>
      <c r="AS82" s="47"/>
      <c r="AT82" s="47"/>
      <c r="AU82" s="47"/>
      <c r="AV82" s="47"/>
      <c r="AW82" s="47"/>
      <c r="AX82" s="47"/>
      <c r="AY82" s="47"/>
    </row>
    <row r="83" spans="1:51">
      <c r="A83" s="115"/>
      <c r="B83" s="60"/>
      <c r="C83" s="41"/>
      <c r="D83" s="60" t="s">
        <v>86</v>
      </c>
      <c r="E83" s="60"/>
      <c r="F83" s="60">
        <v>43</v>
      </c>
      <c r="G83" s="60">
        <v>31</v>
      </c>
      <c r="H83" s="60">
        <v>11</v>
      </c>
      <c r="I83" s="60">
        <v>77</v>
      </c>
      <c r="J83" s="60">
        <v>65</v>
      </c>
      <c r="K83" s="60">
        <v>106</v>
      </c>
      <c r="L83" s="60">
        <v>133</v>
      </c>
      <c r="M83" s="60">
        <v>49</v>
      </c>
      <c r="N83" s="60">
        <v>8</v>
      </c>
      <c r="O83" s="60">
        <v>61</v>
      </c>
      <c r="P83" s="60">
        <v>94</v>
      </c>
      <c r="Q83" s="60">
        <v>67</v>
      </c>
      <c r="R83" s="60">
        <v>142</v>
      </c>
      <c r="S83" s="60">
        <v>104</v>
      </c>
      <c r="T83" s="60">
        <v>139</v>
      </c>
      <c r="U83" s="60">
        <v>112</v>
      </c>
      <c r="V83" s="60">
        <v>121</v>
      </c>
      <c r="W83" s="60"/>
      <c r="X83" s="62"/>
      <c r="Y83" s="62"/>
      <c r="Z83" s="62"/>
      <c r="AA83" s="62"/>
      <c r="AB83" s="62"/>
      <c r="AC83" s="62"/>
      <c r="AD83" s="47"/>
      <c r="AE83" s="47"/>
      <c r="AF83" s="47"/>
      <c r="AG83" s="47"/>
      <c r="AH83" s="47"/>
      <c r="AI83" s="47"/>
      <c r="AJ83" s="47"/>
      <c r="AK83" s="47"/>
      <c r="AL83" s="47"/>
      <c r="AM83" s="47"/>
      <c r="AN83" s="47"/>
      <c r="AO83" s="47"/>
      <c r="AP83" s="47"/>
      <c r="AQ83" s="47"/>
      <c r="AR83" s="47"/>
      <c r="AS83" s="47"/>
      <c r="AT83" s="47"/>
      <c r="AU83" s="47"/>
      <c r="AV83" s="47"/>
      <c r="AW83" s="47"/>
      <c r="AX83" s="47"/>
      <c r="AY83" s="47"/>
    </row>
    <row r="84" spans="1:51">
      <c r="A84" s="115"/>
      <c r="B84" s="60"/>
      <c r="C84" s="67"/>
      <c r="D84" s="60" t="s">
        <v>88</v>
      </c>
      <c r="E84" s="60"/>
      <c r="F84" s="41">
        <v>0</v>
      </c>
      <c r="G84" s="41">
        <v>0</v>
      </c>
      <c r="H84" s="41">
        <v>0</v>
      </c>
      <c r="I84" s="41">
        <v>0</v>
      </c>
      <c r="J84" s="41">
        <v>0</v>
      </c>
      <c r="K84" s="41">
        <v>0</v>
      </c>
      <c r="L84" s="41">
        <v>0</v>
      </c>
      <c r="M84" s="41">
        <v>0</v>
      </c>
      <c r="N84" s="41">
        <v>0</v>
      </c>
      <c r="O84" s="41">
        <v>0</v>
      </c>
      <c r="P84" s="41">
        <v>0</v>
      </c>
      <c r="Q84" s="41">
        <v>0</v>
      </c>
      <c r="R84" s="41">
        <v>0</v>
      </c>
      <c r="S84" s="41">
        <v>0</v>
      </c>
      <c r="T84" s="41">
        <v>0</v>
      </c>
      <c r="U84" s="41">
        <v>0</v>
      </c>
      <c r="V84" s="41">
        <v>0</v>
      </c>
      <c r="W84" s="60"/>
      <c r="X84" s="62"/>
      <c r="Y84" s="62"/>
      <c r="Z84" s="62"/>
      <c r="AA84" s="62"/>
      <c r="AB84" s="62"/>
      <c r="AC84" s="62"/>
      <c r="AD84" s="47"/>
      <c r="AE84" s="47"/>
      <c r="AF84" s="47"/>
      <c r="AG84" s="47"/>
      <c r="AH84" s="47"/>
      <c r="AI84" s="47"/>
      <c r="AJ84" s="47"/>
      <c r="AK84" s="47"/>
      <c r="AL84" s="47"/>
      <c r="AM84" s="47"/>
      <c r="AN84" s="47"/>
      <c r="AO84" s="47"/>
      <c r="AP84" s="47"/>
      <c r="AQ84" s="47"/>
      <c r="AR84" s="47"/>
      <c r="AS84" s="47"/>
      <c r="AT84" s="47"/>
      <c r="AU84" s="47"/>
      <c r="AV84" s="47"/>
      <c r="AW84" s="47"/>
      <c r="AX84" s="47"/>
      <c r="AY84" s="47"/>
    </row>
    <row r="85" spans="1:51">
      <c r="A85" s="115"/>
      <c r="B85" s="60"/>
      <c r="C85" s="67"/>
      <c r="D85" s="60" t="s">
        <v>106</v>
      </c>
      <c r="E85" s="60"/>
      <c r="F85" s="60">
        <v>0</v>
      </c>
      <c r="G85" s="60">
        <v>0</v>
      </c>
      <c r="H85" s="60">
        <v>0</v>
      </c>
      <c r="I85" s="60">
        <v>0</v>
      </c>
      <c r="J85" s="60">
        <v>0</v>
      </c>
      <c r="K85" s="60">
        <v>0</v>
      </c>
      <c r="L85" s="60">
        <v>0</v>
      </c>
      <c r="M85" s="60">
        <v>0</v>
      </c>
      <c r="N85" s="60">
        <v>0</v>
      </c>
      <c r="O85" s="60">
        <v>0</v>
      </c>
      <c r="P85" s="60">
        <v>0</v>
      </c>
      <c r="Q85" s="60">
        <v>0</v>
      </c>
      <c r="R85" s="60">
        <v>1</v>
      </c>
      <c r="S85" s="60">
        <v>1</v>
      </c>
      <c r="T85" s="60">
        <v>1</v>
      </c>
      <c r="U85" s="60">
        <v>1</v>
      </c>
      <c r="V85" s="60">
        <v>0</v>
      </c>
      <c r="W85" s="60"/>
      <c r="X85" s="62"/>
      <c r="Y85" s="62"/>
      <c r="Z85" s="62"/>
      <c r="AA85" s="62"/>
      <c r="AB85" s="62"/>
      <c r="AC85" s="62"/>
      <c r="AD85" s="47"/>
      <c r="AE85" s="47"/>
      <c r="AF85" s="47"/>
      <c r="AG85" s="47"/>
      <c r="AH85" s="47"/>
      <c r="AI85" s="47"/>
      <c r="AJ85" s="47"/>
      <c r="AK85" s="47"/>
      <c r="AL85" s="47"/>
      <c r="AM85" s="47"/>
      <c r="AN85" s="47"/>
      <c r="AO85" s="47"/>
      <c r="AP85" s="47"/>
      <c r="AQ85" s="47"/>
      <c r="AR85" s="47"/>
      <c r="AS85" s="47"/>
      <c r="AT85" s="47"/>
      <c r="AU85" s="47"/>
      <c r="AV85" s="47"/>
      <c r="AW85" s="47"/>
      <c r="AX85" s="47"/>
      <c r="AY85" s="47"/>
    </row>
    <row r="86" spans="1:51">
      <c r="A86" s="115"/>
      <c r="B86" s="60"/>
      <c r="C86" s="67"/>
      <c r="D86" s="60" t="s">
        <v>92</v>
      </c>
      <c r="E86" s="60"/>
      <c r="F86" s="60">
        <v>0</v>
      </c>
      <c r="G86" s="60">
        <v>0</v>
      </c>
      <c r="H86" s="60">
        <v>0</v>
      </c>
      <c r="I86" s="60">
        <v>0</v>
      </c>
      <c r="J86" s="60">
        <v>0</v>
      </c>
      <c r="K86" s="60">
        <v>0</v>
      </c>
      <c r="L86" s="60">
        <v>0</v>
      </c>
      <c r="M86" s="60">
        <v>0</v>
      </c>
      <c r="N86" s="60">
        <v>0</v>
      </c>
      <c r="O86" s="60">
        <v>0</v>
      </c>
      <c r="P86" s="60">
        <v>0</v>
      </c>
      <c r="Q86" s="60">
        <v>0</v>
      </c>
      <c r="R86" s="60">
        <v>3</v>
      </c>
      <c r="S86" s="60">
        <v>3</v>
      </c>
      <c r="T86" s="60">
        <v>4</v>
      </c>
      <c r="U86" s="60">
        <v>3</v>
      </c>
      <c r="V86" s="60">
        <v>0</v>
      </c>
      <c r="W86" s="60"/>
      <c r="X86" s="62"/>
      <c r="Y86" s="62"/>
      <c r="Z86" s="62"/>
      <c r="AA86" s="62"/>
      <c r="AB86" s="62"/>
      <c r="AC86" s="62"/>
      <c r="AD86" s="47"/>
      <c r="AE86" s="47"/>
      <c r="AF86" s="47"/>
      <c r="AG86" s="47"/>
      <c r="AH86" s="47"/>
      <c r="AI86" s="47"/>
      <c r="AJ86" s="47"/>
      <c r="AK86" s="47"/>
      <c r="AL86" s="47"/>
      <c r="AM86" s="47"/>
      <c r="AN86" s="47"/>
      <c r="AO86" s="47"/>
      <c r="AP86" s="47"/>
      <c r="AQ86" s="47"/>
      <c r="AR86" s="47"/>
      <c r="AS86" s="47"/>
      <c r="AT86" s="47"/>
      <c r="AU86" s="47"/>
      <c r="AV86" s="47"/>
      <c r="AW86" s="47"/>
      <c r="AX86" s="47"/>
      <c r="AY86" s="47"/>
    </row>
    <row r="87" spans="1:51" ht="24" customHeight="1">
      <c r="A87" s="115">
        <v>5</v>
      </c>
      <c r="B87" s="116" t="s">
        <v>107</v>
      </c>
      <c r="C87" s="116"/>
      <c r="D87" s="116"/>
      <c r="E87" s="117" t="s">
        <v>108</v>
      </c>
      <c r="F87" s="60"/>
      <c r="G87" s="60"/>
      <c r="H87" s="60"/>
      <c r="I87" s="60"/>
      <c r="J87" s="60"/>
      <c r="K87" s="60"/>
      <c r="L87" s="60"/>
      <c r="M87" s="60"/>
      <c r="N87" s="60"/>
      <c r="O87" s="60"/>
      <c r="P87" s="60"/>
      <c r="Q87" s="60"/>
      <c r="R87" s="60"/>
      <c r="S87" s="60"/>
      <c r="T87" s="60"/>
      <c r="U87" s="60"/>
      <c r="V87" s="60"/>
      <c r="W87" s="60"/>
      <c r="X87" s="62"/>
      <c r="Y87" s="62" t="s">
        <v>109</v>
      </c>
      <c r="Z87" s="62"/>
      <c r="AA87" s="62"/>
      <c r="AB87" s="62"/>
      <c r="AC87" s="62"/>
      <c r="AD87" s="66"/>
      <c r="AE87" s="66"/>
      <c r="AF87" s="66"/>
      <c r="AG87" s="66"/>
      <c r="AH87" s="66"/>
      <c r="AI87" s="66"/>
      <c r="AJ87" s="66"/>
      <c r="AK87" s="66" t="s">
        <v>77</v>
      </c>
      <c r="AL87" s="66" t="s">
        <v>77</v>
      </c>
      <c r="AM87" s="66" t="s">
        <v>77</v>
      </c>
      <c r="AN87" s="66" t="s">
        <v>77</v>
      </c>
      <c r="AO87" s="66" t="s">
        <v>77</v>
      </c>
      <c r="AP87" s="66" t="s">
        <v>77</v>
      </c>
      <c r="AQ87" s="66" t="s">
        <v>77</v>
      </c>
      <c r="AR87" s="66" t="s">
        <v>77</v>
      </c>
      <c r="AS87" s="66" t="s">
        <v>77</v>
      </c>
      <c r="AT87" s="66" t="s">
        <v>77</v>
      </c>
      <c r="AU87" s="66" t="s">
        <v>77</v>
      </c>
      <c r="AV87" s="66" t="s">
        <v>77</v>
      </c>
      <c r="AW87" s="66" t="s">
        <v>77</v>
      </c>
      <c r="AX87" s="47"/>
      <c r="AY87" s="47"/>
    </row>
    <row r="88" spans="1:51" ht="24" customHeight="1">
      <c r="A88" s="115"/>
      <c r="B88" s="60"/>
      <c r="C88" s="118" t="s">
        <v>110</v>
      </c>
      <c r="D88" s="118"/>
      <c r="E88" s="117"/>
      <c r="F88" s="60"/>
      <c r="G88" s="60"/>
      <c r="H88" s="60"/>
      <c r="I88" s="60"/>
      <c r="J88" s="60"/>
      <c r="K88" s="60"/>
      <c r="L88" s="60"/>
      <c r="M88" s="60"/>
      <c r="N88" s="60"/>
      <c r="O88" s="60"/>
      <c r="P88" s="60"/>
      <c r="Q88" s="60"/>
      <c r="R88" s="60"/>
      <c r="S88" s="60"/>
      <c r="T88" s="60"/>
      <c r="U88" s="60"/>
      <c r="V88" s="60"/>
      <c r="W88" s="60"/>
      <c r="X88" s="62"/>
      <c r="Y88" s="62"/>
      <c r="Z88" s="62"/>
      <c r="AA88" s="62"/>
      <c r="AB88" s="62"/>
      <c r="AC88" s="62"/>
      <c r="AD88" s="66"/>
      <c r="AE88" s="66"/>
      <c r="AF88" s="66"/>
      <c r="AG88" s="66"/>
      <c r="AH88" s="66"/>
      <c r="AI88" s="66"/>
      <c r="AJ88" s="66"/>
      <c r="AK88" s="66" t="s">
        <v>77</v>
      </c>
      <c r="AL88" s="66" t="s">
        <v>77</v>
      </c>
      <c r="AM88" s="66" t="s">
        <v>77</v>
      </c>
      <c r="AN88" s="66" t="s">
        <v>77</v>
      </c>
      <c r="AO88" s="66" t="s">
        <v>77</v>
      </c>
      <c r="AP88" s="66" t="s">
        <v>77</v>
      </c>
      <c r="AQ88" s="66" t="s">
        <v>77</v>
      </c>
      <c r="AR88" s="66" t="s">
        <v>77</v>
      </c>
      <c r="AS88" s="66" t="s">
        <v>77</v>
      </c>
      <c r="AT88" s="66" t="s">
        <v>77</v>
      </c>
      <c r="AU88" s="66" t="s">
        <v>77</v>
      </c>
      <c r="AV88" s="66" t="s">
        <v>77</v>
      </c>
      <c r="AW88" s="66" t="s">
        <v>77</v>
      </c>
      <c r="AX88" s="47"/>
      <c r="AY88" s="47"/>
    </row>
    <row r="89" spans="1:51">
      <c r="A89" s="115"/>
      <c r="B89" s="60"/>
      <c r="C89" s="118" t="s">
        <v>111</v>
      </c>
      <c r="D89" s="118"/>
      <c r="E89" s="117"/>
      <c r="F89" s="60"/>
      <c r="G89" s="60"/>
      <c r="H89" s="60"/>
      <c r="I89" s="60"/>
      <c r="J89" s="60"/>
      <c r="K89" s="60"/>
      <c r="L89" s="60"/>
      <c r="M89" s="60"/>
      <c r="N89" s="60"/>
      <c r="O89" s="60"/>
      <c r="P89" s="60"/>
      <c r="Q89" s="60"/>
      <c r="R89" s="60"/>
      <c r="S89" s="60"/>
      <c r="T89" s="60"/>
      <c r="U89" s="60"/>
      <c r="V89" s="60"/>
      <c r="W89" s="60"/>
      <c r="X89" s="62"/>
      <c r="Y89" s="62"/>
      <c r="Z89" s="62"/>
      <c r="AA89" s="62"/>
      <c r="AB89" s="62"/>
      <c r="AC89" s="62"/>
      <c r="AD89" s="66"/>
      <c r="AE89" s="66"/>
      <c r="AF89" s="66"/>
      <c r="AG89" s="66"/>
      <c r="AH89" s="66"/>
      <c r="AI89" s="66"/>
      <c r="AJ89" s="66"/>
      <c r="AK89" s="66" t="s">
        <v>77</v>
      </c>
      <c r="AL89" s="66" t="s">
        <v>77</v>
      </c>
      <c r="AM89" s="66" t="s">
        <v>77</v>
      </c>
      <c r="AN89" s="66" t="s">
        <v>77</v>
      </c>
      <c r="AO89" s="66" t="s">
        <v>77</v>
      </c>
      <c r="AP89" s="66" t="s">
        <v>77</v>
      </c>
      <c r="AQ89" s="66" t="s">
        <v>77</v>
      </c>
      <c r="AR89" s="66" t="s">
        <v>77</v>
      </c>
      <c r="AS89" s="66" t="s">
        <v>77</v>
      </c>
      <c r="AT89" s="66" t="s">
        <v>77</v>
      </c>
      <c r="AU89" s="66" t="s">
        <v>77</v>
      </c>
      <c r="AV89" s="66" t="s">
        <v>77</v>
      </c>
      <c r="AW89" s="66" t="s">
        <v>77</v>
      </c>
      <c r="AX89" s="47"/>
      <c r="AY89" s="47"/>
    </row>
    <row r="90" spans="1:51">
      <c r="A90" s="115"/>
      <c r="B90" s="60"/>
      <c r="C90" s="118" t="s">
        <v>112</v>
      </c>
      <c r="D90" s="118"/>
      <c r="E90" s="117"/>
      <c r="F90" s="60"/>
      <c r="G90" s="60"/>
      <c r="H90" s="60"/>
      <c r="I90" s="60"/>
      <c r="J90" s="60"/>
      <c r="K90" s="60"/>
      <c r="L90" s="60"/>
      <c r="M90" s="60"/>
      <c r="N90" s="60"/>
      <c r="O90" s="60"/>
      <c r="P90" s="60"/>
      <c r="Q90" s="60"/>
      <c r="R90" s="60"/>
      <c r="S90" s="60"/>
      <c r="T90" s="60"/>
      <c r="U90" s="60"/>
      <c r="V90" s="60"/>
      <c r="W90" s="60"/>
      <c r="X90" s="62"/>
      <c r="Y90" s="62"/>
      <c r="Z90" s="62"/>
      <c r="AA90" s="62"/>
      <c r="AB90" s="62"/>
      <c r="AC90" s="62"/>
      <c r="AD90" s="66"/>
      <c r="AE90" s="66"/>
      <c r="AF90" s="66"/>
      <c r="AG90" s="66"/>
      <c r="AH90" s="66"/>
      <c r="AI90" s="66"/>
      <c r="AJ90" s="66"/>
      <c r="AK90" s="66" t="s">
        <v>77</v>
      </c>
      <c r="AL90" s="66" t="s">
        <v>77</v>
      </c>
      <c r="AM90" s="66" t="s">
        <v>77</v>
      </c>
      <c r="AN90" s="66" t="s">
        <v>77</v>
      </c>
      <c r="AO90" s="66" t="s">
        <v>77</v>
      </c>
      <c r="AP90" s="66" t="s">
        <v>77</v>
      </c>
      <c r="AQ90" s="66" t="s">
        <v>77</v>
      </c>
      <c r="AR90" s="66" t="s">
        <v>77</v>
      </c>
      <c r="AS90" s="66" t="s">
        <v>77</v>
      </c>
      <c r="AT90" s="66" t="s">
        <v>77</v>
      </c>
      <c r="AU90" s="66" t="s">
        <v>77</v>
      </c>
      <c r="AV90" s="66" t="s">
        <v>77</v>
      </c>
      <c r="AW90" s="66" t="s">
        <v>77</v>
      </c>
      <c r="AX90" s="47"/>
      <c r="AY90" s="47"/>
    </row>
    <row r="91" spans="1:51">
      <c r="A91" s="115"/>
      <c r="B91" s="60"/>
      <c r="C91" s="115" t="s">
        <v>113</v>
      </c>
      <c r="D91" s="115"/>
      <c r="E91" s="117"/>
      <c r="F91" s="60"/>
      <c r="G91" s="60"/>
      <c r="H91" s="60"/>
      <c r="I91" s="60"/>
      <c r="J91" s="60"/>
      <c r="K91" s="60"/>
      <c r="L91" s="60"/>
      <c r="M91" s="60"/>
      <c r="N91" s="60"/>
      <c r="O91" s="60"/>
      <c r="P91" s="60"/>
      <c r="Q91" s="60"/>
      <c r="R91" s="60"/>
      <c r="S91" s="60"/>
      <c r="T91" s="60"/>
      <c r="U91" s="60"/>
      <c r="V91" s="60"/>
      <c r="W91" s="60"/>
      <c r="X91" s="62"/>
      <c r="Y91" s="62"/>
      <c r="Z91" s="62"/>
      <c r="AA91" s="62"/>
      <c r="AB91" s="62"/>
      <c r="AC91" s="62"/>
      <c r="AD91" s="47"/>
      <c r="AE91" s="47"/>
      <c r="AF91" s="47"/>
      <c r="AG91" s="47"/>
      <c r="AH91" s="47"/>
      <c r="AI91" s="47"/>
      <c r="AJ91" s="47"/>
      <c r="AK91" s="47"/>
      <c r="AL91" s="47"/>
      <c r="AM91" s="47"/>
      <c r="AN91" s="47"/>
      <c r="AO91" s="47"/>
      <c r="AP91" s="47"/>
      <c r="AQ91" s="47"/>
      <c r="AR91" s="47"/>
      <c r="AS91" s="47"/>
      <c r="AT91" s="47"/>
      <c r="AU91" s="47"/>
      <c r="AV91" s="47"/>
      <c r="AW91" s="47"/>
      <c r="AX91" s="47"/>
      <c r="AY91" s="47"/>
    </row>
    <row r="92" spans="1:51">
      <c r="A92" s="115">
        <v>6</v>
      </c>
      <c r="B92" s="116" t="s">
        <v>114</v>
      </c>
      <c r="C92" s="116"/>
      <c r="D92" s="116"/>
      <c r="E92" s="117" t="s">
        <v>115</v>
      </c>
      <c r="F92" s="60"/>
      <c r="G92" s="60"/>
      <c r="H92" s="60"/>
      <c r="I92" s="60"/>
      <c r="J92" s="60"/>
      <c r="K92" s="60"/>
      <c r="L92" s="60"/>
      <c r="M92" s="60"/>
      <c r="N92" s="60"/>
      <c r="O92" s="60"/>
      <c r="P92" s="60"/>
      <c r="Q92" s="60"/>
      <c r="R92" s="60"/>
      <c r="S92" s="60"/>
      <c r="T92" s="60"/>
      <c r="U92" s="60"/>
      <c r="V92" s="60"/>
      <c r="W92" s="60"/>
      <c r="X92" s="62"/>
      <c r="Y92" s="62"/>
      <c r="Z92" s="62"/>
      <c r="AA92" s="62"/>
      <c r="AB92" s="62"/>
      <c r="AC92" s="62"/>
      <c r="AD92" s="47"/>
      <c r="AE92" s="47"/>
      <c r="AF92" s="47"/>
      <c r="AG92" s="47"/>
      <c r="AH92" s="47"/>
      <c r="AI92" s="47"/>
      <c r="AJ92" s="47"/>
      <c r="AK92" s="47"/>
      <c r="AL92" s="47"/>
      <c r="AM92" s="47"/>
      <c r="AN92" s="47"/>
      <c r="AO92" s="47"/>
      <c r="AP92" s="47"/>
      <c r="AQ92" s="47"/>
      <c r="AR92" s="47"/>
      <c r="AS92" s="47"/>
      <c r="AT92" s="47"/>
      <c r="AU92" s="47"/>
      <c r="AV92" s="47"/>
      <c r="AW92" s="47"/>
      <c r="AX92" s="47"/>
      <c r="AY92" s="47"/>
    </row>
    <row r="93" spans="1:51" ht="24" customHeight="1">
      <c r="A93" s="115"/>
      <c r="B93" s="60"/>
      <c r="C93" s="118" t="s">
        <v>105</v>
      </c>
      <c r="D93" s="118"/>
      <c r="E93" s="117"/>
      <c r="F93" s="60"/>
      <c r="G93" s="60"/>
      <c r="H93" s="60"/>
      <c r="I93" s="60"/>
      <c r="J93" s="60"/>
      <c r="K93" s="60"/>
      <c r="L93" s="60"/>
      <c r="M93" s="60"/>
      <c r="N93" s="60"/>
      <c r="O93" s="60"/>
      <c r="P93" s="60"/>
      <c r="Q93" s="60"/>
      <c r="R93" s="77">
        <v>1.4004629629629629E-3</v>
      </c>
      <c r="S93" s="77">
        <v>4.5486111111111109E-3</v>
      </c>
      <c r="T93" s="77">
        <v>6.3657407407407413E-4</v>
      </c>
      <c r="U93" s="77">
        <v>8.4259259259259253E-3</v>
      </c>
      <c r="V93" s="77">
        <v>2.8819444444444444E-3</v>
      </c>
      <c r="W93" s="60"/>
      <c r="X93" s="62"/>
      <c r="Y93" s="62" t="s">
        <v>116</v>
      </c>
      <c r="Z93" s="62"/>
      <c r="AA93" s="62"/>
      <c r="AB93" s="62"/>
      <c r="AC93" s="62"/>
      <c r="AD93" s="47"/>
      <c r="AE93" s="47"/>
      <c r="AF93" s="47"/>
      <c r="AG93" s="47"/>
      <c r="AH93" s="47"/>
      <c r="AI93" s="47"/>
      <c r="AJ93" s="47"/>
      <c r="AK93" s="47"/>
      <c r="AL93" s="47"/>
      <c r="AM93" s="47"/>
      <c r="AN93" s="47"/>
      <c r="AO93" s="47"/>
      <c r="AP93" s="47"/>
      <c r="AQ93" s="47"/>
      <c r="AR93" s="47"/>
      <c r="AS93" s="47"/>
      <c r="AT93" s="47"/>
      <c r="AU93" s="47"/>
      <c r="AV93" s="47"/>
      <c r="AW93" s="47"/>
      <c r="AX93" s="47"/>
      <c r="AY93" s="47"/>
    </row>
    <row r="94" spans="1:51" ht="24" customHeight="1">
      <c r="A94" s="115"/>
      <c r="B94" s="60"/>
      <c r="C94" s="118" t="s">
        <v>117</v>
      </c>
      <c r="D94" s="118"/>
      <c r="E94" s="117"/>
      <c r="F94" s="60"/>
      <c r="G94" s="60"/>
      <c r="H94" s="60"/>
      <c r="I94" s="60"/>
      <c r="J94" s="60"/>
      <c r="K94" s="60"/>
      <c r="L94" s="60"/>
      <c r="M94" s="60"/>
      <c r="N94" s="60"/>
      <c r="O94" s="60"/>
      <c r="P94" s="60"/>
      <c r="Q94" s="60"/>
      <c r="R94" s="77">
        <v>1.238425925925926E-3</v>
      </c>
      <c r="S94" s="77">
        <v>1.1226851851851851E-3</v>
      </c>
      <c r="T94" s="77">
        <v>1.0300925925925926E-3</v>
      </c>
      <c r="U94" s="77">
        <v>1.5393518518518519E-3</v>
      </c>
      <c r="V94" s="77">
        <v>1.4120370370370369E-3</v>
      </c>
      <c r="W94" s="60"/>
      <c r="X94" s="62"/>
      <c r="Y94" s="62"/>
      <c r="Z94" s="62"/>
      <c r="AA94" s="62"/>
      <c r="AB94" s="62"/>
      <c r="AC94" s="62"/>
      <c r="AD94" s="47"/>
      <c r="AE94" s="47"/>
      <c r="AF94" s="47"/>
      <c r="AG94" s="47"/>
      <c r="AH94" s="47"/>
      <c r="AI94" s="47"/>
      <c r="AJ94" s="47"/>
      <c r="AK94" s="47"/>
      <c r="AL94" s="47"/>
      <c r="AM94" s="47"/>
      <c r="AN94" s="47"/>
      <c r="AO94" s="47"/>
      <c r="AP94" s="47"/>
      <c r="AQ94" s="47"/>
      <c r="AR94" s="47"/>
      <c r="AS94" s="47"/>
      <c r="AT94" s="47"/>
      <c r="AU94" s="47"/>
      <c r="AV94" s="47"/>
      <c r="AW94" s="47"/>
      <c r="AX94" s="47"/>
      <c r="AY94" s="47"/>
    </row>
    <row r="95" spans="1:51">
      <c r="A95" s="62"/>
      <c r="B95" s="62"/>
      <c r="C95" s="63"/>
      <c r="D95" s="63"/>
      <c r="E95" s="64"/>
      <c r="F95" s="62"/>
      <c r="G95" s="62"/>
      <c r="H95" s="62"/>
      <c r="I95" s="62"/>
      <c r="J95" s="62"/>
      <c r="K95" s="62"/>
      <c r="L95" s="62"/>
      <c r="M95" s="62"/>
      <c r="N95" s="62"/>
      <c r="O95" s="62"/>
      <c r="P95" s="62"/>
      <c r="Q95" s="62"/>
      <c r="R95" s="65"/>
      <c r="S95" s="65"/>
      <c r="T95" s="65"/>
      <c r="U95" s="65"/>
      <c r="V95" s="65"/>
      <c r="W95" s="62"/>
      <c r="X95" s="62"/>
      <c r="Y95" s="62"/>
      <c r="Z95" s="62"/>
      <c r="AA95" s="62"/>
      <c r="AB95" s="62"/>
      <c r="AC95" s="62"/>
      <c r="AD95" s="47"/>
      <c r="AE95" s="47"/>
      <c r="AF95" s="47"/>
      <c r="AG95" s="47"/>
      <c r="AH95" s="47"/>
      <c r="AI95" s="47"/>
      <c r="AJ95" s="47"/>
      <c r="AK95" s="47"/>
      <c r="AL95" s="47"/>
      <c r="AM95" s="47"/>
      <c r="AN95" s="47"/>
      <c r="AO95" s="47"/>
      <c r="AP95" s="47"/>
      <c r="AQ95" s="47"/>
      <c r="AR95" s="47"/>
      <c r="AS95" s="47"/>
      <c r="AT95" s="47"/>
      <c r="AU95" s="47"/>
      <c r="AV95" s="47"/>
      <c r="AW95" s="47"/>
      <c r="AX95" s="47"/>
      <c r="AY95" s="47"/>
    </row>
    <row r="96" spans="1:51">
      <c r="A96" s="52"/>
      <c r="C96" s="53" t="s">
        <v>118</v>
      </c>
      <c r="D96" s="54" t="s">
        <v>119</v>
      </c>
      <c r="E96" s="47"/>
      <c r="F96" s="47"/>
      <c r="G96" s="47"/>
      <c r="H96" s="47"/>
      <c r="I96" s="47"/>
      <c r="J96" s="47"/>
      <c r="K96" s="47"/>
      <c r="L96" s="47"/>
      <c r="M96" s="47"/>
      <c r="N96" s="47"/>
      <c r="O96" s="47"/>
      <c r="P96" s="47"/>
      <c r="Q96" s="47"/>
      <c r="R96" s="47"/>
      <c r="S96" s="47"/>
      <c r="T96" s="47"/>
      <c r="U96" s="47"/>
      <c r="V96" s="47"/>
      <c r="W96" s="47"/>
      <c r="X96" s="47"/>
      <c r="Y96" s="47"/>
      <c r="Z96" s="47"/>
      <c r="AA96" s="47"/>
      <c r="AB96" s="47"/>
      <c r="AC96" s="47"/>
      <c r="AD96" s="47"/>
      <c r="AE96" s="47"/>
      <c r="AF96" s="47"/>
      <c r="AG96" s="47"/>
      <c r="AH96" s="47"/>
      <c r="AI96" s="47"/>
      <c r="AJ96" s="47"/>
      <c r="AK96" s="47"/>
      <c r="AL96" s="47"/>
      <c r="AM96" s="47"/>
      <c r="AN96" s="47"/>
      <c r="AO96" s="47"/>
      <c r="AP96" s="47"/>
      <c r="AQ96" s="47"/>
      <c r="AR96" s="47"/>
      <c r="AS96" s="47"/>
      <c r="AT96" s="47"/>
      <c r="AU96" s="47"/>
      <c r="AV96" s="47"/>
      <c r="AW96" s="47"/>
      <c r="AX96" s="47"/>
      <c r="AY96" s="47"/>
    </row>
    <row r="97" spans="1:51">
      <c r="A97" s="52"/>
      <c r="B97" s="47"/>
      <c r="C97" s="53"/>
      <c r="D97" s="54" t="s">
        <v>120</v>
      </c>
      <c r="E97" s="47"/>
      <c r="F97" s="47"/>
      <c r="G97" s="47"/>
      <c r="H97" s="47"/>
      <c r="I97" s="47"/>
      <c r="J97" s="47"/>
      <c r="K97" s="47"/>
      <c r="L97" s="47"/>
      <c r="M97" s="47"/>
      <c r="N97" s="47"/>
      <c r="O97" s="47"/>
      <c r="P97" s="47"/>
      <c r="Q97" s="47"/>
      <c r="R97" s="47"/>
      <c r="S97" s="47"/>
      <c r="T97" s="47"/>
      <c r="U97" s="47"/>
      <c r="V97" s="47"/>
      <c r="W97" s="47"/>
      <c r="X97" s="47"/>
      <c r="Y97" s="47"/>
      <c r="Z97" s="47"/>
      <c r="AA97" s="47"/>
      <c r="AB97" s="47"/>
      <c r="AC97" s="47"/>
      <c r="AD97" s="47"/>
      <c r="AE97" s="47"/>
      <c r="AF97" s="47"/>
      <c r="AG97" s="47"/>
      <c r="AH97" s="47"/>
      <c r="AI97" s="47"/>
      <c r="AJ97" s="47"/>
      <c r="AK97" s="47"/>
      <c r="AL97" s="47"/>
      <c r="AM97" s="47"/>
      <c r="AN97" s="47"/>
      <c r="AO97" s="47"/>
      <c r="AP97" s="47"/>
      <c r="AQ97" s="47"/>
      <c r="AR97" s="47"/>
      <c r="AS97" s="47"/>
      <c r="AT97" s="47"/>
      <c r="AU97" s="47"/>
      <c r="AV97" s="47"/>
      <c r="AW97" s="47"/>
      <c r="AX97" s="47"/>
      <c r="AY97" s="47"/>
    </row>
    <row r="98" spans="1:51">
      <c r="A98" s="52"/>
      <c r="B98" s="47"/>
      <c r="C98" s="53"/>
      <c r="D98" s="54" t="s">
        <v>121</v>
      </c>
      <c r="E98" s="47"/>
      <c r="F98" s="47"/>
      <c r="G98" s="47"/>
      <c r="H98" s="47"/>
      <c r="I98" s="47"/>
      <c r="J98" s="47"/>
      <c r="K98" s="47"/>
      <c r="L98" s="47"/>
      <c r="M98" s="47"/>
      <c r="N98" s="47"/>
      <c r="O98" s="47"/>
      <c r="P98" s="47"/>
      <c r="Q98" s="47"/>
      <c r="R98" s="47"/>
      <c r="S98" s="47"/>
      <c r="T98" s="47"/>
      <c r="U98" s="47"/>
      <c r="V98" s="47"/>
      <c r="W98" s="47"/>
      <c r="X98" s="47"/>
      <c r="Y98" s="47"/>
      <c r="Z98" s="47"/>
      <c r="AA98" s="47"/>
      <c r="AB98" s="47"/>
      <c r="AC98" s="47"/>
      <c r="AD98" s="47"/>
      <c r="AE98" s="47"/>
      <c r="AF98" s="47"/>
      <c r="AG98" s="47"/>
      <c r="AH98" s="47"/>
      <c r="AI98" s="47"/>
      <c r="AJ98" s="47"/>
      <c r="AK98" s="47"/>
      <c r="AL98" s="47"/>
      <c r="AM98" s="47"/>
      <c r="AN98" s="47"/>
      <c r="AO98" s="47"/>
      <c r="AP98" s="47"/>
      <c r="AQ98" s="47"/>
      <c r="AR98" s="47"/>
      <c r="AS98" s="47"/>
      <c r="AT98" s="47"/>
      <c r="AU98" s="47"/>
      <c r="AV98" s="47"/>
      <c r="AW98" s="47"/>
      <c r="AX98" s="47"/>
      <c r="AY98" s="47"/>
    </row>
    <row r="99" spans="1:51">
      <c r="A99" s="52"/>
      <c r="B99" s="47"/>
      <c r="C99" s="55" t="s">
        <v>122</v>
      </c>
      <c r="D99" s="47"/>
      <c r="E99" s="47"/>
      <c r="F99" s="47"/>
      <c r="G99" s="47"/>
      <c r="H99" s="47"/>
      <c r="I99" s="47"/>
      <c r="J99" s="47"/>
      <c r="K99" s="47"/>
      <c r="L99" s="47"/>
      <c r="M99" s="47"/>
      <c r="N99" s="47"/>
      <c r="O99" s="47"/>
      <c r="P99" s="47"/>
      <c r="Q99" s="47"/>
      <c r="R99" s="47"/>
      <c r="S99" s="47"/>
      <c r="T99" s="47"/>
      <c r="U99" s="47"/>
      <c r="V99" s="47"/>
      <c r="W99" s="47"/>
      <c r="X99" s="47"/>
      <c r="Y99" s="47"/>
      <c r="Z99" s="47"/>
      <c r="AA99" s="47"/>
      <c r="AB99" s="47"/>
      <c r="AC99" s="47"/>
      <c r="AD99" s="47"/>
      <c r="AE99" s="47"/>
      <c r="AF99" s="47"/>
      <c r="AG99" s="47"/>
      <c r="AH99" s="47"/>
      <c r="AI99" s="47"/>
      <c r="AJ99" s="47"/>
      <c r="AK99" s="47"/>
      <c r="AL99" s="47"/>
      <c r="AM99" s="47"/>
      <c r="AN99" s="47"/>
      <c r="AO99" s="47"/>
      <c r="AP99" s="47"/>
      <c r="AQ99" s="47"/>
      <c r="AR99" s="47"/>
      <c r="AS99" s="47"/>
      <c r="AT99" s="47"/>
      <c r="AU99" s="47"/>
      <c r="AV99" s="47"/>
      <c r="AW99" s="47"/>
      <c r="AX99" s="47"/>
      <c r="AY99" s="47"/>
    </row>
    <row r="100" spans="1:51">
      <c r="A100" s="52"/>
      <c r="B100" s="47"/>
      <c r="C100" s="56" t="s">
        <v>123</v>
      </c>
      <c r="D100" s="146" t="s">
        <v>124</v>
      </c>
      <c r="E100" s="146"/>
      <c r="F100" s="146"/>
      <c r="G100" s="146"/>
      <c r="H100" s="146"/>
      <c r="I100" s="146"/>
      <c r="J100" s="146"/>
      <c r="K100" s="146"/>
      <c r="L100" s="146"/>
      <c r="M100" s="146"/>
      <c r="N100" s="146"/>
      <c r="O100" s="147"/>
      <c r="P100" s="47"/>
      <c r="Q100" s="47"/>
      <c r="R100" s="47"/>
      <c r="S100" s="47"/>
      <c r="T100" s="47"/>
      <c r="U100" s="47"/>
      <c r="V100" s="47"/>
      <c r="W100" s="47"/>
      <c r="X100" s="47"/>
      <c r="Y100" s="47"/>
      <c r="Z100" s="47"/>
      <c r="AA100" s="47"/>
      <c r="AB100" s="47"/>
      <c r="AC100" s="47"/>
      <c r="AD100" s="47"/>
      <c r="AE100" s="47"/>
      <c r="AF100" s="47"/>
      <c r="AG100" s="47"/>
      <c r="AH100" s="47"/>
      <c r="AI100" s="47"/>
      <c r="AJ100" s="47"/>
      <c r="AK100" s="47"/>
      <c r="AL100" s="47"/>
      <c r="AM100" s="47"/>
      <c r="AN100" s="47"/>
      <c r="AO100" s="47"/>
      <c r="AP100" s="47"/>
      <c r="AQ100" s="47"/>
      <c r="AR100" s="47"/>
      <c r="AS100" s="47"/>
      <c r="AT100" s="47"/>
      <c r="AU100" s="47"/>
      <c r="AV100" s="47"/>
      <c r="AW100" s="47"/>
      <c r="AX100" s="47"/>
      <c r="AY100" s="47"/>
    </row>
    <row r="101" spans="1:51">
      <c r="A101" s="52"/>
      <c r="B101" s="47"/>
      <c r="C101" s="51" t="s">
        <v>82</v>
      </c>
      <c r="D101" s="146" t="s">
        <v>125</v>
      </c>
      <c r="E101" s="146"/>
      <c r="F101" s="146"/>
      <c r="G101" s="146"/>
      <c r="H101" s="146"/>
      <c r="I101" s="146"/>
      <c r="J101" s="146"/>
      <c r="K101" s="146"/>
      <c r="L101" s="146"/>
      <c r="M101" s="146"/>
      <c r="N101" s="146"/>
      <c r="O101" s="147"/>
      <c r="P101" s="47"/>
      <c r="Q101" s="47"/>
      <c r="R101" s="47"/>
      <c r="S101" s="47"/>
      <c r="T101" s="47"/>
      <c r="U101" s="47"/>
      <c r="V101" s="47"/>
      <c r="W101" s="47"/>
      <c r="X101" s="47"/>
      <c r="Y101" s="47"/>
      <c r="Z101" s="47"/>
      <c r="AA101" s="47"/>
      <c r="AB101" s="47"/>
      <c r="AC101" s="47"/>
      <c r="AD101" s="47"/>
      <c r="AE101" s="47"/>
      <c r="AF101" s="47"/>
      <c r="AG101" s="47"/>
      <c r="AH101" s="47"/>
      <c r="AI101" s="47"/>
      <c r="AJ101" s="47"/>
      <c r="AK101" s="47"/>
      <c r="AL101" s="47"/>
      <c r="AM101" s="47"/>
      <c r="AN101" s="47"/>
      <c r="AO101" s="47"/>
      <c r="AP101" s="47"/>
      <c r="AQ101" s="47"/>
      <c r="AR101" s="47"/>
      <c r="AS101" s="47"/>
      <c r="AT101" s="47"/>
      <c r="AU101" s="47"/>
      <c r="AV101" s="47"/>
      <c r="AW101" s="47"/>
      <c r="AX101" s="47"/>
      <c r="AY101" s="47"/>
    </row>
    <row r="102" spans="1:51">
      <c r="A102" s="52"/>
      <c r="B102" s="47"/>
      <c r="C102" s="51" t="s">
        <v>84</v>
      </c>
      <c r="D102" s="146" t="s">
        <v>126</v>
      </c>
      <c r="E102" s="146"/>
      <c r="F102" s="146"/>
      <c r="G102" s="146"/>
      <c r="H102" s="146"/>
      <c r="I102" s="146"/>
      <c r="J102" s="146"/>
      <c r="K102" s="146"/>
      <c r="L102" s="146"/>
      <c r="M102" s="146"/>
      <c r="N102" s="146"/>
      <c r="O102" s="147"/>
      <c r="P102" s="47"/>
      <c r="Q102" s="47"/>
      <c r="R102" s="47"/>
      <c r="S102" s="47"/>
      <c r="T102" s="47"/>
      <c r="U102" s="47"/>
      <c r="V102" s="47"/>
      <c r="W102" s="47"/>
      <c r="X102" s="47"/>
      <c r="Y102" s="47"/>
      <c r="Z102" s="47"/>
      <c r="AA102" s="47"/>
      <c r="AB102" s="47"/>
      <c r="AC102" s="47"/>
      <c r="AD102" s="47"/>
      <c r="AE102" s="47"/>
      <c r="AF102" s="47"/>
      <c r="AG102" s="47"/>
      <c r="AH102" s="47"/>
      <c r="AI102" s="47"/>
      <c r="AJ102" s="47"/>
      <c r="AK102" s="47"/>
      <c r="AL102" s="47"/>
      <c r="AM102" s="47"/>
      <c r="AN102" s="47"/>
      <c r="AO102" s="47"/>
      <c r="AP102" s="47"/>
      <c r="AQ102" s="47"/>
      <c r="AR102" s="47"/>
      <c r="AS102" s="47"/>
      <c r="AT102" s="47"/>
      <c r="AU102" s="47"/>
      <c r="AV102" s="47"/>
      <c r="AW102" s="47"/>
      <c r="AX102" s="47"/>
      <c r="AY102" s="47"/>
    </row>
    <row r="103" spans="1:51">
      <c r="A103" s="52"/>
      <c r="B103" s="47"/>
      <c r="C103" s="51" t="s">
        <v>86</v>
      </c>
      <c r="D103" s="148" t="s">
        <v>127</v>
      </c>
      <c r="E103" s="148"/>
      <c r="F103" s="148"/>
      <c r="G103" s="148"/>
      <c r="H103" s="148"/>
      <c r="I103" s="148"/>
      <c r="J103" s="148"/>
      <c r="K103" s="148"/>
      <c r="L103" s="148"/>
      <c r="M103" s="148"/>
      <c r="N103" s="148"/>
      <c r="O103" s="149"/>
      <c r="P103" s="47"/>
      <c r="Q103" s="47"/>
      <c r="R103" s="47"/>
      <c r="S103" s="47"/>
      <c r="T103" s="47"/>
      <c r="U103" s="47"/>
      <c r="V103" s="47"/>
      <c r="W103" s="47"/>
      <c r="X103" s="47"/>
      <c r="Y103" s="47"/>
      <c r="Z103" s="47"/>
      <c r="AA103" s="47"/>
      <c r="AB103" s="47"/>
      <c r="AC103" s="47"/>
      <c r="AD103" s="47"/>
      <c r="AE103" s="47"/>
      <c r="AF103" s="47"/>
      <c r="AG103" s="47"/>
      <c r="AH103" s="47"/>
      <c r="AI103" s="47"/>
      <c r="AJ103" s="47"/>
      <c r="AK103" s="47"/>
      <c r="AL103" s="47"/>
      <c r="AM103" s="47"/>
      <c r="AN103" s="47"/>
      <c r="AO103" s="47"/>
      <c r="AP103" s="47"/>
      <c r="AQ103" s="47"/>
      <c r="AR103" s="47"/>
      <c r="AS103" s="47"/>
      <c r="AT103" s="47"/>
      <c r="AU103" s="47"/>
      <c r="AV103" s="47"/>
      <c r="AW103" s="47"/>
      <c r="AX103" s="47"/>
      <c r="AY103" s="47"/>
    </row>
    <row r="104" spans="1:51">
      <c r="A104" s="52"/>
      <c r="B104" s="47"/>
      <c r="C104" s="51" t="s">
        <v>88</v>
      </c>
      <c r="D104" s="120" t="s">
        <v>128</v>
      </c>
      <c r="E104" s="146"/>
      <c r="F104" s="146"/>
      <c r="G104" s="146"/>
      <c r="H104" s="146"/>
      <c r="I104" s="146"/>
      <c r="J104" s="146"/>
      <c r="K104" s="146"/>
      <c r="L104" s="146"/>
      <c r="M104" s="146"/>
      <c r="N104" s="146"/>
      <c r="O104" s="147"/>
      <c r="P104" s="47"/>
      <c r="Q104" s="47"/>
      <c r="R104" s="47"/>
      <c r="S104" s="47"/>
      <c r="T104" s="47"/>
      <c r="U104" s="47"/>
      <c r="V104" s="47"/>
      <c r="W104" s="47"/>
      <c r="X104" s="47"/>
      <c r="Y104" s="47"/>
      <c r="Z104" s="47"/>
      <c r="AA104" s="47"/>
      <c r="AB104" s="47"/>
      <c r="AC104" s="47"/>
      <c r="AD104" s="47"/>
      <c r="AE104" s="47"/>
      <c r="AF104" s="47"/>
      <c r="AG104" s="47"/>
      <c r="AH104" s="47"/>
      <c r="AI104" s="47"/>
      <c r="AJ104" s="47"/>
      <c r="AK104" s="47"/>
      <c r="AL104" s="47"/>
      <c r="AM104" s="47"/>
      <c r="AN104" s="47"/>
      <c r="AO104" s="47"/>
      <c r="AP104" s="47"/>
      <c r="AQ104" s="47"/>
      <c r="AR104" s="47"/>
      <c r="AS104" s="47"/>
      <c r="AT104" s="47"/>
      <c r="AU104" s="47"/>
      <c r="AV104" s="47"/>
      <c r="AW104" s="47"/>
      <c r="AX104" s="47"/>
      <c r="AY104" s="47"/>
    </row>
    <row r="105" spans="1:51" ht="39" customHeight="1">
      <c r="A105" s="52"/>
      <c r="B105" s="47"/>
      <c r="C105" s="57" t="s">
        <v>90</v>
      </c>
      <c r="D105" s="121" t="s">
        <v>129</v>
      </c>
      <c r="E105" s="121"/>
      <c r="F105" s="121"/>
      <c r="G105" s="121"/>
      <c r="H105" s="121"/>
      <c r="I105" s="121"/>
      <c r="J105" s="121"/>
      <c r="K105" s="121"/>
      <c r="L105" s="121"/>
      <c r="M105" s="121"/>
      <c r="N105" s="121"/>
      <c r="O105" s="122"/>
      <c r="P105" s="47"/>
      <c r="Q105" s="47"/>
      <c r="R105" s="47"/>
      <c r="S105" s="47"/>
      <c r="T105" s="47"/>
      <c r="U105" s="47"/>
      <c r="V105" s="47"/>
      <c r="W105" s="47"/>
      <c r="X105" s="47"/>
      <c r="Y105" s="47"/>
      <c r="Z105" s="47"/>
      <c r="AA105" s="47"/>
      <c r="AB105" s="47"/>
      <c r="AC105" s="47"/>
      <c r="AD105" s="47"/>
      <c r="AE105" s="47"/>
      <c r="AF105" s="47"/>
      <c r="AG105" s="47"/>
      <c r="AH105" s="47"/>
      <c r="AI105" s="47"/>
      <c r="AJ105" s="47"/>
      <c r="AK105" s="47"/>
      <c r="AL105" s="47"/>
      <c r="AM105" s="47"/>
      <c r="AN105" s="47"/>
      <c r="AO105" s="47"/>
      <c r="AP105" s="47"/>
      <c r="AQ105" s="47"/>
      <c r="AR105" s="47"/>
      <c r="AS105" s="47"/>
      <c r="AT105" s="47"/>
      <c r="AU105" s="47"/>
      <c r="AV105" s="47"/>
      <c r="AW105" s="47"/>
      <c r="AX105" s="47"/>
      <c r="AY105" s="47"/>
    </row>
    <row r="106" spans="1:51" ht="42.75" customHeight="1">
      <c r="A106" s="52"/>
      <c r="B106" s="47"/>
      <c r="C106" s="57" t="s">
        <v>92</v>
      </c>
      <c r="D106" s="121" t="s">
        <v>130</v>
      </c>
      <c r="E106" s="121"/>
      <c r="F106" s="121"/>
      <c r="G106" s="121"/>
      <c r="H106" s="121"/>
      <c r="I106" s="121"/>
      <c r="J106" s="121"/>
      <c r="K106" s="121"/>
      <c r="L106" s="121"/>
      <c r="M106" s="121"/>
      <c r="N106" s="121"/>
      <c r="O106" s="122"/>
      <c r="P106" s="47"/>
      <c r="Q106" s="47"/>
      <c r="R106" s="47"/>
      <c r="S106" s="47"/>
      <c r="T106" s="47"/>
      <c r="U106" s="47"/>
      <c r="V106" s="47"/>
      <c r="W106" s="47"/>
      <c r="X106" s="47"/>
      <c r="Y106" s="47"/>
      <c r="Z106" s="47"/>
      <c r="AA106" s="47"/>
      <c r="AB106" s="47"/>
      <c r="AC106" s="47"/>
      <c r="AD106" s="47"/>
      <c r="AE106" s="47"/>
      <c r="AF106" s="47"/>
      <c r="AG106" s="47"/>
      <c r="AH106" s="47"/>
      <c r="AI106" s="47"/>
      <c r="AJ106" s="47"/>
      <c r="AK106" s="47"/>
      <c r="AL106" s="47"/>
      <c r="AM106" s="47"/>
      <c r="AN106" s="47"/>
      <c r="AO106" s="47"/>
      <c r="AP106" s="47"/>
      <c r="AQ106" s="47"/>
      <c r="AR106" s="47"/>
      <c r="AS106" s="47"/>
      <c r="AT106" s="47"/>
      <c r="AU106" s="47"/>
      <c r="AV106" s="47"/>
      <c r="AW106" s="47"/>
      <c r="AX106" s="47"/>
      <c r="AY106" s="47"/>
    </row>
    <row r="107" spans="1:51">
      <c r="A107" s="52"/>
      <c r="B107" s="47"/>
      <c r="C107" s="57" t="s">
        <v>131</v>
      </c>
      <c r="D107" s="148" t="s">
        <v>132</v>
      </c>
      <c r="E107" s="148"/>
      <c r="F107" s="148"/>
      <c r="G107" s="148"/>
      <c r="H107" s="148"/>
      <c r="I107" s="148"/>
      <c r="J107" s="148"/>
      <c r="K107" s="148"/>
      <c r="L107" s="148"/>
      <c r="M107" s="148"/>
      <c r="N107" s="148"/>
      <c r="O107" s="149"/>
      <c r="P107" s="47"/>
      <c r="Q107" s="47"/>
      <c r="R107" s="47"/>
      <c r="S107" s="47"/>
      <c r="T107" s="47"/>
      <c r="U107" s="47"/>
      <c r="V107" s="47"/>
      <c r="W107" s="47"/>
      <c r="X107" s="47"/>
      <c r="Y107" s="47"/>
      <c r="Z107" s="47"/>
      <c r="AA107" s="47"/>
      <c r="AB107" s="47"/>
      <c r="AC107" s="47"/>
      <c r="AD107" s="47"/>
      <c r="AE107" s="47"/>
      <c r="AF107" s="47"/>
      <c r="AG107" s="47"/>
      <c r="AH107" s="47"/>
      <c r="AI107" s="47"/>
      <c r="AJ107" s="47"/>
      <c r="AK107" s="47"/>
      <c r="AL107" s="47"/>
      <c r="AM107" s="47"/>
      <c r="AN107" s="47"/>
      <c r="AO107" s="47"/>
      <c r="AP107" s="47"/>
      <c r="AQ107" s="47"/>
      <c r="AR107" s="47"/>
      <c r="AS107" s="47"/>
      <c r="AT107" s="47"/>
      <c r="AU107" s="47"/>
      <c r="AV107" s="47"/>
      <c r="AW107" s="47"/>
      <c r="AX107" s="47"/>
      <c r="AY107" s="47"/>
    </row>
    <row r="108" spans="1:51">
      <c r="A108" s="52"/>
      <c r="B108" s="47"/>
      <c r="C108" s="57" t="s">
        <v>133</v>
      </c>
      <c r="D108" s="148" t="s">
        <v>134</v>
      </c>
      <c r="E108" s="148"/>
      <c r="F108" s="148"/>
      <c r="G108" s="148"/>
      <c r="H108" s="148"/>
      <c r="I108" s="148"/>
      <c r="J108" s="148"/>
      <c r="K108" s="148"/>
      <c r="L108" s="148"/>
      <c r="M108" s="148"/>
      <c r="N108" s="148"/>
      <c r="O108" s="149"/>
      <c r="P108" s="47"/>
      <c r="Q108" s="47"/>
      <c r="R108" s="47"/>
      <c r="S108" s="47"/>
      <c r="T108" s="47"/>
      <c r="U108" s="47"/>
      <c r="V108" s="47"/>
      <c r="W108" s="47"/>
      <c r="X108" s="47"/>
      <c r="Y108" s="47"/>
      <c r="Z108" s="47"/>
      <c r="AA108" s="47"/>
      <c r="AB108" s="47"/>
      <c r="AC108" s="47"/>
      <c r="AD108" s="47"/>
      <c r="AE108" s="47"/>
      <c r="AF108" s="47"/>
      <c r="AG108" s="47"/>
      <c r="AH108" s="47"/>
      <c r="AI108" s="47"/>
      <c r="AJ108" s="47"/>
      <c r="AK108" s="47"/>
      <c r="AL108" s="47"/>
      <c r="AM108" s="47"/>
      <c r="AN108" s="47"/>
      <c r="AO108" s="47"/>
      <c r="AP108" s="47"/>
      <c r="AQ108" s="47"/>
      <c r="AR108" s="47"/>
      <c r="AS108" s="47"/>
      <c r="AT108" s="47"/>
      <c r="AU108" s="47"/>
      <c r="AV108" s="47"/>
      <c r="AW108" s="47"/>
      <c r="AX108" s="47"/>
      <c r="AY108" s="47"/>
    </row>
    <row r="109" spans="1:51">
      <c r="A109" s="52"/>
      <c r="B109" s="47"/>
      <c r="C109" s="57" t="s">
        <v>135</v>
      </c>
      <c r="D109" s="148" t="s">
        <v>136</v>
      </c>
      <c r="E109" s="148"/>
      <c r="F109" s="148"/>
      <c r="G109" s="148"/>
      <c r="H109" s="148"/>
      <c r="I109" s="148"/>
      <c r="J109" s="148"/>
      <c r="K109" s="148"/>
      <c r="L109" s="148"/>
      <c r="M109" s="148"/>
      <c r="N109" s="148"/>
      <c r="O109" s="149"/>
      <c r="P109" s="47"/>
      <c r="Q109" s="47"/>
      <c r="R109" s="47"/>
      <c r="S109" s="47"/>
      <c r="T109" s="47"/>
      <c r="U109" s="47"/>
      <c r="V109" s="47"/>
      <c r="W109" s="47"/>
      <c r="X109" s="47"/>
      <c r="Y109" s="47"/>
      <c r="Z109" s="47"/>
      <c r="AA109" s="47"/>
      <c r="AB109" s="47"/>
      <c r="AC109" s="47"/>
      <c r="AD109" s="47"/>
      <c r="AE109" s="47"/>
      <c r="AF109" s="47"/>
      <c r="AG109" s="47"/>
      <c r="AH109" s="47"/>
      <c r="AI109" s="47"/>
      <c r="AJ109" s="47"/>
      <c r="AK109" s="47"/>
      <c r="AL109" s="47"/>
      <c r="AM109" s="47"/>
      <c r="AN109" s="47"/>
      <c r="AO109" s="47"/>
      <c r="AP109" s="47"/>
      <c r="AQ109" s="47"/>
      <c r="AR109" s="47"/>
      <c r="AS109" s="47"/>
      <c r="AT109" s="47"/>
      <c r="AU109" s="47"/>
      <c r="AV109" s="47"/>
      <c r="AW109" s="47"/>
      <c r="AX109" s="47"/>
      <c r="AY109" s="47"/>
    </row>
    <row r="110" spans="1:51" ht="24">
      <c r="A110" s="52"/>
      <c r="B110" s="47"/>
      <c r="C110" s="58" t="s">
        <v>137</v>
      </c>
      <c r="D110" s="148" t="s">
        <v>138</v>
      </c>
      <c r="E110" s="148"/>
      <c r="F110" s="148"/>
      <c r="G110" s="148"/>
      <c r="H110" s="148"/>
      <c r="I110" s="148"/>
      <c r="J110" s="148"/>
      <c r="K110" s="148"/>
      <c r="L110" s="148"/>
      <c r="M110" s="148"/>
      <c r="N110" s="148"/>
      <c r="O110" s="149"/>
      <c r="P110" s="47"/>
      <c r="Q110" s="47"/>
      <c r="R110" s="47"/>
      <c r="S110" s="47"/>
      <c r="T110" s="47"/>
      <c r="U110" s="47"/>
      <c r="V110" s="47"/>
      <c r="W110" s="47"/>
      <c r="X110" s="47"/>
      <c r="Y110" s="47"/>
      <c r="Z110" s="47"/>
      <c r="AA110" s="47"/>
      <c r="AB110" s="47"/>
      <c r="AC110" s="47"/>
      <c r="AD110" s="47"/>
      <c r="AE110" s="47"/>
      <c r="AF110" s="47"/>
      <c r="AG110" s="47"/>
      <c r="AH110" s="47"/>
      <c r="AI110" s="47"/>
      <c r="AJ110" s="47"/>
      <c r="AK110" s="47"/>
      <c r="AL110" s="47"/>
      <c r="AM110" s="47"/>
      <c r="AN110" s="47"/>
      <c r="AO110" s="47"/>
      <c r="AP110" s="47"/>
      <c r="AQ110" s="47"/>
      <c r="AR110" s="47"/>
      <c r="AS110" s="47"/>
      <c r="AT110" s="47"/>
      <c r="AU110" s="47"/>
      <c r="AV110" s="47"/>
      <c r="AW110" s="47"/>
      <c r="AX110" s="47"/>
      <c r="AY110" s="47"/>
    </row>
    <row r="111" spans="1:51">
      <c r="A111" s="52"/>
      <c r="B111" s="47"/>
      <c r="C111" s="57" t="s">
        <v>139</v>
      </c>
      <c r="D111" s="148" t="s">
        <v>140</v>
      </c>
      <c r="E111" s="148"/>
      <c r="F111" s="148"/>
      <c r="G111" s="148"/>
      <c r="H111" s="148"/>
      <c r="I111" s="148"/>
      <c r="J111" s="148"/>
      <c r="K111" s="148"/>
      <c r="L111" s="148"/>
      <c r="M111" s="148"/>
      <c r="N111" s="148"/>
      <c r="O111" s="149"/>
      <c r="P111" s="47"/>
      <c r="Q111" s="47"/>
      <c r="R111" s="47"/>
      <c r="S111" s="47"/>
      <c r="T111" s="47"/>
      <c r="U111" s="47"/>
      <c r="V111" s="47"/>
      <c r="W111" s="47"/>
      <c r="X111" s="47"/>
      <c r="Y111" s="47"/>
      <c r="Z111" s="47"/>
      <c r="AA111" s="47"/>
      <c r="AB111" s="47"/>
      <c r="AC111" s="47"/>
      <c r="AD111" s="47"/>
      <c r="AE111" s="47"/>
      <c r="AF111" s="47"/>
      <c r="AG111" s="47"/>
      <c r="AH111" s="47"/>
      <c r="AI111" s="47"/>
      <c r="AJ111" s="47"/>
      <c r="AK111" s="47"/>
      <c r="AL111" s="47"/>
      <c r="AM111" s="47"/>
      <c r="AN111" s="47"/>
      <c r="AO111" s="47"/>
      <c r="AP111" s="47"/>
      <c r="AQ111" s="47"/>
      <c r="AR111" s="47"/>
      <c r="AS111" s="47"/>
      <c r="AT111" s="47"/>
      <c r="AU111" s="47"/>
      <c r="AV111" s="47"/>
      <c r="AW111" s="47"/>
      <c r="AX111" s="47"/>
      <c r="AY111" s="47"/>
    </row>
    <row r="112" spans="1:51">
      <c r="A112" s="52"/>
      <c r="B112" s="47"/>
      <c r="C112" s="57" t="s">
        <v>141</v>
      </c>
      <c r="D112" s="148" t="s">
        <v>142</v>
      </c>
      <c r="E112" s="148"/>
      <c r="F112" s="148"/>
      <c r="G112" s="148"/>
      <c r="H112" s="148"/>
      <c r="I112" s="148"/>
      <c r="J112" s="148"/>
      <c r="K112" s="148"/>
      <c r="L112" s="148"/>
      <c r="M112" s="148"/>
      <c r="N112" s="148"/>
      <c r="O112" s="149"/>
      <c r="P112" s="47"/>
      <c r="Q112" s="47"/>
      <c r="R112" s="47"/>
      <c r="S112" s="47"/>
      <c r="T112" s="47"/>
      <c r="U112" s="47"/>
      <c r="V112" s="47"/>
      <c r="W112" s="47"/>
      <c r="X112" s="47"/>
      <c r="Y112" s="47"/>
      <c r="Z112" s="47"/>
      <c r="AA112" s="47"/>
      <c r="AB112" s="47"/>
      <c r="AC112" s="47"/>
      <c r="AD112" s="47"/>
      <c r="AE112" s="47"/>
      <c r="AF112" s="47"/>
      <c r="AG112" s="47"/>
      <c r="AH112" s="47"/>
      <c r="AI112" s="47"/>
      <c r="AJ112" s="47"/>
      <c r="AK112" s="47"/>
      <c r="AL112" s="47"/>
      <c r="AM112" s="47"/>
      <c r="AN112" s="47"/>
      <c r="AO112" s="47"/>
      <c r="AP112" s="47"/>
      <c r="AQ112" s="47"/>
      <c r="AR112" s="47"/>
      <c r="AS112" s="47"/>
      <c r="AT112" s="47"/>
      <c r="AU112" s="47"/>
      <c r="AV112" s="47"/>
      <c r="AW112" s="47"/>
      <c r="AX112" s="47"/>
      <c r="AY112" s="47"/>
    </row>
    <row r="113" spans="1:51">
      <c r="A113" s="52"/>
      <c r="B113" s="47"/>
      <c r="C113" s="57" t="s">
        <v>143</v>
      </c>
      <c r="D113" s="148" t="s">
        <v>144</v>
      </c>
      <c r="E113" s="148"/>
      <c r="F113" s="148"/>
      <c r="G113" s="148"/>
      <c r="H113" s="148"/>
      <c r="I113" s="148"/>
      <c r="J113" s="148"/>
      <c r="K113" s="148"/>
      <c r="L113" s="148"/>
      <c r="M113" s="148"/>
      <c r="N113" s="148"/>
      <c r="O113" s="149"/>
      <c r="P113" s="47"/>
      <c r="Q113" s="47"/>
      <c r="R113" s="47"/>
      <c r="S113" s="47"/>
      <c r="T113" s="47"/>
      <c r="U113" s="47"/>
      <c r="V113" s="47"/>
      <c r="W113" s="47"/>
      <c r="X113" s="47"/>
      <c r="Y113" s="47"/>
      <c r="Z113" s="47"/>
      <c r="AA113" s="47"/>
      <c r="AB113" s="47"/>
      <c r="AC113" s="47"/>
      <c r="AD113" s="47"/>
      <c r="AE113" s="47"/>
      <c r="AF113" s="47"/>
      <c r="AG113" s="47"/>
      <c r="AH113" s="47"/>
      <c r="AI113" s="47"/>
      <c r="AJ113" s="47"/>
      <c r="AK113" s="47"/>
      <c r="AL113" s="47"/>
      <c r="AM113" s="47"/>
      <c r="AN113" s="47"/>
      <c r="AO113" s="47"/>
      <c r="AP113" s="47"/>
      <c r="AQ113" s="47"/>
      <c r="AR113" s="47"/>
      <c r="AS113" s="47"/>
      <c r="AT113" s="47"/>
      <c r="AU113" s="47"/>
      <c r="AV113" s="47"/>
      <c r="AW113" s="47"/>
      <c r="AX113" s="47"/>
      <c r="AY113" s="47"/>
    </row>
  </sheetData>
  <mergeCells count="46">
    <mergeCell ref="B1:D1"/>
    <mergeCell ref="B2:D2"/>
    <mergeCell ref="B7:D7"/>
    <mergeCell ref="A8:A13"/>
    <mergeCell ref="B8:D8"/>
    <mergeCell ref="C9:D9"/>
    <mergeCell ref="C3:D3"/>
    <mergeCell ref="C4:D4"/>
    <mergeCell ref="C5:D5"/>
    <mergeCell ref="C6:D6"/>
    <mergeCell ref="C10:D10"/>
    <mergeCell ref="C11:D11"/>
    <mergeCell ref="C12:D12"/>
    <mergeCell ref="C13:D13"/>
    <mergeCell ref="C14:D14"/>
    <mergeCell ref="D103:O103"/>
    <mergeCell ref="C94:D94"/>
    <mergeCell ref="D100:O100"/>
    <mergeCell ref="D101:O101"/>
    <mergeCell ref="D102:O102"/>
    <mergeCell ref="E92:E94"/>
    <mergeCell ref="C93:D93"/>
    <mergeCell ref="E9:E15"/>
    <mergeCell ref="C15:D15"/>
    <mergeCell ref="D110:O110"/>
    <mergeCell ref="D111:O111"/>
    <mergeCell ref="D112:O112"/>
    <mergeCell ref="D113:O113"/>
    <mergeCell ref="D104:O104"/>
    <mergeCell ref="D105:O105"/>
    <mergeCell ref="D106:O106"/>
    <mergeCell ref="D107:O107"/>
    <mergeCell ref="D108:O108"/>
    <mergeCell ref="D109:O109"/>
    <mergeCell ref="A16:A79"/>
    <mergeCell ref="B16:D16"/>
    <mergeCell ref="B87:D87"/>
    <mergeCell ref="C88:D88"/>
    <mergeCell ref="A83:A86"/>
    <mergeCell ref="A92:A94"/>
    <mergeCell ref="B92:D92"/>
    <mergeCell ref="A87:A91"/>
    <mergeCell ref="E87:E91"/>
    <mergeCell ref="C89:D89"/>
    <mergeCell ref="C90:D90"/>
    <mergeCell ref="C91:D9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3B0F1-A0A8-4E6D-A0C8-F6C84CC5CDE2}">
  <sheetPr>
    <tabColor rgb="FFFF0000"/>
  </sheetPr>
  <dimension ref="A1:AC32"/>
  <sheetViews>
    <sheetView workbookViewId="0">
      <selection activeCell="G19" sqref="G19"/>
    </sheetView>
  </sheetViews>
  <sheetFormatPr defaultRowHeight="16.5"/>
  <cols>
    <col min="3" max="3" width="14.375" customWidth="1"/>
    <col min="4" max="4" width="15.625" customWidth="1"/>
    <col min="5" max="5" width="25.25" customWidth="1"/>
    <col min="6" max="17" width="9" customWidth="1"/>
  </cols>
  <sheetData>
    <row r="1" spans="1:29">
      <c r="A1" s="78" t="s">
        <v>3</v>
      </c>
      <c r="B1" s="124" t="s">
        <v>66</v>
      </c>
      <c r="C1" s="125"/>
      <c r="D1" s="126"/>
      <c r="E1" s="79" t="s">
        <v>67</v>
      </c>
      <c r="F1" s="80">
        <v>45658</v>
      </c>
      <c r="G1" s="80">
        <v>45689</v>
      </c>
      <c r="H1" s="80">
        <v>45717</v>
      </c>
      <c r="I1" s="80">
        <v>45748</v>
      </c>
      <c r="J1" s="81" t="s">
        <v>145</v>
      </c>
      <c r="K1" s="81" t="s">
        <v>146</v>
      </c>
      <c r="L1" s="81" t="s">
        <v>147</v>
      </c>
      <c r="M1" s="81" t="s">
        <v>148</v>
      </c>
      <c r="N1" s="80">
        <v>45901</v>
      </c>
      <c r="O1" s="81" t="s">
        <v>149</v>
      </c>
      <c r="P1" s="80">
        <v>45962</v>
      </c>
      <c r="Q1" s="81" t="s">
        <v>150</v>
      </c>
      <c r="R1" s="80">
        <v>46023</v>
      </c>
      <c r="S1" s="80">
        <v>46054</v>
      </c>
      <c r="T1" s="80">
        <v>46082</v>
      </c>
      <c r="U1" s="80">
        <v>46113</v>
      </c>
      <c r="V1" s="81" t="s">
        <v>151</v>
      </c>
      <c r="W1" s="81" t="s">
        <v>152</v>
      </c>
      <c r="X1" s="81" t="s">
        <v>153</v>
      </c>
      <c r="Y1" s="33"/>
      <c r="Z1" s="33"/>
      <c r="AA1" s="33"/>
      <c r="AB1" s="33"/>
      <c r="AC1" s="34"/>
    </row>
    <row r="2" spans="1:29" ht="24">
      <c r="A2" s="82">
        <v>1</v>
      </c>
      <c r="B2" s="127" t="s">
        <v>68</v>
      </c>
      <c r="C2" s="128"/>
      <c r="D2" s="129"/>
      <c r="E2" s="83" t="s">
        <v>69</v>
      </c>
      <c r="F2" s="87">
        <v>453639</v>
      </c>
      <c r="G2" s="87">
        <v>281302</v>
      </c>
      <c r="H2" s="87">
        <v>68929</v>
      </c>
      <c r="I2" s="87">
        <v>387606</v>
      </c>
      <c r="J2" s="87">
        <v>336253</v>
      </c>
      <c r="K2" s="87">
        <v>369979</v>
      </c>
      <c r="L2" s="87">
        <v>412770</v>
      </c>
      <c r="M2" s="87">
        <v>250523</v>
      </c>
      <c r="N2" s="87">
        <v>229843</v>
      </c>
      <c r="O2" s="87">
        <v>241379</v>
      </c>
      <c r="P2" s="87">
        <v>244007</v>
      </c>
      <c r="Q2" s="87">
        <v>474408</v>
      </c>
      <c r="R2" s="87">
        <v>322284</v>
      </c>
      <c r="S2" s="87">
        <v>168909</v>
      </c>
      <c r="T2" s="87">
        <v>262443</v>
      </c>
      <c r="U2" s="87">
        <v>256150</v>
      </c>
      <c r="V2" s="85">
        <v>383909</v>
      </c>
      <c r="W2" s="85">
        <v>413329</v>
      </c>
      <c r="X2" s="84"/>
      <c r="Y2" s="36"/>
      <c r="Z2" s="36"/>
      <c r="AA2" s="36"/>
      <c r="AB2" s="36"/>
      <c r="AC2" s="37"/>
    </row>
    <row r="3" spans="1:29" ht="24">
      <c r="A3" s="82">
        <v>2</v>
      </c>
      <c r="B3" s="127" t="s">
        <v>74</v>
      </c>
      <c r="C3" s="128"/>
      <c r="D3" s="129"/>
      <c r="E3" s="83" t="s">
        <v>154</v>
      </c>
      <c r="F3" s="84">
        <v>76</v>
      </c>
      <c r="G3" s="84">
        <v>930</v>
      </c>
      <c r="H3" s="84">
        <v>512</v>
      </c>
      <c r="I3" s="85">
        <v>1759</v>
      </c>
      <c r="J3" s="85">
        <v>1663</v>
      </c>
      <c r="K3" s="85">
        <v>1222</v>
      </c>
      <c r="L3" s="85">
        <v>1438</v>
      </c>
      <c r="M3" s="84">
        <v>112</v>
      </c>
      <c r="N3" s="84">
        <v>273</v>
      </c>
      <c r="O3" s="85">
        <v>1081</v>
      </c>
      <c r="P3" s="85">
        <v>1232</v>
      </c>
      <c r="Q3" s="85">
        <v>1149</v>
      </c>
      <c r="R3" s="85">
        <v>1920</v>
      </c>
      <c r="S3" s="85">
        <v>1377</v>
      </c>
      <c r="T3" s="85">
        <v>1769</v>
      </c>
      <c r="U3" s="85">
        <v>1751</v>
      </c>
      <c r="V3" s="85">
        <v>2093</v>
      </c>
      <c r="W3" s="85">
        <v>2557</v>
      </c>
      <c r="X3" s="84"/>
      <c r="Y3" s="36"/>
      <c r="Z3" s="36"/>
      <c r="AA3" s="36"/>
      <c r="AB3" s="36"/>
      <c r="AC3" s="37"/>
    </row>
    <row r="4" spans="1:29">
      <c r="A4" s="130">
        <v>3</v>
      </c>
      <c r="B4" s="127" t="s">
        <v>76</v>
      </c>
      <c r="C4" s="128"/>
      <c r="D4" s="129"/>
      <c r="E4" s="133" t="s">
        <v>155</v>
      </c>
      <c r="F4" s="84"/>
      <c r="G4" s="84"/>
      <c r="H4" s="84"/>
      <c r="I4" s="84"/>
      <c r="J4" s="84"/>
      <c r="K4" s="84"/>
      <c r="L4" s="84"/>
      <c r="M4" s="84"/>
      <c r="N4" s="84"/>
      <c r="O4" s="84"/>
      <c r="P4" s="84"/>
      <c r="Q4" s="84"/>
      <c r="R4" s="84"/>
      <c r="S4" s="84"/>
      <c r="T4" s="84"/>
      <c r="U4" s="84"/>
      <c r="V4" s="84"/>
      <c r="W4" s="84"/>
      <c r="X4" s="84"/>
      <c r="Y4" s="36"/>
      <c r="Z4" s="36"/>
      <c r="AA4" s="36"/>
      <c r="AB4" s="36"/>
      <c r="AC4" s="37"/>
    </row>
    <row r="5" spans="1:29">
      <c r="A5" s="131"/>
      <c r="B5" s="84"/>
      <c r="C5" s="139" t="s">
        <v>156</v>
      </c>
      <c r="D5" s="140"/>
      <c r="E5" s="134"/>
      <c r="F5" s="84"/>
      <c r="G5" s="84"/>
      <c r="H5" s="84"/>
      <c r="I5" s="84"/>
      <c r="J5" s="84"/>
      <c r="K5" s="84"/>
      <c r="L5" s="84"/>
      <c r="M5" s="84"/>
      <c r="N5" s="84"/>
      <c r="O5" s="84"/>
      <c r="P5" s="84"/>
      <c r="Q5" s="84"/>
      <c r="R5" s="84"/>
      <c r="S5" s="84"/>
      <c r="T5" s="84"/>
      <c r="U5" s="84"/>
      <c r="V5" s="84"/>
      <c r="W5" s="84"/>
      <c r="X5" s="84"/>
      <c r="Y5" s="36"/>
      <c r="Z5" s="36"/>
      <c r="AA5" s="36"/>
      <c r="AB5" s="36"/>
      <c r="AC5" s="37"/>
    </row>
    <row r="6" spans="1:29">
      <c r="A6" s="131"/>
      <c r="B6" s="84"/>
      <c r="C6" s="139" t="s">
        <v>157</v>
      </c>
      <c r="D6" s="140"/>
      <c r="E6" s="134"/>
      <c r="F6" s="84"/>
      <c r="G6" s="84"/>
      <c r="H6" s="84"/>
      <c r="I6" s="84"/>
      <c r="J6" s="84"/>
      <c r="K6" s="84"/>
      <c r="L6" s="84"/>
      <c r="M6" s="84"/>
      <c r="N6" s="84"/>
      <c r="O6" s="84"/>
      <c r="P6" s="84"/>
      <c r="Q6" s="84"/>
      <c r="R6" s="84"/>
      <c r="S6" s="84"/>
      <c r="T6" s="84"/>
      <c r="U6" s="84"/>
      <c r="V6" s="84"/>
      <c r="W6" s="84"/>
      <c r="X6" s="84"/>
      <c r="Y6" s="36"/>
      <c r="Z6" s="36"/>
      <c r="AA6" s="36"/>
      <c r="AB6" s="36"/>
      <c r="AC6" s="37"/>
    </row>
    <row r="7" spans="1:29">
      <c r="A7" s="132"/>
      <c r="B7" s="84"/>
      <c r="C7" s="139" t="s">
        <v>158</v>
      </c>
      <c r="D7" s="140"/>
      <c r="E7" s="135"/>
      <c r="F7" s="84"/>
      <c r="G7" s="84"/>
      <c r="H7" s="84"/>
      <c r="I7" s="84"/>
      <c r="J7" s="84"/>
      <c r="K7" s="84"/>
      <c r="L7" s="84"/>
      <c r="M7" s="84"/>
      <c r="N7" s="84"/>
      <c r="O7" s="84"/>
      <c r="P7" s="84"/>
      <c r="Q7" s="84"/>
      <c r="R7" s="84"/>
      <c r="S7" s="84"/>
      <c r="T7" s="84"/>
      <c r="U7" s="84"/>
      <c r="V7" s="84"/>
      <c r="W7" s="84"/>
      <c r="X7" s="84"/>
      <c r="Y7" s="36"/>
      <c r="Z7" s="36"/>
      <c r="AA7" s="36"/>
      <c r="AB7" s="36"/>
      <c r="AC7" s="37"/>
    </row>
    <row r="8" spans="1:29">
      <c r="A8" s="130">
        <v>4</v>
      </c>
      <c r="B8" s="127" t="s">
        <v>93</v>
      </c>
      <c r="C8" s="128"/>
      <c r="D8" s="129"/>
      <c r="E8" s="133" t="s">
        <v>159</v>
      </c>
      <c r="F8" s="80">
        <v>45658</v>
      </c>
      <c r="G8" s="80">
        <v>45689</v>
      </c>
      <c r="H8" s="80">
        <v>45717</v>
      </c>
      <c r="I8" s="80">
        <v>45748</v>
      </c>
      <c r="J8" s="81" t="s">
        <v>145</v>
      </c>
      <c r="K8" s="81" t="s">
        <v>146</v>
      </c>
      <c r="L8" s="81" t="s">
        <v>147</v>
      </c>
      <c r="M8" s="81" t="s">
        <v>148</v>
      </c>
      <c r="N8" s="80">
        <v>45901</v>
      </c>
      <c r="O8" s="81" t="s">
        <v>149</v>
      </c>
      <c r="P8" s="80">
        <v>45962</v>
      </c>
      <c r="Q8" s="81" t="s">
        <v>150</v>
      </c>
      <c r="R8" s="80">
        <v>46023</v>
      </c>
      <c r="S8" s="80">
        <v>46054</v>
      </c>
      <c r="T8" s="80">
        <v>46082</v>
      </c>
      <c r="U8" s="80">
        <v>46113</v>
      </c>
      <c r="V8" s="81" t="s">
        <v>151</v>
      </c>
      <c r="W8" s="81" t="s">
        <v>152</v>
      </c>
      <c r="X8" s="81" t="s">
        <v>153</v>
      </c>
      <c r="Y8" s="36"/>
      <c r="Z8" s="36"/>
      <c r="AA8" s="36"/>
      <c r="AB8" s="36"/>
      <c r="AC8" s="37"/>
    </row>
    <row r="9" spans="1:29">
      <c r="A9" s="131"/>
      <c r="B9" s="84"/>
      <c r="C9" s="136" t="s">
        <v>105</v>
      </c>
      <c r="D9" s="84" t="s">
        <v>86</v>
      </c>
      <c r="E9" s="134"/>
      <c r="F9" s="84">
        <v>43</v>
      </c>
      <c r="G9" s="84">
        <v>31</v>
      </c>
      <c r="H9" s="84">
        <v>11</v>
      </c>
      <c r="I9" s="84">
        <v>77</v>
      </c>
      <c r="J9" s="84">
        <v>65</v>
      </c>
      <c r="K9" s="84">
        <v>106</v>
      </c>
      <c r="L9" s="84">
        <v>133</v>
      </c>
      <c r="M9" s="84">
        <v>49</v>
      </c>
      <c r="N9" s="84">
        <v>8</v>
      </c>
      <c r="O9" s="84">
        <v>61</v>
      </c>
      <c r="P9" s="84">
        <v>94</v>
      </c>
      <c r="Q9" s="84">
        <v>67</v>
      </c>
      <c r="R9" s="84">
        <v>142</v>
      </c>
      <c r="S9" s="84">
        <v>104</v>
      </c>
      <c r="T9" s="84">
        <v>139</v>
      </c>
      <c r="U9" s="84">
        <v>113</v>
      </c>
      <c r="V9" s="84">
        <v>124</v>
      </c>
      <c r="W9" s="84">
        <v>81</v>
      </c>
      <c r="X9" s="84"/>
      <c r="Y9" s="36"/>
      <c r="Z9" s="36"/>
      <c r="AA9" s="36"/>
      <c r="AB9" s="36"/>
      <c r="AC9" s="37"/>
    </row>
    <row r="10" spans="1:29">
      <c r="A10" s="131"/>
      <c r="B10" s="84"/>
      <c r="C10" s="137"/>
      <c r="D10" s="84" t="s">
        <v>79</v>
      </c>
      <c r="E10" s="134"/>
      <c r="F10" s="84">
        <v>0</v>
      </c>
      <c r="G10" s="84">
        <v>0</v>
      </c>
      <c r="H10" s="84">
        <v>0</v>
      </c>
      <c r="I10" s="84">
        <v>3</v>
      </c>
      <c r="J10" s="84">
        <v>0</v>
      </c>
      <c r="K10" s="84">
        <v>0</v>
      </c>
      <c r="L10" s="84">
        <v>3</v>
      </c>
      <c r="M10" s="84">
        <v>1</v>
      </c>
      <c r="N10" s="84">
        <v>1</v>
      </c>
      <c r="O10" s="84">
        <v>6</v>
      </c>
      <c r="P10" s="84">
        <v>0</v>
      </c>
      <c r="Q10" s="84">
        <v>0</v>
      </c>
      <c r="R10" s="84">
        <v>0</v>
      </c>
      <c r="S10" s="84">
        <v>0</v>
      </c>
      <c r="T10" s="84">
        <v>0</v>
      </c>
      <c r="U10" s="84">
        <v>0</v>
      </c>
      <c r="V10" s="84">
        <v>1</v>
      </c>
      <c r="W10" s="84">
        <v>3</v>
      </c>
      <c r="X10" s="84"/>
      <c r="Y10" s="36"/>
      <c r="Z10" s="36"/>
      <c r="AA10" s="36"/>
      <c r="AB10" s="36"/>
      <c r="AC10" s="37"/>
    </row>
    <row r="11" spans="1:29">
      <c r="A11" s="131"/>
      <c r="B11" s="84"/>
      <c r="C11" s="137"/>
      <c r="D11" s="84" t="s">
        <v>160</v>
      </c>
      <c r="E11" s="134"/>
      <c r="F11" s="84">
        <v>0</v>
      </c>
      <c r="G11" s="84">
        <v>0</v>
      </c>
      <c r="H11" s="84">
        <v>0</v>
      </c>
      <c r="I11" s="84">
        <v>0</v>
      </c>
      <c r="J11" s="84">
        <v>0</v>
      </c>
      <c r="K11" s="84">
        <v>0</v>
      </c>
      <c r="L11" s="84">
        <v>0</v>
      </c>
      <c r="M11" s="84">
        <v>1</v>
      </c>
      <c r="N11" s="84">
        <v>0</v>
      </c>
      <c r="O11" s="84">
        <v>1</v>
      </c>
      <c r="P11" s="84">
        <v>1</v>
      </c>
      <c r="Q11" s="84">
        <v>0</v>
      </c>
      <c r="R11" s="84">
        <v>6</v>
      </c>
      <c r="S11" s="84">
        <v>1</v>
      </c>
      <c r="T11" s="84">
        <v>1</v>
      </c>
      <c r="U11" s="84">
        <v>2</v>
      </c>
      <c r="V11" s="84">
        <v>4</v>
      </c>
      <c r="W11" s="84">
        <v>5</v>
      </c>
      <c r="X11" s="84"/>
      <c r="Y11" s="36"/>
      <c r="Z11" s="36"/>
      <c r="AA11" s="36"/>
      <c r="AB11" s="36"/>
      <c r="AC11" s="37"/>
    </row>
    <row r="12" spans="1:29">
      <c r="A12" s="131"/>
      <c r="B12" s="84"/>
      <c r="C12" s="137"/>
      <c r="D12" s="84" t="s">
        <v>106</v>
      </c>
      <c r="E12" s="134"/>
      <c r="F12" s="84"/>
      <c r="G12" s="84"/>
      <c r="H12" s="84"/>
      <c r="I12" s="84"/>
      <c r="J12" s="84"/>
      <c r="K12" s="84"/>
      <c r="L12" s="84"/>
      <c r="M12" s="84"/>
      <c r="N12" s="84"/>
      <c r="O12" s="84"/>
      <c r="P12" s="84"/>
      <c r="Q12" s="84"/>
      <c r="R12" s="84">
        <v>1</v>
      </c>
      <c r="S12" s="84">
        <v>1</v>
      </c>
      <c r="T12" s="84">
        <v>1</v>
      </c>
      <c r="U12" s="84">
        <v>1</v>
      </c>
      <c r="V12" s="84">
        <v>0</v>
      </c>
      <c r="W12" s="84">
        <v>3</v>
      </c>
      <c r="X12" s="84"/>
      <c r="Y12" s="36"/>
      <c r="Z12" s="36"/>
      <c r="AA12" s="36"/>
      <c r="AB12" s="36"/>
      <c r="AC12" s="37"/>
    </row>
    <row r="13" spans="1:29">
      <c r="A13" s="131"/>
      <c r="B13" s="84"/>
      <c r="C13" s="138"/>
      <c r="D13" s="84" t="s">
        <v>92</v>
      </c>
      <c r="E13" s="134"/>
      <c r="F13" s="84"/>
      <c r="G13" s="84"/>
      <c r="H13" s="84"/>
      <c r="I13" s="84"/>
      <c r="J13" s="84"/>
      <c r="K13" s="84"/>
      <c r="L13" s="84"/>
      <c r="M13" s="84"/>
      <c r="N13" s="84"/>
      <c r="O13" s="84"/>
      <c r="P13" s="84"/>
      <c r="Q13" s="84"/>
      <c r="R13" s="84">
        <v>3</v>
      </c>
      <c r="S13" s="84">
        <v>3</v>
      </c>
      <c r="T13" s="84">
        <v>4</v>
      </c>
      <c r="U13" s="84">
        <v>3</v>
      </c>
      <c r="V13" s="84">
        <v>0</v>
      </c>
      <c r="W13" s="84">
        <v>7</v>
      </c>
      <c r="X13" s="84"/>
      <c r="Y13" s="36"/>
      <c r="Z13" s="36"/>
      <c r="AA13" s="36"/>
      <c r="AB13" s="36"/>
      <c r="AC13" s="37"/>
    </row>
    <row r="14" spans="1:29">
      <c r="A14" s="131"/>
      <c r="B14" s="84"/>
      <c r="C14" s="141" t="s">
        <v>98</v>
      </c>
      <c r="D14" s="84" t="s">
        <v>86</v>
      </c>
      <c r="E14" s="134"/>
      <c r="F14" s="84"/>
      <c r="G14" s="84"/>
      <c r="H14" s="84"/>
      <c r="I14" s="84"/>
      <c r="J14" s="84"/>
      <c r="K14" s="84"/>
      <c r="L14" s="84"/>
      <c r="M14" s="84"/>
      <c r="N14" s="84"/>
      <c r="O14" s="84"/>
      <c r="P14" s="84"/>
      <c r="Q14" s="84"/>
      <c r="R14" s="84"/>
      <c r="S14" s="84"/>
      <c r="T14" s="84"/>
      <c r="U14" s="84"/>
      <c r="V14" s="84"/>
      <c r="W14" s="84"/>
      <c r="X14" s="84"/>
      <c r="Y14" s="36"/>
      <c r="Z14" s="36"/>
      <c r="AA14" s="36"/>
      <c r="AB14" s="36"/>
      <c r="AC14" s="37"/>
    </row>
    <row r="15" spans="1:29">
      <c r="A15" s="131"/>
      <c r="B15" s="84"/>
      <c r="C15" s="142"/>
      <c r="D15" s="84" t="s">
        <v>161</v>
      </c>
      <c r="E15" s="134"/>
      <c r="F15" s="84"/>
      <c r="G15" s="84"/>
      <c r="H15" s="84"/>
      <c r="I15" s="84"/>
      <c r="J15" s="84"/>
      <c r="K15" s="84"/>
      <c r="L15" s="84"/>
      <c r="M15" s="84"/>
      <c r="N15" s="84"/>
      <c r="O15" s="84"/>
      <c r="P15" s="84"/>
      <c r="Q15" s="84"/>
      <c r="R15" s="84"/>
      <c r="S15" s="84"/>
      <c r="T15" s="84"/>
      <c r="U15" s="84"/>
      <c r="V15" s="84"/>
      <c r="W15" s="84"/>
      <c r="X15" s="84"/>
      <c r="Y15" s="36"/>
      <c r="Z15" s="36"/>
      <c r="AA15" s="36"/>
      <c r="AB15" s="36"/>
      <c r="AC15" s="37"/>
    </row>
    <row r="16" spans="1:29">
      <c r="A16" s="131"/>
      <c r="B16" s="84"/>
      <c r="C16" s="136" t="s">
        <v>162</v>
      </c>
      <c r="D16" s="84" t="s">
        <v>86</v>
      </c>
      <c r="E16" s="134"/>
      <c r="F16" s="85">
        <v>1456</v>
      </c>
      <c r="G16" s="84">
        <v>891</v>
      </c>
      <c r="H16" s="84">
        <v>497</v>
      </c>
      <c r="I16" s="85">
        <v>1666</v>
      </c>
      <c r="J16" s="85">
        <v>1588</v>
      </c>
      <c r="K16" s="85">
        <v>1102</v>
      </c>
      <c r="L16" s="85">
        <v>1280</v>
      </c>
      <c r="M16" s="84">
        <v>19</v>
      </c>
      <c r="N16" s="84">
        <v>255</v>
      </c>
      <c r="O16" s="84">
        <v>987</v>
      </c>
      <c r="P16" s="85">
        <v>1095</v>
      </c>
      <c r="Q16" s="85">
        <v>1069</v>
      </c>
      <c r="R16" s="85">
        <v>1706</v>
      </c>
      <c r="S16" s="85">
        <v>1222</v>
      </c>
      <c r="T16" s="85">
        <v>1553</v>
      </c>
      <c r="U16" s="85">
        <v>1565</v>
      </c>
      <c r="V16" s="85">
        <v>1893</v>
      </c>
      <c r="W16" s="85">
        <v>2344</v>
      </c>
      <c r="X16" s="84"/>
      <c r="Y16" s="36"/>
      <c r="Z16" s="36"/>
      <c r="AA16" s="36"/>
      <c r="AB16" s="36"/>
      <c r="AC16" s="37"/>
    </row>
    <row r="17" spans="1:29">
      <c r="A17" s="131"/>
      <c r="B17" s="84"/>
      <c r="C17" s="137"/>
      <c r="D17" s="84" t="s">
        <v>79</v>
      </c>
      <c r="E17" s="134"/>
      <c r="F17" s="84">
        <v>15</v>
      </c>
      <c r="G17" s="84">
        <v>8</v>
      </c>
      <c r="H17" s="84">
        <v>4</v>
      </c>
      <c r="I17" s="84">
        <v>13</v>
      </c>
      <c r="J17" s="84">
        <v>10</v>
      </c>
      <c r="K17" s="84">
        <v>14</v>
      </c>
      <c r="L17" s="84">
        <v>22</v>
      </c>
      <c r="M17" s="84">
        <v>24</v>
      </c>
      <c r="N17" s="84">
        <v>5</v>
      </c>
      <c r="O17" s="84">
        <v>19</v>
      </c>
      <c r="P17" s="84">
        <v>17</v>
      </c>
      <c r="Q17" s="84">
        <v>7</v>
      </c>
      <c r="R17" s="84">
        <v>8</v>
      </c>
      <c r="S17" s="84">
        <v>2</v>
      </c>
      <c r="T17" s="84">
        <v>0</v>
      </c>
      <c r="U17" s="84">
        <v>3</v>
      </c>
      <c r="V17" s="84">
        <v>3</v>
      </c>
      <c r="W17" s="84">
        <v>11</v>
      </c>
      <c r="X17" s="84"/>
      <c r="Y17" s="36"/>
      <c r="Z17" s="36"/>
      <c r="AA17" s="36"/>
      <c r="AB17" s="36"/>
      <c r="AC17" s="37"/>
    </row>
    <row r="18" spans="1:29">
      <c r="A18" s="131"/>
      <c r="B18" s="84"/>
      <c r="C18" s="137"/>
      <c r="D18" s="84" t="s">
        <v>160</v>
      </c>
      <c r="E18" s="134"/>
      <c r="F18" s="84">
        <v>9</v>
      </c>
      <c r="G18" s="84">
        <v>0</v>
      </c>
      <c r="H18" s="84">
        <v>0</v>
      </c>
      <c r="I18" s="84">
        <v>0</v>
      </c>
      <c r="J18" s="84">
        <v>0</v>
      </c>
      <c r="K18" s="84">
        <v>0</v>
      </c>
      <c r="L18" s="84">
        <v>0</v>
      </c>
      <c r="M18" s="84">
        <v>18</v>
      </c>
      <c r="N18" s="84">
        <v>4</v>
      </c>
      <c r="O18" s="84">
        <v>7</v>
      </c>
      <c r="P18" s="84">
        <v>25</v>
      </c>
      <c r="Q18" s="84">
        <v>6</v>
      </c>
      <c r="R18" s="84">
        <v>30</v>
      </c>
      <c r="S18" s="84">
        <v>22</v>
      </c>
      <c r="T18" s="84">
        <v>16</v>
      </c>
      <c r="U18" s="84">
        <v>32</v>
      </c>
      <c r="V18" s="84">
        <v>34</v>
      </c>
      <c r="W18" s="84">
        <v>40</v>
      </c>
      <c r="X18" s="84"/>
      <c r="Y18" s="36"/>
      <c r="Z18" s="36"/>
      <c r="AA18" s="36"/>
      <c r="AB18" s="36"/>
      <c r="AC18" s="37"/>
    </row>
    <row r="19" spans="1:29">
      <c r="A19" s="131"/>
      <c r="B19" s="84"/>
      <c r="C19" s="137"/>
      <c r="D19" s="84" t="s">
        <v>106</v>
      </c>
      <c r="E19" s="134"/>
      <c r="F19" s="84">
        <v>0</v>
      </c>
      <c r="G19" s="84">
        <v>0</v>
      </c>
      <c r="H19" s="84">
        <v>0</v>
      </c>
      <c r="I19" s="84">
        <v>0</v>
      </c>
      <c r="J19" s="84">
        <v>0</v>
      </c>
      <c r="K19" s="84">
        <v>0</v>
      </c>
      <c r="L19" s="84">
        <v>0</v>
      </c>
      <c r="M19" s="84">
        <v>0</v>
      </c>
      <c r="N19" s="84">
        <v>0</v>
      </c>
      <c r="O19" s="84">
        <v>0</v>
      </c>
      <c r="P19" s="84">
        <v>0</v>
      </c>
      <c r="Q19" s="84">
        <v>0</v>
      </c>
      <c r="R19" s="84">
        <v>16</v>
      </c>
      <c r="S19" s="84">
        <v>8</v>
      </c>
      <c r="T19" s="84">
        <v>14</v>
      </c>
      <c r="U19" s="84">
        <v>19</v>
      </c>
      <c r="V19" s="84">
        <v>17</v>
      </c>
      <c r="W19" s="84">
        <v>33</v>
      </c>
      <c r="X19" s="84"/>
      <c r="Y19" s="36"/>
      <c r="Z19" s="36"/>
      <c r="AA19" s="36"/>
      <c r="AB19" s="36"/>
      <c r="AC19" s="37"/>
    </row>
    <row r="20" spans="1:29">
      <c r="A20" s="131"/>
      <c r="B20" s="84"/>
      <c r="C20" s="138"/>
      <c r="D20" s="84" t="s">
        <v>92</v>
      </c>
      <c r="E20" s="134"/>
      <c r="F20" s="84">
        <v>0</v>
      </c>
      <c r="G20" s="84">
        <v>0</v>
      </c>
      <c r="H20" s="84">
        <v>0</v>
      </c>
      <c r="I20" s="84">
        <v>0</v>
      </c>
      <c r="J20" s="84">
        <v>0</v>
      </c>
      <c r="K20" s="84">
        <v>0</v>
      </c>
      <c r="L20" s="84">
        <v>0</v>
      </c>
      <c r="M20" s="84">
        <v>0</v>
      </c>
      <c r="N20" s="84">
        <v>0</v>
      </c>
      <c r="O20" s="84">
        <v>0</v>
      </c>
      <c r="P20" s="84">
        <v>0</v>
      </c>
      <c r="Q20" s="84">
        <v>0</v>
      </c>
      <c r="R20" s="84">
        <v>8</v>
      </c>
      <c r="S20" s="84">
        <v>14</v>
      </c>
      <c r="T20" s="84">
        <v>41</v>
      </c>
      <c r="U20" s="84">
        <v>14</v>
      </c>
      <c r="V20" s="84">
        <v>20</v>
      </c>
      <c r="W20" s="84">
        <v>30</v>
      </c>
      <c r="X20" s="84"/>
      <c r="Y20" s="36"/>
      <c r="Z20" s="36"/>
      <c r="AA20" s="36"/>
      <c r="AB20" s="36"/>
      <c r="AC20" s="37"/>
    </row>
    <row r="21" spans="1:29">
      <c r="A21" s="132"/>
      <c r="B21" s="84"/>
      <c r="C21" s="84" t="s">
        <v>113</v>
      </c>
      <c r="D21" s="84"/>
      <c r="E21" s="135"/>
      <c r="F21" s="84"/>
      <c r="G21" s="84"/>
      <c r="H21" s="84"/>
      <c r="I21" s="84"/>
      <c r="J21" s="84"/>
      <c r="K21" s="84"/>
      <c r="L21" s="84"/>
      <c r="M21" s="84"/>
      <c r="N21" s="84"/>
      <c r="O21" s="84"/>
      <c r="P21" s="84"/>
      <c r="Q21" s="84"/>
      <c r="R21" s="84"/>
      <c r="S21" s="84"/>
      <c r="T21" s="84"/>
      <c r="U21" s="84"/>
      <c r="V21" s="84"/>
      <c r="W21" s="84"/>
      <c r="X21" s="84"/>
      <c r="Y21" s="36"/>
      <c r="Z21" s="36"/>
      <c r="AA21" s="36"/>
      <c r="AB21" s="36"/>
      <c r="AC21" s="37"/>
    </row>
    <row r="22" spans="1:29">
      <c r="A22" s="130">
        <v>5</v>
      </c>
      <c r="B22" s="127" t="s">
        <v>107</v>
      </c>
      <c r="C22" s="128"/>
      <c r="D22" s="129"/>
      <c r="E22" s="133" t="s">
        <v>108</v>
      </c>
      <c r="F22" s="84"/>
      <c r="G22" s="84"/>
      <c r="H22" s="84"/>
      <c r="I22" s="84"/>
      <c r="J22" s="84"/>
      <c r="K22" s="84"/>
      <c r="L22" s="84"/>
      <c r="M22" s="84"/>
      <c r="N22" s="84"/>
      <c r="O22" s="84"/>
      <c r="P22" s="84"/>
      <c r="Q22" s="84"/>
      <c r="R22" s="84"/>
      <c r="S22" s="84"/>
      <c r="T22" s="84"/>
      <c r="U22" s="84"/>
      <c r="V22" s="84"/>
      <c r="W22" s="84"/>
      <c r="X22" s="84"/>
      <c r="Y22" s="36"/>
      <c r="Z22" s="36"/>
      <c r="AA22" s="36"/>
      <c r="AB22" s="36"/>
      <c r="AC22" s="37"/>
    </row>
    <row r="23" spans="1:29">
      <c r="A23" s="131"/>
      <c r="B23" s="84"/>
      <c r="C23" s="139" t="s">
        <v>163</v>
      </c>
      <c r="D23" s="140"/>
      <c r="E23" s="134"/>
      <c r="F23" s="84"/>
      <c r="G23" s="84"/>
      <c r="H23" s="84"/>
      <c r="I23" s="84"/>
      <c r="J23" s="84"/>
      <c r="K23" s="84"/>
      <c r="L23" s="84"/>
      <c r="M23" s="84"/>
      <c r="N23" s="84"/>
      <c r="O23" s="84"/>
      <c r="P23" s="84"/>
      <c r="Q23" s="84"/>
      <c r="R23" s="84"/>
      <c r="S23" s="84"/>
      <c r="T23" s="84"/>
      <c r="U23" s="84"/>
      <c r="V23" s="84"/>
      <c r="W23" s="84"/>
      <c r="X23" s="84"/>
      <c r="Y23" s="36"/>
      <c r="Z23" s="36"/>
      <c r="AA23" s="36"/>
      <c r="AB23" s="36"/>
      <c r="AC23" s="37"/>
    </row>
    <row r="24" spans="1:29">
      <c r="A24" s="131"/>
      <c r="B24" s="84"/>
      <c r="C24" s="139" t="s">
        <v>111</v>
      </c>
      <c r="D24" s="140"/>
      <c r="E24" s="134"/>
      <c r="F24" s="84"/>
      <c r="G24" s="84"/>
      <c r="H24" s="84"/>
      <c r="I24" s="84"/>
      <c r="J24" s="84"/>
      <c r="K24" s="84"/>
      <c r="L24" s="84"/>
      <c r="M24" s="84"/>
      <c r="N24" s="84"/>
      <c r="O24" s="84"/>
      <c r="P24" s="84"/>
      <c r="Q24" s="84"/>
      <c r="R24" s="84"/>
      <c r="S24" s="84"/>
      <c r="T24" s="84"/>
      <c r="U24" s="84"/>
      <c r="V24" s="84"/>
      <c r="W24" s="84"/>
      <c r="X24" s="84"/>
      <c r="Y24" s="36"/>
      <c r="Z24" s="36"/>
      <c r="AA24" s="36"/>
      <c r="AB24" s="36"/>
      <c r="AC24" s="37"/>
    </row>
    <row r="25" spans="1:29">
      <c r="A25" s="131"/>
      <c r="B25" s="84"/>
      <c r="C25" s="139" t="s">
        <v>112</v>
      </c>
      <c r="D25" s="140"/>
      <c r="E25" s="134"/>
      <c r="F25" s="84"/>
      <c r="G25" s="84"/>
      <c r="H25" s="84"/>
      <c r="I25" s="84"/>
      <c r="J25" s="84"/>
      <c r="K25" s="84"/>
      <c r="L25" s="84"/>
      <c r="M25" s="84"/>
      <c r="N25" s="84"/>
      <c r="O25" s="84"/>
      <c r="P25" s="84"/>
      <c r="Q25" s="84"/>
      <c r="R25" s="84"/>
      <c r="S25" s="84"/>
      <c r="T25" s="84"/>
      <c r="U25" s="84"/>
      <c r="V25" s="84"/>
      <c r="W25" s="84"/>
      <c r="X25" s="84"/>
      <c r="Y25" s="36"/>
      <c r="Z25" s="36"/>
      <c r="AA25" s="36"/>
      <c r="AB25" s="36"/>
      <c r="AC25" s="37"/>
    </row>
    <row r="26" spans="1:29">
      <c r="A26" s="132"/>
      <c r="B26" s="84"/>
      <c r="C26" s="127" t="s">
        <v>113</v>
      </c>
      <c r="D26" s="129"/>
      <c r="E26" s="135"/>
      <c r="F26" s="84"/>
      <c r="G26" s="84"/>
      <c r="H26" s="84"/>
      <c r="I26" s="84"/>
      <c r="J26" s="84"/>
      <c r="K26" s="84"/>
      <c r="L26" s="84"/>
      <c r="M26" s="84"/>
      <c r="N26" s="84"/>
      <c r="O26" s="84"/>
      <c r="P26" s="84"/>
      <c r="Q26" s="84"/>
      <c r="R26" s="84"/>
      <c r="S26" s="84"/>
      <c r="T26" s="84"/>
      <c r="U26" s="84"/>
      <c r="V26" s="84"/>
      <c r="W26" s="84"/>
      <c r="X26" s="84"/>
      <c r="Y26" s="36"/>
      <c r="Z26" s="36"/>
      <c r="AA26" s="36"/>
      <c r="AB26" s="36"/>
      <c r="AC26" s="37"/>
    </row>
    <row r="27" spans="1:29">
      <c r="A27" s="130">
        <v>6</v>
      </c>
      <c r="B27" s="127" t="s">
        <v>114</v>
      </c>
      <c r="C27" s="128"/>
      <c r="D27" s="129"/>
      <c r="E27" s="133" t="s">
        <v>115</v>
      </c>
      <c r="F27" s="80">
        <v>45658</v>
      </c>
      <c r="G27" s="80">
        <v>45689</v>
      </c>
      <c r="H27" s="80">
        <v>45717</v>
      </c>
      <c r="I27" s="80">
        <v>45748</v>
      </c>
      <c r="J27" s="81" t="s">
        <v>145</v>
      </c>
      <c r="K27" s="81" t="s">
        <v>146</v>
      </c>
      <c r="L27" s="81" t="s">
        <v>147</v>
      </c>
      <c r="M27" s="81" t="s">
        <v>148</v>
      </c>
      <c r="N27" s="80">
        <v>45901</v>
      </c>
      <c r="O27" s="81" t="s">
        <v>149</v>
      </c>
      <c r="P27" s="80">
        <v>45962</v>
      </c>
      <c r="Q27" s="81" t="s">
        <v>150</v>
      </c>
      <c r="R27" s="80">
        <v>46023</v>
      </c>
      <c r="S27" s="80">
        <v>46054</v>
      </c>
      <c r="T27" s="80">
        <v>46082</v>
      </c>
      <c r="U27" s="80">
        <v>46113</v>
      </c>
      <c r="V27" s="81" t="s">
        <v>151</v>
      </c>
      <c r="W27" s="81" t="s">
        <v>152</v>
      </c>
      <c r="X27" s="81" t="s">
        <v>153</v>
      </c>
      <c r="Y27" s="36"/>
      <c r="Z27" s="36"/>
      <c r="AA27" s="36"/>
      <c r="AB27" s="36"/>
      <c r="AC27" s="37"/>
    </row>
    <row r="28" spans="1:29">
      <c r="A28" s="131"/>
      <c r="B28" s="84"/>
      <c r="C28" s="139" t="s">
        <v>164</v>
      </c>
      <c r="D28" s="140"/>
      <c r="E28" s="134"/>
      <c r="F28" s="84">
        <v>0</v>
      </c>
      <c r="G28" s="84">
        <v>0</v>
      </c>
      <c r="H28" s="84">
        <v>0</v>
      </c>
      <c r="I28" s="84">
        <v>0</v>
      </c>
      <c r="J28" s="84">
        <v>0</v>
      </c>
      <c r="K28" s="84">
        <v>0</v>
      </c>
      <c r="L28" s="84">
        <v>0</v>
      </c>
      <c r="M28" s="84">
        <v>0</v>
      </c>
      <c r="N28" s="84">
        <v>0</v>
      </c>
      <c r="O28" s="84">
        <v>0</v>
      </c>
      <c r="P28" s="84">
        <v>0</v>
      </c>
      <c r="Q28" s="84">
        <v>0</v>
      </c>
      <c r="R28" s="86">
        <v>1.4004629629629629E-3</v>
      </c>
      <c r="S28" s="86">
        <v>4.5486111111111109E-3</v>
      </c>
      <c r="T28" s="86">
        <v>6.3657407407407413E-4</v>
      </c>
      <c r="U28" s="86">
        <v>8.4259259259259253E-3</v>
      </c>
      <c r="V28" s="86">
        <v>2.8819444444444444E-3</v>
      </c>
      <c r="W28" s="86">
        <v>1.0416666666666666E-2</v>
      </c>
      <c r="X28" s="84"/>
      <c r="Y28" s="36"/>
      <c r="Z28" s="36"/>
      <c r="AA28" s="36"/>
      <c r="AB28" s="36"/>
      <c r="AC28" s="37"/>
    </row>
    <row r="29" spans="1:29">
      <c r="A29" s="131"/>
      <c r="B29" s="84"/>
      <c r="C29" s="139" t="s">
        <v>165</v>
      </c>
      <c r="D29" s="140"/>
      <c r="E29" s="134"/>
      <c r="F29" s="84">
        <v>0</v>
      </c>
      <c r="G29" s="84">
        <v>0</v>
      </c>
      <c r="H29" s="84">
        <v>0</v>
      </c>
      <c r="I29" s="84">
        <v>0</v>
      </c>
      <c r="J29" s="84">
        <v>0</v>
      </c>
      <c r="K29" s="84">
        <v>0</v>
      </c>
      <c r="L29" s="84">
        <v>0</v>
      </c>
      <c r="M29" s="84">
        <v>0</v>
      </c>
      <c r="N29" s="84">
        <v>0</v>
      </c>
      <c r="O29" s="84">
        <v>0</v>
      </c>
      <c r="P29" s="84">
        <v>0</v>
      </c>
      <c r="Q29" s="84">
        <v>0</v>
      </c>
      <c r="R29" s="86">
        <v>1.238425925925926E-3</v>
      </c>
      <c r="S29" s="86">
        <v>1.1226851851851851E-3</v>
      </c>
      <c r="T29" s="86">
        <v>1.0300925925925926E-3</v>
      </c>
      <c r="U29" s="86">
        <v>1.5393518518518519E-3</v>
      </c>
      <c r="V29" s="86">
        <v>1.4120370370370369E-3</v>
      </c>
      <c r="W29" s="86">
        <v>1.5162037037037036E-3</v>
      </c>
      <c r="X29" s="84"/>
      <c r="Y29" s="36"/>
      <c r="Z29" s="36"/>
      <c r="AA29" s="36"/>
      <c r="AB29" s="36"/>
      <c r="AC29" s="37"/>
    </row>
    <row r="30" spans="1:29">
      <c r="A30" s="131"/>
      <c r="B30" s="84"/>
      <c r="C30" s="139" t="s">
        <v>166</v>
      </c>
      <c r="D30" s="140"/>
      <c r="E30" s="134"/>
      <c r="F30" s="84"/>
      <c r="G30" s="84"/>
      <c r="H30" s="84"/>
      <c r="I30" s="84"/>
      <c r="J30" s="84"/>
      <c r="K30" s="84"/>
      <c r="L30" s="84"/>
      <c r="M30" s="84"/>
      <c r="N30" s="84"/>
      <c r="O30" s="84"/>
      <c r="P30" s="84"/>
      <c r="Q30" s="84"/>
      <c r="R30" s="84"/>
      <c r="S30" s="84"/>
      <c r="T30" s="84"/>
      <c r="U30" s="84"/>
      <c r="V30" s="84"/>
      <c r="W30" s="84"/>
      <c r="X30" s="84"/>
      <c r="Y30" s="36"/>
      <c r="Z30" s="36"/>
      <c r="AA30" s="36"/>
      <c r="AB30" s="36"/>
      <c r="AC30" s="37"/>
    </row>
    <row r="31" spans="1:29">
      <c r="A31" s="131"/>
      <c r="B31" s="84"/>
      <c r="C31" s="139" t="s">
        <v>167</v>
      </c>
      <c r="D31" s="140"/>
      <c r="E31" s="134"/>
      <c r="F31" s="84"/>
      <c r="G31" s="84"/>
      <c r="H31" s="84"/>
      <c r="I31" s="84"/>
      <c r="J31" s="84"/>
      <c r="K31" s="84"/>
      <c r="L31" s="84"/>
      <c r="M31" s="84"/>
      <c r="N31" s="84"/>
      <c r="O31" s="84"/>
      <c r="P31" s="84"/>
      <c r="Q31" s="84"/>
      <c r="R31" s="84"/>
      <c r="S31" s="84"/>
      <c r="T31" s="84"/>
      <c r="U31" s="84"/>
      <c r="V31" s="84"/>
      <c r="W31" s="84"/>
      <c r="X31" s="84"/>
      <c r="Y31" s="36"/>
      <c r="Z31" s="36"/>
      <c r="AA31" s="36"/>
      <c r="AB31" s="36"/>
      <c r="AC31" s="37"/>
    </row>
    <row r="32" spans="1:29">
      <c r="A32" s="132"/>
      <c r="B32" s="84"/>
      <c r="C32" s="127" t="s">
        <v>113</v>
      </c>
      <c r="D32" s="129"/>
      <c r="E32" s="135"/>
      <c r="F32" s="84"/>
      <c r="G32" s="84"/>
      <c r="H32" s="84"/>
      <c r="I32" s="84"/>
      <c r="J32" s="84"/>
      <c r="K32" s="84"/>
      <c r="L32" s="84"/>
      <c r="M32" s="84"/>
      <c r="N32" s="84"/>
      <c r="O32" s="84"/>
      <c r="P32" s="84"/>
      <c r="Q32" s="84"/>
      <c r="R32" s="84"/>
      <c r="S32" s="84"/>
      <c r="T32" s="84"/>
      <c r="U32" s="84"/>
      <c r="V32" s="84"/>
      <c r="W32" s="84"/>
      <c r="X32" s="84"/>
      <c r="Y32" s="40"/>
      <c r="Z32" s="40"/>
      <c r="AA32" s="40"/>
      <c r="AB32" s="40"/>
      <c r="AC32" s="35"/>
    </row>
  </sheetData>
  <mergeCells count="30">
    <mergeCell ref="C26:D26"/>
    <mergeCell ref="A27:A32"/>
    <mergeCell ref="B27:D27"/>
    <mergeCell ref="E27:E32"/>
    <mergeCell ref="C28:D28"/>
    <mergeCell ref="C29:D29"/>
    <mergeCell ref="C30:D30"/>
    <mergeCell ref="C31:D31"/>
    <mergeCell ref="C32:D32"/>
    <mergeCell ref="A22:A26"/>
    <mergeCell ref="B22:D22"/>
    <mergeCell ref="E22:E26"/>
    <mergeCell ref="C23:D23"/>
    <mergeCell ref="C24:D24"/>
    <mergeCell ref="E4:E7"/>
    <mergeCell ref="C5:D5"/>
    <mergeCell ref="C6:D6"/>
    <mergeCell ref="C7:D7"/>
    <mergeCell ref="C25:D25"/>
    <mergeCell ref="C14:C15"/>
    <mergeCell ref="A8:A21"/>
    <mergeCell ref="B8:D8"/>
    <mergeCell ref="E8:E21"/>
    <mergeCell ref="C9:C13"/>
    <mergeCell ref="C16:C20"/>
    <mergeCell ref="B1:D1"/>
    <mergeCell ref="B2:D2"/>
    <mergeCell ref="B3:D3"/>
    <mergeCell ref="A4:A7"/>
    <mergeCell ref="B4:D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Ryan Fachri Nasution</dc:creator>
  <cp:keywords/>
  <dc:description/>
  <cp:lastModifiedBy/>
  <cp:revision/>
  <dcterms:created xsi:type="dcterms:W3CDTF">2026-04-17T08:03:21Z</dcterms:created>
  <dcterms:modified xsi:type="dcterms:W3CDTF">2026-07-14T07:02:44Z</dcterms:modified>
  <cp:category/>
  <cp:contentStatus/>
</cp:coreProperties>
</file>