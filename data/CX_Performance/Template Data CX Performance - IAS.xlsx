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injourneygroup-my.sharepoint.com/personal/cx_injourney_id/Documents/TEMPLATE DATA AKTIVITAS DAN DATA PERFORMA/"/>
    </mc:Choice>
  </mc:AlternateContent>
  <xr:revisionPtr revIDLastSave="0" documentId="8_{5FEB1385-A3FF-4F0C-A6EC-632CE1DF9A8B}" xr6:coauthVersionLast="47" xr6:coauthVersionMax="47" xr10:uidLastSave="{00000000-0000-0000-0000-000000000000}"/>
  <bookViews>
    <workbookView xWindow="-110" yWindow="-110" windowWidth="19420" windowHeight="11500" activeTab="1" xr2:uid="{5642AB73-D76C-48EF-8128-D9F019DC01D4}"/>
  </bookViews>
  <sheets>
    <sheet name="Data Performance" sheetId="2" r:id="rId1"/>
    <sheet name="Data Statistik"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2" l="1"/>
  <c r="T9" i="2"/>
  <c r="U9" i="2"/>
  <c r="V9" i="2"/>
  <c r="W9" i="2"/>
  <c r="R9" i="2"/>
  <c r="I7" i="4"/>
  <c r="F3" i="4"/>
  <c r="G6" i="4"/>
  <c r="H6" i="4"/>
  <c r="I6" i="4"/>
  <c r="J6" i="4"/>
  <c r="K6" i="4"/>
  <c r="L6" i="4"/>
  <c r="M6" i="4"/>
  <c r="N6" i="4"/>
  <c r="O6" i="4"/>
  <c r="P6" i="4"/>
  <c r="Q6" i="4"/>
  <c r="R6" i="4"/>
  <c r="S6" i="4"/>
  <c r="T6" i="4"/>
  <c r="U6" i="4"/>
  <c r="V6" i="4"/>
  <c r="F6" i="4"/>
  <c r="G5" i="4"/>
  <c r="H5" i="4"/>
  <c r="I5" i="4"/>
  <c r="J5" i="4"/>
  <c r="K5" i="4"/>
  <c r="L5" i="4"/>
  <c r="M5" i="4"/>
  <c r="N5" i="4"/>
  <c r="O5" i="4"/>
  <c r="P5" i="4"/>
  <c r="Q5" i="4"/>
  <c r="R5" i="4"/>
  <c r="S5" i="4"/>
  <c r="T5" i="4"/>
  <c r="U5" i="4"/>
  <c r="V5" i="4"/>
  <c r="G7" i="4"/>
  <c r="H7" i="4"/>
  <c r="J7" i="4"/>
  <c r="K7" i="4"/>
  <c r="L7" i="4"/>
  <c r="M7" i="4"/>
  <c r="N7" i="4"/>
  <c r="O7" i="4"/>
  <c r="P7" i="4"/>
  <c r="Q7" i="4"/>
  <c r="R7" i="4"/>
  <c r="S7" i="4"/>
  <c r="T7" i="4"/>
  <c r="U7" i="4"/>
  <c r="V7" i="4"/>
  <c r="G8" i="4"/>
  <c r="H8" i="4"/>
  <c r="I8" i="4"/>
  <c r="J8" i="4"/>
  <c r="K8" i="4"/>
  <c r="L8" i="4"/>
  <c r="M8" i="4"/>
  <c r="N8" i="4"/>
  <c r="O8" i="4"/>
  <c r="P8" i="4"/>
  <c r="Q8" i="4"/>
  <c r="R8" i="4"/>
  <c r="S8" i="4"/>
  <c r="T8" i="4"/>
  <c r="U8" i="4"/>
  <c r="V8" i="4"/>
  <c r="G9" i="4"/>
  <c r="H9" i="4"/>
  <c r="I9" i="4"/>
  <c r="J9" i="4"/>
  <c r="K9" i="4"/>
  <c r="L9" i="4"/>
  <c r="M9" i="4"/>
  <c r="N9" i="4"/>
  <c r="O9" i="4"/>
  <c r="P9" i="4"/>
  <c r="Q9" i="4"/>
  <c r="R9" i="4"/>
  <c r="S9" i="4"/>
  <c r="T9" i="4"/>
  <c r="U9" i="4"/>
  <c r="V9" i="4"/>
  <c r="G10" i="4"/>
  <c r="H10" i="4"/>
  <c r="I10" i="4"/>
  <c r="J10" i="4"/>
  <c r="K10" i="4"/>
  <c r="L10" i="4"/>
  <c r="M10" i="4"/>
  <c r="N10" i="4"/>
  <c r="O10" i="4"/>
  <c r="P10" i="4"/>
  <c r="Q10" i="4"/>
  <c r="R10" i="4"/>
  <c r="S10" i="4"/>
  <c r="T10" i="4"/>
  <c r="U10" i="4"/>
  <c r="V10" i="4"/>
  <c r="G11" i="4"/>
  <c r="H11" i="4"/>
  <c r="I11" i="4"/>
  <c r="J11" i="4"/>
  <c r="K11" i="4"/>
  <c r="L11" i="4"/>
  <c r="M11" i="4"/>
  <c r="N11" i="4"/>
  <c r="O11" i="4"/>
  <c r="P11" i="4"/>
  <c r="Q11" i="4"/>
  <c r="R11" i="4"/>
  <c r="S11" i="4"/>
  <c r="T11" i="4"/>
  <c r="U11" i="4"/>
  <c r="V11" i="4"/>
  <c r="G12" i="4"/>
  <c r="H12" i="4"/>
  <c r="I12" i="4"/>
  <c r="J12" i="4"/>
  <c r="K12" i="4"/>
  <c r="L12" i="4"/>
  <c r="M12" i="4"/>
  <c r="N12" i="4"/>
  <c r="O12" i="4"/>
  <c r="P12" i="4"/>
  <c r="Q12" i="4"/>
  <c r="R12" i="4"/>
  <c r="S12" i="4"/>
  <c r="T12" i="4"/>
  <c r="U12" i="4"/>
  <c r="V12" i="4"/>
  <c r="G13" i="4"/>
  <c r="H13" i="4"/>
  <c r="I13" i="4"/>
  <c r="J13" i="4"/>
  <c r="K13" i="4"/>
  <c r="L13" i="4"/>
  <c r="M13" i="4"/>
  <c r="N13" i="4"/>
  <c r="O13" i="4"/>
  <c r="P13" i="4"/>
  <c r="Q13" i="4"/>
  <c r="R13" i="4"/>
  <c r="S13" i="4"/>
  <c r="T13" i="4"/>
  <c r="U13" i="4"/>
  <c r="V13" i="4"/>
  <c r="F5" i="4"/>
  <c r="F11" i="4"/>
  <c r="F10" i="4"/>
  <c r="F9" i="4"/>
  <c r="F8" i="4"/>
  <c r="F7" i="4"/>
  <c r="F13" i="4"/>
  <c r="F12" i="4"/>
  <c r="W29" i="2"/>
  <c r="V29" i="2"/>
  <c r="R29" i="2"/>
  <c r="T29" i="2"/>
  <c r="U29" i="2"/>
  <c r="S29" i="2"/>
  <c r="P29" i="2"/>
  <c r="O29" i="2"/>
  <c r="N29" i="2"/>
  <c r="M29" i="2"/>
  <c r="L29" i="2"/>
  <c r="K29" i="2"/>
  <c r="J29" i="2"/>
  <c r="I29" i="2"/>
  <c r="H29" i="2"/>
  <c r="G29" i="2"/>
  <c r="F29" i="2"/>
  <c r="E29" i="2"/>
  <c r="Q28" i="2"/>
  <c r="Q27" i="2"/>
  <c r="Q26" i="2"/>
  <c r="Q25" i="2"/>
  <c r="Q18" i="2"/>
  <c r="Q16" i="2"/>
  <c r="Q14" i="2"/>
  <c r="Q13" i="2"/>
  <c r="Q12" i="2"/>
  <c r="Q11" i="2"/>
  <c r="P10" i="2"/>
  <c r="P9" i="2" s="1"/>
  <c r="O10" i="2"/>
  <c r="N10" i="2"/>
  <c r="M10" i="2"/>
  <c r="M9" i="2" s="1"/>
  <c r="L10" i="2"/>
  <c r="K10" i="2"/>
  <c r="K9" i="2" s="1"/>
  <c r="J10" i="2"/>
  <c r="I10" i="2"/>
  <c r="I9" i="2" s="1"/>
  <c r="H10" i="2"/>
  <c r="H9" i="2" s="1"/>
  <c r="G10" i="2"/>
  <c r="N9" i="2"/>
  <c r="L9" i="2"/>
  <c r="J9" i="2"/>
  <c r="V3" i="4" l="1"/>
  <c r="U3" i="4"/>
  <c r="T3" i="4"/>
  <c r="S3" i="4"/>
  <c r="R3" i="4"/>
  <c r="Q3" i="4"/>
  <c r="P3" i="4"/>
  <c r="O3" i="4"/>
  <c r="N3" i="4"/>
  <c r="M3" i="4"/>
  <c r="L3" i="4"/>
  <c r="K3" i="4"/>
  <c r="J3" i="4"/>
  <c r="I3" i="4"/>
  <c r="H3" i="4"/>
  <c r="G3" i="4"/>
  <c r="Q29" i="2"/>
  <c r="G9" i="2"/>
  <c r="Q10" i="2"/>
  <c r="O9" i="2"/>
</calcChain>
</file>

<file path=xl/sharedStrings.xml><?xml version="1.0" encoding="utf-8"?>
<sst xmlns="http://schemas.openxmlformats.org/spreadsheetml/2006/main" count="1539" uniqueCount="134">
  <si>
    <t>CUSTOMER EXPERIENCE PERFORMANCE DATA</t>
  </si>
  <si>
    <t>2025 - 2026</t>
  </si>
  <si>
    <t>IAS</t>
  </si>
  <si>
    <t>No</t>
  </si>
  <si>
    <t>Parameters</t>
  </si>
  <si>
    <t>Unit</t>
  </si>
  <si>
    <t>Target</t>
  </si>
  <si>
    <t>Jan</t>
  </si>
  <si>
    <t>Feb</t>
  </si>
  <si>
    <t>Mar</t>
  </si>
  <si>
    <t>Apr</t>
  </si>
  <si>
    <t>May</t>
  </si>
  <si>
    <t>Jun</t>
  </si>
  <si>
    <t>Jul</t>
  </si>
  <si>
    <t>Aug</t>
  </si>
  <si>
    <t>Sep</t>
  </si>
  <si>
    <t>Oct</t>
  </si>
  <si>
    <t>Nov</t>
  </si>
  <si>
    <t>Dec</t>
  </si>
  <si>
    <t>Total</t>
  </si>
  <si>
    <t>June</t>
  </si>
  <si>
    <t>Customer Satisfaction</t>
  </si>
  <si>
    <t>CSAT - Overall</t>
  </si>
  <si>
    <t>Scale 1-5</t>
  </si>
  <si>
    <t>N/A</t>
  </si>
  <si>
    <t>CSAT - QR Code Survey</t>
  </si>
  <si>
    <t>CSAT - Lounge</t>
  </si>
  <si>
    <t>CSAT - Toilet</t>
  </si>
  <si>
    <t>CSAT - BSS</t>
  </si>
  <si>
    <t>CSAT - Cargo Terminal</t>
  </si>
  <si>
    <t>Call Center Performance (Gapura Angkasa)</t>
  </si>
  <si>
    <t>Volume of Call</t>
  </si>
  <si>
    <t>Numbers</t>
  </si>
  <si>
    <t>First Call Resolution</t>
  </si>
  <si>
    <t>Percentage (%)</t>
  </si>
  <si>
    <t>Service Level</t>
  </si>
  <si>
    <t>Social Media Monitoring</t>
  </si>
  <si>
    <t>Volume of Interaction</t>
  </si>
  <si>
    <t>Net Sentiment Score</t>
  </si>
  <si>
    <t>% Positive (Maximize)</t>
  </si>
  <si>
    <t>Average Response Time</t>
  </si>
  <si>
    <t>Hours</t>
  </si>
  <si>
    <t>Response to Sentiment Ratio</t>
  </si>
  <si>
    <t>0.00 - 1.00</t>
  </si>
  <si>
    <t>0,2-0,7 (Maximize)</t>
  </si>
  <si>
    <t>Complaint Handling</t>
  </si>
  <si>
    <t>Total Complaint</t>
  </si>
  <si>
    <t>Completed</t>
  </si>
  <si>
    <t>Progress</t>
  </si>
  <si>
    <t>Untouch</t>
  </si>
  <si>
    <t>Complaint Resolution Rate</t>
  </si>
  <si>
    <t>Average Time Resolution</t>
  </si>
  <si>
    <t>Day</t>
  </si>
  <si>
    <t>Note :
1. Data First Call Resolution tidak tersedia karena keterbatasan sistem contact center yang digunakan oleh Gapura serta tidak dilengkapi dengan skema ticketing system
2. Jenis Call yang saat ini dijalankan oleh Contact Center Gapura hanya bersifat Inbound Call, apabila ada eskalasi lebih lanjut di internal, metode manual (chat by whatsapp dari PIC Product kepada customer) masih digunakan untuk melakukan follow up kepada customer.
3. Sebagian besar topik pada call adalah mengenai informasi &amp; reservasi produk Joumpa dan Gapura Learning Center</t>
  </si>
  <si>
    <t>Item Data</t>
  </si>
  <si>
    <t>Keterangan Pengisian</t>
  </si>
  <si>
    <t>Jumlah Pengunjung</t>
  </si>
  <si>
    <t>Data Total Pengunjung (Per Cabang / Line of Business)</t>
  </si>
  <si>
    <t>Total Interaksi</t>
  </si>
  <si>
    <t>Total Interaksi (Per Cabang / Line of Business) dari Voice of Customer (pengaduan, permintaan/reservasi/product inquiry, pertanyaan, informasi dan apresiasi).</t>
  </si>
  <si>
    <t>Jumlah interaksi per-kategory</t>
  </si>
  <si>
    <t> </t>
  </si>
  <si>
    <t>fungsi call center Gapura diperuntukkan pemesanan / request</t>
  </si>
  <si>
    <t>a</t>
  </si>
  <si>
    <t>Pengaduan</t>
  </si>
  <si>
    <t>Bersumber dari Telepon, Customer Service/tatap muka, Email, Kotak Saran, Live Chat, Whatsapp, Instagram dan Twitter</t>
  </si>
  <si>
    <t>b</t>
  </si>
  <si>
    <t>Permintaan/Reservasi/Product Inquiry</t>
  </si>
  <si>
    <t>Interaksi pada Channel yang dimiliki IAS (Gapura) hanya menangani mengenai Permintaan Informasi Serta Pemesanan</t>
  </si>
  <si>
    <t>c</t>
  </si>
  <si>
    <t>Pertanyaan</t>
  </si>
  <si>
    <t>d</t>
  </si>
  <si>
    <t>Informasi</t>
  </si>
  <si>
    <t>e</t>
  </si>
  <si>
    <t>Apresiasi</t>
  </si>
  <si>
    <t>f</t>
  </si>
  <si>
    <t>Lost and Found</t>
  </si>
  <si>
    <t>g</t>
  </si>
  <si>
    <t>Priority Service</t>
  </si>
  <si>
    <t>h</t>
  </si>
  <si>
    <t>Saran</t>
  </si>
  <si>
    <t>i</t>
  </si>
  <si>
    <t>Laporan</t>
  </si>
  <si>
    <t>Interaksi per channel</t>
  </si>
  <si>
    <t>Telepon</t>
  </si>
  <si>
    <t>Customer Sevice/tatap muka</t>
  </si>
  <si>
    <t>Chatmail (Email)</t>
  </si>
  <si>
    <t>Kotak Saran</t>
  </si>
  <si>
    <t>Live Chat</t>
  </si>
  <si>
    <t>SP4N Lapor!</t>
  </si>
  <si>
    <t>Whatsapp</t>
  </si>
  <si>
    <t>Instagram</t>
  </si>
  <si>
    <t>Twitter</t>
  </si>
  <si>
    <t>Voice/Call Center</t>
  </si>
  <si>
    <t>Jumlah Customer Resolution per Service Level Agreement (SLA)</t>
  </si>
  <si>
    <t>Kategorisasi SLA disesuaikan dengan SLA yang di terapkan di masing-masing member (Per Cabang / Line of Business)</t>
  </si>
  <si>
    <t>SLA dari pemenuhan fungsi call center PT Gapura Angkasa yang diperuntukan pemesanan/request tidak dapat disajikan dengan justifikasi sebagai berikut:
1. Tidak tersedianya data parameter tersebut pada backend system call center milik gapura karena penggunaan fitur yang basic, apabila dikembangkan fiturnya akan menimbulkan biaya
2. Follow up atas order yang diterima secara historikal akan di follow up oleh tim komersial kepada customer secara langsung dan di handle oleh unit yang berbeda dengan unit call center, sehingga tracking data tidak dapat dicatatkan</t>
  </si>
  <si>
    <t>FCR (Frist Contact Resolution)</t>
  </si>
  <si>
    <t>Jumlah kasus yang selesai pada kontak pertama/Total Kasus yang Diterima x 100%</t>
  </si>
  <si>
    <t>&lt; 1 hari</t>
  </si>
  <si>
    <t>&lt; 7 hari</t>
  </si>
  <si>
    <t>&gt; 30 hari</t>
  </si>
  <si>
    <t>Lainnya (silahkan ditambahkan)</t>
  </si>
  <si>
    <t>Average Handling Time (Call/Contact Center)</t>
  </si>
  <si>
    <t>(Total Talk Time+Total Hold Time+Total ACW)/Jumlah Interaksi yang Ditangani</t>
  </si>
  <si>
    <t>Untuk daftar channel dapat di tambahkan sesuai dengan channel yang ada di member (Per Cabang / Line of Business)</t>
  </si>
  <si>
    <t>Email</t>
  </si>
  <si>
    <t>Whtasapp</t>
  </si>
  <si>
    <t>CP CX Injourney Group</t>
  </si>
  <si>
    <t>(Erwan) 08213354446</t>
  </si>
  <si>
    <t>(Rumiris) 081807882087</t>
  </si>
  <si>
    <t>(Rikza) 081539393436</t>
  </si>
  <si>
    <t>Definisi</t>
  </si>
  <si>
    <t>Bentuk ketidakpuasan Pelanggan terhadap produk, jasa, atau pelayanan yang diterima, baik terkait kualitas, proses, maupun hasil, yang disampaikan dengan harapan adanya perbaikan atau penyelesaian.</t>
  </si>
  <si>
    <t>Bentuk kebutuhan atau keinginan pelanggan terhadap suatu layanan, informasi, atau tindakan tertentu dari perusahaan yang belum tentu berkaitan dengan masalah atau ketidakpuasan.</t>
  </si>
  <si>
    <t>Bentuk permohonan informasi atau klarifikasi dari Pelanggan terkait produk, jasa, kebijakan, atau prosedur yang dimiliki organisasi.</t>
  </si>
  <si>
    <t>Bentuk komunikasi dari pelanggan berupa pemberian data, masukan, atau laporan yang dapat bersifat netral, informatif, atau sebagai bahan pertimbangan bagi organisasi.</t>
  </si>
  <si>
    <t>Bentuk ungkapan kepuasan atau penghargaan dari Pelanggan terhadap kualitas produk, jasa, pelayanan, atau pengalaman yang diberikan oleh organisasi.</t>
  </si>
  <si>
    <t>Layanan pengelolaan barang hilang atau tertinggal yang mencakup proses penerimaan laporan, identifikasi, penyimpanan, penelusuran, verifikasi kepemilikan, hingga pengembalian barang kepada pemilik sesuai dengan prosedur yang berlaku</t>
  </si>
  <si>
    <t>Layanan yang diberikan dengan tingkat prioritas kepada pelanggan yang memenuhi kriteria tertentu atau memiliki kebutuhan khusus, guna memastikan pelayanan diberikan secara cepat, tepat, aman, nyaman, dan sesuai dengan standar pelayanan yang berlaku.</t>
  </si>
  <si>
    <t>Service Level Agreement</t>
  </si>
  <si>
    <t>Kesepakatan tingkat layanan yang menetapkan standar waktu/respons/penyelesaian layanan yang harus dipenuhi.</t>
  </si>
  <si>
    <t>Customer Resolution</t>
  </si>
  <si>
    <t>Proses penyelesaian masalah, pertanyaan, atau permintaan pelanggan hingga pelanggan memperoleh solusi yang sesuai dan kebutuhannya dianggap telah terpenuhi</t>
  </si>
  <si>
    <t>Frist Contact Resolution (FCR)</t>
  </si>
  <si>
    <t>Persentase interaksi pelanggan yang berhasil diselesaikan secara tuntas pada kontak pertama, sehingga pelanggan tidak perlu melakukan kontak ulang terkait isu yang sama.</t>
  </si>
  <si>
    <t>Average Handling Time (Call Center/Contact Center)</t>
  </si>
  <si>
    <t>Rata-rata durasi yang diperlukan untuk menangani satu interaksi pelanggan, yang mencakup waktu berbicara (talk time), waktu menunggu (hold time), dan waktu penyelesaian administrasi setelah interaksi (after call work/ACW).</t>
  </si>
  <si>
    <t>Total Talk Time</t>
  </si>
  <si>
    <t>Waktu agent berkomunikasi langsung dengan pelanggan</t>
  </si>
  <si>
    <t>Total Hold Time</t>
  </si>
  <si>
    <t>Waktu pelanggan menunggu saat agent melakukan pengecekan atau koordinasi</t>
  </si>
  <si>
    <t>Total After Call Work (ACW)</t>
  </si>
  <si>
    <t>Waktu yang digunakan agent setelah interaksi berakhir untuk mencatat hasil, mengisi sistem, atau menyelesaikan administrasi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</si>
</sst>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font>
      <sz val="11"/>
      <color theme="1"/>
      <name val="Segoe UI"/>
      <family val="2"/>
    </font>
    <font>
      <b/>
      <sz val="11"/>
      <color theme="1"/>
      <name val="Segoe UI"/>
      <family val="2"/>
    </font>
    <font>
      <b/>
      <sz val="14"/>
      <color theme="1"/>
      <name val="Segoe UI"/>
      <family val="2"/>
    </font>
    <font>
      <sz val="11"/>
      <color theme="1"/>
      <name val="Segoe UI"/>
      <family val="2"/>
    </font>
    <font>
      <b/>
      <sz val="11"/>
      <name val="Calibri"/>
      <family val="2"/>
    </font>
    <font>
      <b/>
      <sz val="11"/>
      <color rgb="FF000000"/>
      <name val="Calibri"/>
      <family val="2"/>
    </font>
    <font>
      <sz val="11"/>
      <color theme="1"/>
      <name val="Calibri"/>
      <family val="2"/>
    </font>
    <font>
      <sz val="11"/>
      <color theme="1"/>
      <name val="Calibri"/>
    </font>
    <font>
      <sz val="10"/>
      <color theme="1"/>
      <name val="Arial"/>
      <charset val="1"/>
    </font>
    <font>
      <b/>
      <sz val="10"/>
      <color rgb="FF000000"/>
      <name val="Arial"/>
    </font>
    <font>
      <sz val="10"/>
      <color rgb="FF000000"/>
      <name val="Arial"/>
    </font>
    <font>
      <i/>
      <sz val="10"/>
      <color rgb="FF000000"/>
      <name val="Arial"/>
    </font>
    <font>
      <i/>
      <sz val="10"/>
      <color rgb="FF000000"/>
      <name val="Arial"/>
      <family val="2"/>
    </font>
    <font>
      <sz val="10"/>
      <color rgb="FF000000"/>
      <name val="Arial"/>
      <family val="2"/>
    </font>
    <font>
      <sz val="11"/>
      <color rgb="FF000000"/>
      <name val="Calibri"/>
    </font>
    <font>
      <b/>
      <sz val="10"/>
      <color rgb="FF000000"/>
      <name val="Arial"/>
      <family val="2"/>
    </font>
    <font>
      <sz val="12"/>
      <color rgb="FF000000"/>
      <name val="Calibri"/>
    </font>
    <font>
      <sz val="10"/>
      <name val="Arial"/>
      <family val="2"/>
    </font>
    <font>
      <sz val="10"/>
      <name val="Arial"/>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style="thin">
        <color rgb="FF000000"/>
      </left>
      <right style="thin">
        <color rgb="FF000000"/>
      </right>
      <top/>
      <bottom/>
      <diagonal/>
    </border>
    <border>
      <left style="thin">
        <color indexed="64"/>
      </left>
      <right/>
      <top/>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rgb="FF000000"/>
      </bottom>
      <diagonal/>
    </border>
    <border>
      <left/>
      <right style="thin">
        <color rgb="FF000000"/>
      </right>
      <top style="thin">
        <color rgb="FF000000"/>
      </top>
      <bottom/>
      <diagonal/>
    </border>
    <border>
      <left/>
      <right/>
      <top/>
      <bottom style="thin">
        <color indexed="64"/>
      </bottom>
      <diagonal/>
    </border>
    <border>
      <left/>
      <right/>
      <top style="thin">
        <color indexed="64"/>
      </top>
      <bottom/>
      <diagonal/>
    </border>
  </borders>
  <cellStyleXfs count="2">
    <xf numFmtId="0" fontId="0" fillId="0" borderId="0"/>
    <xf numFmtId="9" fontId="3" fillId="0" borderId="0" applyFont="0" applyFill="0" applyBorder="0" applyAlignment="0" applyProtection="0"/>
  </cellStyleXfs>
  <cellXfs count="158">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0" fillId="0" borderId="0" xfId="0" applyAlignment="1">
      <alignment horizontal="center"/>
    </xf>
    <xf numFmtId="0" fontId="1" fillId="0" borderId="0" xfId="0" applyFont="1"/>
    <xf numFmtId="0" fontId="6" fillId="0" borderId="0" xfId="0" applyFont="1"/>
    <xf numFmtId="0" fontId="5" fillId="0" borderId="2" xfId="0" applyFont="1" applyBorder="1" applyAlignment="1">
      <alignment horizontal="center"/>
    </xf>
    <xf numFmtId="0" fontId="6" fillId="0" borderId="4" xfId="0" applyFont="1" applyBorder="1"/>
    <xf numFmtId="0" fontId="6" fillId="0" borderId="4" xfId="0" applyFont="1" applyBorder="1" applyAlignment="1">
      <alignment horizontal="center"/>
    </xf>
    <xf numFmtId="2" fontId="6" fillId="0" borderId="4" xfId="0" applyNumberFormat="1" applyFont="1" applyBorder="1" applyAlignment="1">
      <alignment horizontal="center"/>
    </xf>
    <xf numFmtId="10" fontId="6" fillId="0" borderId="4" xfId="0" applyNumberFormat="1" applyFont="1" applyBorder="1" applyAlignment="1">
      <alignment horizontal="center" vertical="center"/>
    </xf>
    <xf numFmtId="10" fontId="6" fillId="0" borderId="4" xfId="0" applyNumberFormat="1" applyFont="1" applyBorder="1" applyAlignment="1">
      <alignment horizontal="center"/>
    </xf>
    <xf numFmtId="1" fontId="6" fillId="0" borderId="4" xfId="0" applyNumberFormat="1" applyFont="1" applyBorder="1" applyAlignment="1">
      <alignment horizontal="center"/>
    </xf>
    <xf numFmtId="0" fontId="6" fillId="0" borderId="4" xfId="0" applyFont="1" applyBorder="1" applyAlignment="1">
      <alignment vertical="top"/>
    </xf>
    <xf numFmtId="0" fontId="6" fillId="0" borderId="4" xfId="0" applyFont="1" applyBorder="1" applyAlignment="1">
      <alignment horizontal="center" vertical="top"/>
    </xf>
    <xf numFmtId="0" fontId="6" fillId="0" borderId="4" xfId="0" applyFont="1" applyBorder="1" applyAlignment="1">
      <alignment horizontal="center" vertical="top" wrapText="1"/>
    </xf>
    <xf numFmtId="9" fontId="6" fillId="0" borderId="4" xfId="0" applyNumberFormat="1" applyFont="1" applyBorder="1" applyAlignment="1">
      <alignment horizontal="center" vertical="center"/>
    </xf>
    <xf numFmtId="0" fontId="6" fillId="0" borderId="4" xfId="0" applyFont="1" applyBorder="1" applyAlignment="1">
      <alignment horizontal="center" vertical="center"/>
    </xf>
    <xf numFmtId="165" fontId="6" fillId="0" borderId="4" xfId="0" applyNumberFormat="1" applyFont="1" applyBorder="1" applyAlignment="1">
      <alignment horizontal="center" vertical="center"/>
    </xf>
    <xf numFmtId="9" fontId="6" fillId="0" borderId="4" xfId="1" applyFont="1" applyFill="1" applyBorder="1" applyAlignment="1">
      <alignment horizontal="center"/>
    </xf>
    <xf numFmtId="2" fontId="5" fillId="0" borderId="2" xfId="0" applyNumberFormat="1" applyFont="1" applyBorder="1" applyAlignment="1">
      <alignment horizontal="center"/>
    </xf>
    <xf numFmtId="2" fontId="6" fillId="0" borderId="2" xfId="0" applyNumberFormat="1" applyFont="1" applyBorder="1" applyAlignment="1">
      <alignment horizont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7" fillId="0" borderId="4" xfId="0" applyFont="1" applyBorder="1" applyAlignment="1">
      <alignment horizontal="center"/>
    </xf>
    <xf numFmtId="2" fontId="7" fillId="0" borderId="4" xfId="0" applyNumberFormat="1" applyFont="1" applyBorder="1" applyAlignment="1">
      <alignment horizontal="center"/>
    </xf>
    <xf numFmtId="9" fontId="7" fillId="0" borderId="4" xfId="1" applyFont="1" applyBorder="1" applyAlignment="1">
      <alignment horizontal="center"/>
    </xf>
    <xf numFmtId="0" fontId="7" fillId="0" borderId="4" xfId="0" applyFont="1" applyBorder="1" applyAlignment="1">
      <alignment horizontal="center" vertical="center"/>
    </xf>
    <xf numFmtId="10" fontId="7" fillId="0" borderId="4" xfId="0" applyNumberFormat="1" applyFont="1" applyBorder="1" applyAlignment="1">
      <alignment horizontal="center" vertical="center"/>
    </xf>
    <xf numFmtId="0" fontId="8" fillId="0" borderId="4" xfId="0" applyFont="1" applyBorder="1" applyAlignment="1">
      <alignment readingOrder="1"/>
    </xf>
    <xf numFmtId="164" fontId="6" fillId="0" borderId="4" xfId="0" applyNumberFormat="1" applyFont="1" applyBorder="1" applyAlignment="1">
      <alignment horizontal="center"/>
    </xf>
    <xf numFmtId="0" fontId="4" fillId="0" borderId="16" xfId="0" applyFont="1" applyBorder="1" applyAlignment="1">
      <alignment horizontal="center" vertical="center"/>
    </xf>
    <xf numFmtId="2" fontId="7" fillId="0" borderId="7" xfId="0" applyNumberFormat="1" applyFont="1" applyBorder="1" applyAlignment="1">
      <alignment horizontal="center"/>
    </xf>
    <xf numFmtId="0" fontId="7" fillId="0" borderId="7" xfId="0" applyFont="1" applyBorder="1" applyAlignment="1">
      <alignment horizontal="center"/>
    </xf>
    <xf numFmtId="0" fontId="7" fillId="0" borderId="7" xfId="0" applyFont="1" applyBorder="1" applyAlignment="1">
      <alignment horizontal="center" vertical="center"/>
    </xf>
    <xf numFmtId="0" fontId="6" fillId="0" borderId="7" xfId="0" applyFont="1" applyBorder="1" applyAlignment="1">
      <alignment horizontal="center"/>
    </xf>
    <xf numFmtId="10" fontId="7" fillId="0" borderId="7" xfId="0" applyNumberFormat="1" applyFont="1" applyBorder="1" applyAlignment="1">
      <alignment horizontal="center" vertical="center"/>
    </xf>
    <xf numFmtId="9" fontId="7" fillId="0" borderId="7" xfId="1" applyFont="1" applyBorder="1" applyAlignment="1">
      <alignment horizontal="center"/>
    </xf>
    <xf numFmtId="0" fontId="9" fillId="0" borderId="4" xfId="0" applyFont="1" applyBorder="1" applyAlignment="1">
      <alignment horizontal="center" vertical="center"/>
    </xf>
    <xf numFmtId="0" fontId="9" fillId="0" borderId="9" xfId="0" applyFont="1" applyBorder="1"/>
    <xf numFmtId="17" fontId="9" fillId="0" borderId="9" xfId="0" applyNumberFormat="1" applyFont="1" applyBorder="1"/>
    <xf numFmtId="0" fontId="10" fillId="0" borderId="0" xfId="0" applyFont="1"/>
    <xf numFmtId="0" fontId="10" fillId="0" borderId="11" xfId="0" applyFont="1" applyBorder="1" applyAlignment="1">
      <alignment horizontal="center" vertical="center"/>
    </xf>
    <xf numFmtId="0" fontId="10" fillId="0" borderId="17" xfId="0" applyFont="1" applyBorder="1" applyAlignment="1">
      <alignment wrapText="1"/>
    </xf>
    <xf numFmtId="0" fontId="10" fillId="0" borderId="18" xfId="0" applyFont="1" applyBorder="1" applyAlignment="1">
      <alignment wrapText="1"/>
    </xf>
    <xf numFmtId="0" fontId="10" fillId="0" borderId="17" xfId="0" applyFont="1" applyBorder="1"/>
    <xf numFmtId="0" fontId="10" fillId="0" borderId="15" xfId="0" applyFont="1" applyBorder="1" applyAlignment="1">
      <alignment horizontal="center" vertical="center"/>
    </xf>
    <xf numFmtId="0" fontId="10" fillId="0" borderId="5" xfId="0" applyFont="1" applyBorder="1" applyAlignment="1">
      <alignment wrapText="1"/>
    </xf>
    <xf numFmtId="0" fontId="13" fillId="0" borderId="17" xfId="0" applyFont="1" applyBorder="1"/>
    <xf numFmtId="0" fontId="10" fillId="0" borderId="23" xfId="0" applyFont="1" applyBorder="1" applyAlignment="1">
      <alignment wrapText="1"/>
    </xf>
    <xf numFmtId="0" fontId="11" fillId="0" borderId="17" xfId="0" applyFont="1" applyBorder="1"/>
    <xf numFmtId="0" fontId="10" fillId="0" borderId="12" xfId="0" applyFont="1" applyBorder="1"/>
    <xf numFmtId="0" fontId="11" fillId="0" borderId="17" xfId="0" applyFont="1" applyBorder="1" applyAlignment="1">
      <alignment wrapText="1"/>
    </xf>
    <xf numFmtId="0" fontId="10" fillId="2" borderId="17" xfId="0" applyFont="1" applyFill="1" applyBorder="1"/>
    <xf numFmtId="0" fontId="11" fillId="2" borderId="17" xfId="0" applyFont="1" applyFill="1" applyBorder="1"/>
    <xf numFmtId="0" fontId="10" fillId="2" borderId="12" xfId="0" applyFont="1" applyFill="1" applyBorder="1"/>
    <xf numFmtId="0" fontId="10" fillId="2" borderId="18" xfId="0" applyFont="1" applyFill="1" applyBorder="1"/>
    <xf numFmtId="0" fontId="10" fillId="2" borderId="23" xfId="0" applyFont="1" applyFill="1" applyBorder="1"/>
    <xf numFmtId="0" fontId="10" fillId="0" borderId="23" xfId="0" applyFont="1" applyBorder="1"/>
    <xf numFmtId="0" fontId="16" fillId="0" borderId="17" xfId="0" applyFont="1" applyBorder="1"/>
    <xf numFmtId="0" fontId="16" fillId="0" borderId="12" xfId="0" applyFont="1" applyBorder="1"/>
    <xf numFmtId="0" fontId="10" fillId="0" borderId="11" xfId="0" applyFont="1" applyBorder="1"/>
    <xf numFmtId="0" fontId="16" fillId="0" borderId="0" xfId="0" applyFont="1"/>
    <xf numFmtId="0" fontId="17" fillId="0" borderId="23" xfId="0" applyFont="1" applyBorder="1" applyAlignment="1">
      <alignment wrapText="1"/>
    </xf>
    <xf numFmtId="0" fontId="12" fillId="0" borderId="12" xfId="0" applyFont="1" applyBorder="1"/>
    <xf numFmtId="0" fontId="18" fillId="0" borderId="12" xfId="0" applyFont="1" applyBorder="1"/>
    <xf numFmtId="0" fontId="18" fillId="0" borderId="23" xfId="0" applyFont="1" applyBorder="1"/>
    <xf numFmtId="0" fontId="13" fillId="0" borderId="18" xfId="0" applyFont="1" applyBorder="1"/>
    <xf numFmtId="0" fontId="18" fillId="0" borderId="6" xfId="0" applyFont="1" applyBorder="1"/>
    <xf numFmtId="0" fontId="13" fillId="0" borderId="3" xfId="0" applyFont="1" applyBorder="1" applyAlignment="1">
      <alignment wrapText="1"/>
    </xf>
    <xf numFmtId="0" fontId="10" fillId="0" borderId="0" xfId="0" applyFont="1" applyAlignment="1">
      <alignment horizontal="center" vertical="center"/>
    </xf>
    <xf numFmtId="0" fontId="9" fillId="0" borderId="0" xfId="0" applyFont="1"/>
    <xf numFmtId="1" fontId="9" fillId="0" borderId="0" xfId="0" applyNumberFormat="1" applyFont="1"/>
    <xf numFmtId="0" fontId="15" fillId="0" borderId="0" xfId="0" applyFont="1"/>
    <xf numFmtId="0" fontId="10" fillId="0" borderId="1" xfId="0" applyFont="1" applyBorder="1"/>
    <xf numFmtId="0" fontId="13" fillId="0" borderId="23" xfId="0" applyFont="1" applyBorder="1"/>
    <xf numFmtId="0" fontId="13" fillId="0" borderId="23" xfId="0" applyFont="1" applyBorder="1" applyAlignment="1">
      <alignment wrapText="1"/>
    </xf>
    <xf numFmtId="0" fontId="10" fillId="0" borderId="21" xfId="0" applyFont="1" applyBorder="1" applyAlignment="1">
      <alignment horizontal="center"/>
    </xf>
    <xf numFmtId="0" fontId="4" fillId="0" borderId="11" xfId="0" applyFont="1" applyBorder="1" applyAlignment="1">
      <alignment horizontal="center" vertical="center"/>
    </xf>
    <xf numFmtId="0" fontId="0" fillId="0" borderId="4" xfId="0" applyBorder="1" applyAlignment="1">
      <alignment horizontal="center" vertical="center"/>
    </xf>
    <xf numFmtId="0" fontId="0" fillId="0" borderId="22" xfId="0" applyBorder="1" applyAlignment="1">
      <alignment horizontal="center" vertical="center"/>
    </xf>
    <xf numFmtId="9" fontId="7" fillId="0" borderId="4" xfId="1" applyFont="1" applyFill="1" applyBorder="1" applyAlignment="1">
      <alignment horizontal="center" vertical="center"/>
    </xf>
    <xf numFmtId="0" fontId="8" fillId="0" borderId="13" xfId="0" applyFont="1" applyBorder="1" applyAlignment="1">
      <alignment readingOrder="1"/>
    </xf>
    <xf numFmtId="0" fontId="10" fillId="0" borderId="4" xfId="0" applyFont="1" applyBorder="1"/>
    <xf numFmtId="0" fontId="16" fillId="0" borderId="4" xfId="0" applyFont="1" applyBorder="1"/>
    <xf numFmtId="0" fontId="8" fillId="0" borderId="14" xfId="0" applyFont="1" applyBorder="1" applyAlignment="1">
      <alignment readingOrder="1"/>
    </xf>
    <xf numFmtId="17" fontId="9" fillId="0" borderId="26" xfId="0" applyNumberFormat="1" applyFont="1" applyBorder="1"/>
    <xf numFmtId="0" fontId="10" fillId="0" borderId="4" xfId="0" applyFont="1" applyBorder="1" applyAlignment="1">
      <alignment horizontal="center" wrapText="1"/>
    </xf>
    <xf numFmtId="0" fontId="8" fillId="0" borderId="22" xfId="0" applyFont="1" applyBorder="1" applyAlignment="1">
      <alignment readingOrder="1"/>
    </xf>
    <xf numFmtId="0" fontId="13" fillId="0" borderId="12" xfId="0" applyFont="1" applyBorder="1"/>
    <xf numFmtId="0" fontId="10" fillId="2" borderId="4" xfId="0" applyFont="1" applyFill="1" applyBorder="1"/>
    <xf numFmtId="0" fontId="10" fillId="2" borderId="6" xfId="0" applyFont="1" applyFill="1" applyBorder="1"/>
    <xf numFmtId="0" fontId="11" fillId="0" borderId="23" xfId="0" applyFont="1" applyBorder="1"/>
    <xf numFmtId="0" fontId="11" fillId="0" borderId="4" xfId="0" applyFont="1" applyBorder="1"/>
    <xf numFmtId="0" fontId="11" fillId="0" borderId="18" xfId="0" applyFont="1" applyBorder="1"/>
    <xf numFmtId="0" fontId="14" fillId="0" borderId="17" xfId="0" applyFont="1" applyBorder="1"/>
    <xf numFmtId="0" fontId="8" fillId="0" borderId="0" xfId="0" applyFont="1"/>
    <xf numFmtId="0" fontId="8" fillId="0" borderId="0" xfId="0" applyFont="1" applyAlignment="1">
      <alignment vertical="top" wrapText="1"/>
    </xf>
    <xf numFmtId="0" fontId="10" fillId="0" borderId="18" xfId="0" applyFont="1" applyBorder="1"/>
    <xf numFmtId="0" fontId="10" fillId="0" borderId="3" xfId="0" applyFont="1" applyBorder="1"/>
    <xf numFmtId="0" fontId="10" fillId="0" borderId="20" xfId="0" applyFont="1" applyBorder="1"/>
    <xf numFmtId="0" fontId="10" fillId="0" borderId="21" xfId="0" applyFont="1" applyBorder="1"/>
    <xf numFmtId="0" fontId="10" fillId="0" borderId="27" xfId="0" applyFont="1" applyBorder="1"/>
    <xf numFmtId="0" fontId="14" fillId="0" borderId="21" xfId="0" applyFont="1" applyBorder="1"/>
    <xf numFmtId="10" fontId="6" fillId="0" borderId="7" xfId="0" applyNumberFormat="1" applyFont="1" applyBorder="1" applyAlignment="1">
      <alignment horizontal="center"/>
    </xf>
    <xf numFmtId="2" fontId="6" fillId="3" borderId="4" xfId="0" applyNumberFormat="1" applyFont="1" applyFill="1" applyBorder="1" applyAlignment="1">
      <alignment horizontal="center"/>
    </xf>
    <xf numFmtId="0" fontId="6" fillId="3" borderId="4" xfId="0" applyFont="1" applyFill="1" applyBorder="1" applyAlignment="1">
      <alignment horizontal="center"/>
    </xf>
    <xf numFmtId="0" fontId="7" fillId="3" borderId="4" xfId="0" applyFont="1" applyFill="1" applyBorder="1" applyAlignment="1">
      <alignment horizontal="center"/>
    </xf>
    <xf numFmtId="0" fontId="7" fillId="3" borderId="7" xfId="0" applyFont="1" applyFill="1" applyBorder="1" applyAlignment="1">
      <alignment horizontal="center"/>
    </xf>
    <xf numFmtId="2" fontId="7" fillId="3" borderId="4" xfId="0" applyNumberFormat="1" applyFont="1" applyFill="1" applyBorder="1" applyAlignment="1">
      <alignment horizontal="center"/>
    </xf>
    <xf numFmtId="2" fontId="7" fillId="3" borderId="7" xfId="0" applyNumberFormat="1" applyFont="1" applyFill="1" applyBorder="1" applyAlignment="1">
      <alignment horizontal="center"/>
    </xf>
    <xf numFmtId="0" fontId="6" fillId="0" borderId="0" xfId="0" applyFont="1" applyAlignment="1">
      <alignment horizontal="left" vertical="top" wrapText="1"/>
    </xf>
    <xf numFmtId="0" fontId="6" fillId="0" borderId="0" xfId="0" applyFont="1" applyAlignment="1">
      <alignment horizontal="left" vertical="top"/>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5" fillId="0" borderId="3"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7" xfId="0" applyFont="1" applyBorder="1" applyAlignment="1">
      <alignment horizontal="left"/>
    </xf>
    <xf numFmtId="0" fontId="5" fillId="0" borderId="8" xfId="0" applyFont="1" applyBorder="1" applyAlignment="1">
      <alignment horizontal="left"/>
    </xf>
    <xf numFmtId="0" fontId="5" fillId="0" borderId="9" xfId="0" applyFont="1" applyBorder="1" applyAlignment="1">
      <alignment horizontal="left"/>
    </xf>
    <xf numFmtId="0" fontId="5" fillId="0" borderId="4" xfId="0" applyFont="1" applyBorder="1" applyAlignment="1">
      <alignment horizontal="center"/>
    </xf>
    <xf numFmtId="0" fontId="5" fillId="0" borderId="26" xfId="0" applyFont="1" applyBorder="1" applyAlignment="1">
      <alignment horizontal="left"/>
    </xf>
    <xf numFmtId="0" fontId="5" fillId="0" borderId="18" xfId="0" applyFont="1" applyBorder="1" applyAlignment="1">
      <alignment horizontal="left"/>
    </xf>
    <xf numFmtId="0" fontId="10" fillId="0" borderId="20" xfId="0" applyFont="1" applyBorder="1" applyAlignment="1">
      <alignment wrapText="1"/>
    </xf>
    <xf numFmtId="0" fontId="13" fillId="0" borderId="20" xfId="0" applyFont="1" applyBorder="1" applyAlignment="1">
      <alignment wrapText="1"/>
    </xf>
    <xf numFmtId="0" fontId="13" fillId="0" borderId="24" xfId="0" applyFont="1" applyBorder="1" applyAlignment="1">
      <alignment wrapText="1"/>
    </xf>
    <xf numFmtId="0" fontId="10" fillId="0" borderId="4" xfId="0" applyFont="1" applyBorder="1" applyAlignment="1">
      <alignment horizontal="center" vertical="center"/>
    </xf>
    <xf numFmtId="0" fontId="13" fillId="0" borderId="6" xfId="0" applyFont="1" applyBorder="1" applyAlignment="1">
      <alignment wrapText="1"/>
    </xf>
    <xf numFmtId="0" fontId="13" fillId="0" borderId="25" xfId="0" applyFont="1" applyBorder="1" applyAlignment="1">
      <alignment wrapText="1"/>
    </xf>
    <xf numFmtId="0" fontId="10" fillId="0" borderId="4" xfId="0" applyFont="1" applyBorder="1" applyAlignment="1">
      <alignment horizontal="center" wrapText="1"/>
    </xf>
    <xf numFmtId="0" fontId="10" fillId="0" borderId="22" xfId="0" applyFont="1" applyBorder="1" applyAlignment="1">
      <alignment horizontal="center" wrapText="1"/>
    </xf>
    <xf numFmtId="0" fontId="10" fillId="0" borderId="22" xfId="0" applyFont="1" applyBorder="1" applyAlignment="1">
      <alignment horizontal="center" vertical="center"/>
    </xf>
    <xf numFmtId="0" fontId="10" fillId="0" borderId="15" xfId="0" applyFont="1" applyBorder="1" applyAlignment="1">
      <alignment horizontal="center" vertical="center"/>
    </xf>
    <xf numFmtId="0" fontId="10" fillId="0" borderId="11" xfId="0" applyFont="1" applyBorder="1" applyAlignment="1">
      <alignment horizontal="center" vertical="center"/>
    </xf>
    <xf numFmtId="0" fontId="9" fillId="0" borderId="8" xfId="0" applyFont="1" applyBorder="1" applyAlignment="1"/>
    <xf numFmtId="0" fontId="9" fillId="0" borderId="9" xfId="0" applyFont="1" applyBorder="1" applyAlignment="1"/>
    <xf numFmtId="0" fontId="11" fillId="0" borderId="8" xfId="0" applyFont="1" applyBorder="1" applyAlignment="1"/>
    <xf numFmtId="0" fontId="12" fillId="0" borderId="8" xfId="0" applyFont="1" applyBorder="1" applyAlignment="1"/>
    <xf numFmtId="0" fontId="11" fillId="0" borderId="19" xfId="0" applyFont="1" applyBorder="1" applyAlignment="1"/>
    <xf numFmtId="0" fontId="12" fillId="0" borderId="20" xfId="0" applyFont="1" applyBorder="1" applyAlignment="1"/>
    <xf numFmtId="0" fontId="12" fillId="0" borderId="28" xfId="0" applyFont="1" applyBorder="1" applyAlignment="1"/>
    <xf numFmtId="0" fontId="12" fillId="0" borderId="4" xfId="0" applyFont="1" applyBorder="1" applyAlignment="1"/>
    <xf numFmtId="0" fontId="9" fillId="0" borderId="12" xfId="0" applyFont="1" applyBorder="1" applyAlignment="1"/>
    <xf numFmtId="0" fontId="15" fillId="0" borderId="8" xfId="0" applyFont="1" applyBorder="1" applyAlignment="1"/>
    <xf numFmtId="0" fontId="15" fillId="0" borderId="12" xfId="0" applyFont="1" applyBorder="1" applyAlignment="1"/>
    <xf numFmtId="0" fontId="10" fillId="0" borderId="19" xfId="0" applyFont="1" applyBorder="1" applyAlignment="1"/>
    <xf numFmtId="0" fontId="15" fillId="0" borderId="20" xfId="0" applyFont="1" applyBorder="1" applyAlignment="1"/>
    <xf numFmtId="0" fontId="15" fillId="0" borderId="3" xfId="0" applyFont="1" applyBorder="1" applyAlignment="1"/>
    <xf numFmtId="0" fontId="11" fillId="0" borderId="20" xfId="0" applyFont="1" applyBorder="1" applyAlignment="1"/>
    <xf numFmtId="0" fontId="11" fillId="0" borderId="3" xfId="0" applyFont="1" applyBorder="1" applyAlignment="1"/>
    <xf numFmtId="0" fontId="11" fillId="0" borderId="24" xfId="0" applyFont="1" applyBorder="1" applyAlignment="1"/>
    <xf numFmtId="0" fontId="10" fillId="0" borderId="20" xfId="0" applyFont="1" applyBorder="1" applyAlignment="1"/>
    <xf numFmtId="0" fontId="10" fillId="0" borderId="3" xfId="0" applyFont="1" applyBorder="1" applyAlignment="1"/>
    <xf numFmtId="0" fontId="13" fillId="0" borderId="20" xfId="0" applyFont="1" applyBorder="1" applyAlignment="1"/>
    <xf numFmtId="0" fontId="13" fillId="0" borderId="3" xfId="0" applyFont="1" applyBorder="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6288-C48C-4FE1-9D1D-EEDFC84445C8}">
  <dimension ref="A1:W34"/>
  <sheetViews>
    <sheetView showGridLines="0" topLeftCell="A2" zoomScale="63" workbookViewId="0">
      <pane xSplit="2" topLeftCell="C9" activePane="topRight" state="frozen"/>
      <selection pane="topRight" activeCell="T27" sqref="T27"/>
    </sheetView>
  </sheetViews>
  <sheetFormatPr defaultRowHeight="16.5"/>
  <cols>
    <col min="2" max="2" width="23.5" bestFit="1" customWidth="1"/>
    <col min="3" max="3" width="12.5" customWidth="1"/>
    <col min="4" max="4" width="9.5" customWidth="1"/>
    <col min="21" max="21" width="9.125" bestFit="1" customWidth="1"/>
  </cols>
  <sheetData>
    <row r="1" spans="1:23">
      <c r="A1" s="4"/>
    </row>
    <row r="2" spans="1:23">
      <c r="A2" s="1" t="s">
        <v>0</v>
      </c>
    </row>
    <row r="3" spans="1:23">
      <c r="A3" s="2" t="s">
        <v>1</v>
      </c>
    </row>
    <row r="4" spans="1:23" ht="21">
      <c r="A4" s="3" t="s">
        <v>2</v>
      </c>
    </row>
    <row r="5" spans="1:23">
      <c r="A5" s="4"/>
      <c r="B5" s="5"/>
    </row>
    <row r="6" spans="1:23">
      <c r="A6" s="115" t="s">
        <v>3</v>
      </c>
      <c r="B6" s="116" t="s">
        <v>4</v>
      </c>
      <c r="C6" s="116" t="s">
        <v>5</v>
      </c>
      <c r="D6" s="117">
        <v>2025</v>
      </c>
      <c r="E6" s="118"/>
      <c r="F6" s="118"/>
      <c r="G6" s="118"/>
      <c r="H6" s="118"/>
      <c r="I6" s="118"/>
      <c r="J6" s="118"/>
      <c r="K6" s="118"/>
      <c r="L6" s="118"/>
      <c r="M6" s="118"/>
      <c r="N6" s="118"/>
      <c r="O6" s="118"/>
      <c r="P6" s="118"/>
      <c r="Q6" s="119"/>
      <c r="R6" s="123">
        <v>2026</v>
      </c>
      <c r="S6" s="123"/>
      <c r="T6" s="123"/>
      <c r="U6" s="123"/>
      <c r="V6" s="123"/>
      <c r="W6" s="123"/>
    </row>
    <row r="7" spans="1:23">
      <c r="A7" s="115"/>
      <c r="B7" s="116"/>
      <c r="C7" s="116"/>
      <c r="D7" s="25" t="s">
        <v>6</v>
      </c>
      <c r="E7" s="23" t="s">
        <v>7</v>
      </c>
      <c r="F7" s="23" t="s">
        <v>8</v>
      </c>
      <c r="G7" s="23" t="s">
        <v>9</v>
      </c>
      <c r="H7" s="23" t="s">
        <v>10</v>
      </c>
      <c r="I7" s="23" t="s">
        <v>11</v>
      </c>
      <c r="J7" s="23" t="s">
        <v>12</v>
      </c>
      <c r="K7" s="23" t="s">
        <v>13</v>
      </c>
      <c r="L7" s="23" t="s">
        <v>14</v>
      </c>
      <c r="M7" s="23" t="s">
        <v>15</v>
      </c>
      <c r="N7" s="23" t="s">
        <v>16</v>
      </c>
      <c r="O7" s="23" t="s">
        <v>17</v>
      </c>
      <c r="P7" s="23" t="s">
        <v>18</v>
      </c>
      <c r="Q7" s="23" t="s">
        <v>19</v>
      </c>
      <c r="R7" s="24" t="s">
        <v>7</v>
      </c>
      <c r="S7" s="24" t="s">
        <v>8</v>
      </c>
      <c r="T7" s="24" t="s">
        <v>9</v>
      </c>
      <c r="U7" s="24" t="s">
        <v>10</v>
      </c>
      <c r="V7" s="33" t="s">
        <v>11</v>
      </c>
      <c r="W7" s="80" t="s">
        <v>20</v>
      </c>
    </row>
    <row r="8" spans="1:23">
      <c r="A8" s="7">
        <v>1</v>
      </c>
      <c r="B8" s="120" t="s">
        <v>21</v>
      </c>
      <c r="C8" s="121"/>
      <c r="D8" s="121"/>
      <c r="E8" s="121"/>
      <c r="F8" s="121"/>
      <c r="G8" s="121"/>
      <c r="H8" s="121"/>
      <c r="I8" s="121"/>
      <c r="J8" s="121"/>
      <c r="K8" s="121"/>
      <c r="L8" s="121"/>
      <c r="M8" s="121"/>
      <c r="N8" s="121"/>
      <c r="O8" s="121"/>
      <c r="P8" s="121"/>
      <c r="Q8" s="121"/>
      <c r="R8" s="121"/>
      <c r="S8" s="121"/>
      <c r="T8" s="121"/>
      <c r="U8" s="121"/>
      <c r="V8" s="121"/>
      <c r="W8" s="124"/>
    </row>
    <row r="9" spans="1:23">
      <c r="A9" s="21"/>
      <c r="B9" s="8" t="s">
        <v>22</v>
      </c>
      <c r="C9" s="9" t="s">
        <v>23</v>
      </c>
      <c r="D9" s="9">
        <v>4.5</v>
      </c>
      <c r="E9" s="9" t="s">
        <v>24</v>
      </c>
      <c r="F9" s="9" t="s">
        <v>24</v>
      </c>
      <c r="G9" s="10">
        <f>AVERAGE(G10:G10)</f>
        <v>4.5549999999999997</v>
      </c>
      <c r="H9" s="10">
        <f>AVERAGE(H10:H10)</f>
        <v>4.4766666666666666</v>
      </c>
      <c r="I9" s="10">
        <f>AVERAGE(I10:I10)</f>
        <v>4.7449999999999992</v>
      </c>
      <c r="J9" s="10">
        <f>AVERAGE(J10:J10)</f>
        <v>4.6633333333333331</v>
      </c>
      <c r="K9" s="10">
        <f>AVERAGE(K10:K10)</f>
        <v>4.62</v>
      </c>
      <c r="L9" s="10">
        <f>AVERAGE(L10:L10)</f>
        <v>4.1724999999999994</v>
      </c>
      <c r="M9" s="10">
        <f>AVERAGE(M10:M10)</f>
        <v>4.71</v>
      </c>
      <c r="N9" s="10">
        <f>AVERAGE(N10:N10)</f>
        <v>4.6825000000000001</v>
      </c>
      <c r="O9" s="10">
        <f>AVERAGE(O10:O10)</f>
        <v>4.7625000000000011</v>
      </c>
      <c r="P9" s="10">
        <f>AVERAGE(P10:P10)</f>
        <v>4.7074999999999996</v>
      </c>
      <c r="Q9" s="10">
        <v>4.62</v>
      </c>
      <c r="R9" s="10">
        <f>R10</f>
        <v>4.6900000000000004</v>
      </c>
      <c r="S9" s="10">
        <f t="shared" ref="S9:W9" si="0">S10</f>
        <v>4.7300000000000004</v>
      </c>
      <c r="T9" s="10">
        <f t="shared" si="0"/>
        <v>4.7699999999999996</v>
      </c>
      <c r="U9" s="10">
        <f t="shared" si="0"/>
        <v>4.78</v>
      </c>
      <c r="V9" s="10">
        <f t="shared" si="0"/>
        <v>4.74</v>
      </c>
      <c r="W9" s="10">
        <f t="shared" si="0"/>
        <v>4.8</v>
      </c>
    </row>
    <row r="10" spans="1:23">
      <c r="A10" s="21"/>
      <c r="B10" s="8" t="s">
        <v>25</v>
      </c>
      <c r="C10" s="9" t="s">
        <v>23</v>
      </c>
      <c r="D10" s="9">
        <v>4.5</v>
      </c>
      <c r="E10" s="9" t="s">
        <v>24</v>
      </c>
      <c r="F10" s="9" t="s">
        <v>24</v>
      </c>
      <c r="G10" s="10">
        <f>AVERAGE(G11:G14)</f>
        <v>4.5549999999999997</v>
      </c>
      <c r="H10" s="10">
        <f t="shared" ref="H10:O10" si="1">AVERAGE(H11:H14)</f>
        <v>4.4766666666666666</v>
      </c>
      <c r="I10" s="10">
        <f t="shared" si="1"/>
        <v>4.7449999999999992</v>
      </c>
      <c r="J10" s="10">
        <f t="shared" si="1"/>
        <v>4.6633333333333331</v>
      </c>
      <c r="K10" s="10">
        <f t="shared" si="1"/>
        <v>4.62</v>
      </c>
      <c r="L10" s="10">
        <f t="shared" si="1"/>
        <v>4.1724999999999994</v>
      </c>
      <c r="M10" s="10">
        <f t="shared" si="1"/>
        <v>4.71</v>
      </c>
      <c r="N10" s="10">
        <f t="shared" si="1"/>
        <v>4.6825000000000001</v>
      </c>
      <c r="O10" s="10">
        <f t="shared" si="1"/>
        <v>4.7625000000000011</v>
      </c>
      <c r="P10" s="10">
        <f>AVERAGE(P11:P14)</f>
        <v>4.7074999999999996</v>
      </c>
      <c r="Q10" s="10">
        <f t="shared" ref="Q10" si="2">AVERAGE(E10:P10)</f>
        <v>4.6094999999999997</v>
      </c>
      <c r="R10" s="9">
        <v>4.6900000000000004</v>
      </c>
      <c r="S10" s="9">
        <v>4.7300000000000004</v>
      </c>
      <c r="T10" s="9">
        <v>4.7699999999999996</v>
      </c>
      <c r="U10" s="26">
        <v>4.78</v>
      </c>
      <c r="V10" s="35">
        <v>4.74</v>
      </c>
      <c r="W10" s="27">
        <v>4.8</v>
      </c>
    </row>
    <row r="11" spans="1:23">
      <c r="A11" s="21"/>
      <c r="B11" s="8" t="s">
        <v>26</v>
      </c>
      <c r="C11" s="9" t="s">
        <v>23</v>
      </c>
      <c r="D11" s="9">
        <v>4.5</v>
      </c>
      <c r="E11" s="9" t="s">
        <v>24</v>
      </c>
      <c r="F11" s="9" t="s">
        <v>24</v>
      </c>
      <c r="G11" s="9">
        <v>4.62</v>
      </c>
      <c r="H11" s="9">
        <v>3.62</v>
      </c>
      <c r="I11" s="9">
        <v>4.68</v>
      </c>
      <c r="J11" s="9">
        <v>4.57</v>
      </c>
      <c r="K11" s="9">
        <v>4.6500000000000004</v>
      </c>
      <c r="L11" s="9">
        <v>4.75</v>
      </c>
      <c r="M11" s="9">
        <v>4.6500000000000004</v>
      </c>
      <c r="N11" s="9">
        <v>4.66</v>
      </c>
      <c r="O11" s="9">
        <v>4.68</v>
      </c>
      <c r="P11" s="9">
        <v>4.5999999999999996</v>
      </c>
      <c r="Q11" s="10">
        <f>AVERAGE(E11:P11)</f>
        <v>4.548</v>
      </c>
      <c r="R11" s="107">
        <v>4.8099999999999996</v>
      </c>
      <c r="S11" s="108">
        <v>4.8499999999999996</v>
      </c>
      <c r="T11" s="108">
        <v>4.78</v>
      </c>
      <c r="U11" s="109">
        <v>4.78</v>
      </c>
      <c r="V11" s="110">
        <v>4.78</v>
      </c>
      <c r="W11" s="111">
        <v>4.82</v>
      </c>
    </row>
    <row r="12" spans="1:23">
      <c r="A12" s="21"/>
      <c r="B12" s="8" t="s">
        <v>27</v>
      </c>
      <c r="C12" s="9" t="s">
        <v>23</v>
      </c>
      <c r="D12" s="9">
        <v>4.5</v>
      </c>
      <c r="E12" s="9" t="s">
        <v>24</v>
      </c>
      <c r="F12" s="9" t="s">
        <v>24</v>
      </c>
      <c r="G12" s="9">
        <v>4.2</v>
      </c>
      <c r="H12" s="9" t="s">
        <v>24</v>
      </c>
      <c r="I12" s="9" t="s">
        <v>24</v>
      </c>
      <c r="J12" s="9" t="s">
        <v>24</v>
      </c>
      <c r="K12" s="9">
        <v>4.6900000000000004</v>
      </c>
      <c r="L12" s="9">
        <v>2.56</v>
      </c>
      <c r="M12" s="9">
        <v>4.66</v>
      </c>
      <c r="N12" s="9">
        <v>4.55</v>
      </c>
      <c r="O12" s="9">
        <v>4.4400000000000004</v>
      </c>
      <c r="P12" s="9">
        <v>4.57</v>
      </c>
      <c r="Q12" s="10">
        <f>AVERAGE(E12:P12)</f>
        <v>4.2385714285714284</v>
      </c>
      <c r="R12" s="108">
        <v>4.42</v>
      </c>
      <c r="S12" s="108">
        <v>4.6500000000000004</v>
      </c>
      <c r="T12" s="108">
        <v>4.41</v>
      </c>
      <c r="U12" s="111">
        <v>4.5</v>
      </c>
      <c r="V12" s="112">
        <v>4.5250000000000004</v>
      </c>
      <c r="W12" s="111">
        <v>4.58</v>
      </c>
    </row>
    <row r="13" spans="1:23">
      <c r="A13" s="21"/>
      <c r="B13" s="8" t="s">
        <v>28</v>
      </c>
      <c r="C13" s="9" t="s">
        <v>23</v>
      </c>
      <c r="D13" s="9">
        <v>4.5</v>
      </c>
      <c r="E13" s="9" t="s">
        <v>24</v>
      </c>
      <c r="F13" s="9" t="s">
        <v>24</v>
      </c>
      <c r="G13" s="9">
        <v>4.74</v>
      </c>
      <c r="H13" s="9">
        <v>4.8099999999999996</v>
      </c>
      <c r="I13" s="9">
        <v>4.8099999999999996</v>
      </c>
      <c r="J13" s="9">
        <v>4.82</v>
      </c>
      <c r="K13" s="9">
        <v>4.8499999999999996</v>
      </c>
      <c r="L13" s="9">
        <v>4.8899999999999997</v>
      </c>
      <c r="M13" s="9">
        <v>4.92</v>
      </c>
      <c r="N13" s="9">
        <v>4.91</v>
      </c>
      <c r="O13" s="9">
        <v>4.9400000000000004</v>
      </c>
      <c r="P13" s="9">
        <v>4.9400000000000004</v>
      </c>
      <c r="Q13" s="10">
        <f>AVERAGE(E13:P13)</f>
        <v>4.8629999999999995</v>
      </c>
      <c r="R13" s="9">
        <v>4.83</v>
      </c>
      <c r="S13" s="9">
        <v>4.9000000000000004</v>
      </c>
      <c r="T13" s="9">
        <v>4.83</v>
      </c>
      <c r="U13" s="26">
        <v>4.99</v>
      </c>
      <c r="V13" s="35">
        <v>4.97</v>
      </c>
      <c r="W13" s="27">
        <v>5</v>
      </c>
    </row>
    <row r="14" spans="1:23">
      <c r="A14" s="21"/>
      <c r="B14" s="8" t="s">
        <v>29</v>
      </c>
      <c r="C14" s="9" t="s">
        <v>23</v>
      </c>
      <c r="D14" s="9">
        <v>4.5</v>
      </c>
      <c r="E14" s="9" t="s">
        <v>24</v>
      </c>
      <c r="F14" s="9" t="s">
        <v>24</v>
      </c>
      <c r="G14" s="9">
        <v>4.66</v>
      </c>
      <c r="H14" s="32">
        <v>5</v>
      </c>
      <c r="I14" s="9" t="s">
        <v>24</v>
      </c>
      <c r="J14" s="9">
        <v>4.5999999999999996</v>
      </c>
      <c r="K14" s="9">
        <v>4.29</v>
      </c>
      <c r="L14" s="9">
        <v>4.49</v>
      </c>
      <c r="M14" s="9">
        <v>4.6100000000000003</v>
      </c>
      <c r="N14" s="9">
        <v>4.6100000000000003</v>
      </c>
      <c r="O14" s="9">
        <v>4.99</v>
      </c>
      <c r="P14" s="9">
        <v>4.72</v>
      </c>
      <c r="Q14" s="10">
        <f>AVERAGE(E14:P14)</f>
        <v>4.6633333333333331</v>
      </c>
      <c r="R14" s="9">
        <v>4.96</v>
      </c>
      <c r="S14" s="9">
        <v>4.07</v>
      </c>
      <c r="T14" s="9">
        <v>4.8499999999999996</v>
      </c>
      <c r="U14" s="26">
        <v>4.8899999999999997</v>
      </c>
      <c r="V14" s="35">
        <v>4.75</v>
      </c>
      <c r="W14" s="27">
        <v>4.84</v>
      </c>
    </row>
    <row r="15" spans="1:23">
      <c r="A15" s="7">
        <v>2</v>
      </c>
      <c r="B15" s="120" t="s">
        <v>30</v>
      </c>
      <c r="C15" s="121"/>
      <c r="D15" s="121"/>
      <c r="E15" s="121"/>
      <c r="F15" s="121"/>
      <c r="G15" s="121"/>
      <c r="H15" s="121"/>
      <c r="I15" s="121"/>
      <c r="J15" s="121"/>
      <c r="K15" s="121"/>
      <c r="L15" s="121"/>
      <c r="M15" s="121"/>
      <c r="N15" s="121"/>
      <c r="O15" s="121"/>
      <c r="P15" s="121"/>
      <c r="Q15" s="121"/>
      <c r="R15" s="121"/>
      <c r="S15" s="121"/>
      <c r="T15" s="121"/>
      <c r="U15" s="121"/>
      <c r="V15" s="121"/>
      <c r="W15" s="125"/>
    </row>
    <row r="16" spans="1:23">
      <c r="A16" s="21"/>
      <c r="B16" s="8" t="s">
        <v>31</v>
      </c>
      <c r="C16" s="9" t="s">
        <v>32</v>
      </c>
      <c r="D16" s="9"/>
      <c r="E16" s="9">
        <v>28</v>
      </c>
      <c r="F16" s="9">
        <v>35</v>
      </c>
      <c r="G16" s="9">
        <v>33</v>
      </c>
      <c r="H16" s="9">
        <v>28</v>
      </c>
      <c r="I16" s="9">
        <v>22</v>
      </c>
      <c r="J16" s="9">
        <v>17</v>
      </c>
      <c r="K16" s="9">
        <v>41</v>
      </c>
      <c r="L16" s="9">
        <v>12</v>
      </c>
      <c r="M16" s="9">
        <v>19</v>
      </c>
      <c r="N16" s="9">
        <v>26</v>
      </c>
      <c r="O16" s="9">
        <v>20</v>
      </c>
      <c r="P16" s="9">
        <v>36</v>
      </c>
      <c r="Q16" s="9">
        <f>SUM(E16:P16)</f>
        <v>317</v>
      </c>
      <c r="R16" s="9">
        <v>19</v>
      </c>
      <c r="S16" s="9">
        <v>17</v>
      </c>
      <c r="T16" s="9">
        <v>20</v>
      </c>
      <c r="U16" s="29">
        <v>55</v>
      </c>
      <c r="V16" s="36">
        <v>36</v>
      </c>
      <c r="W16" s="29">
        <v>39</v>
      </c>
    </row>
    <row r="17" spans="1:23">
      <c r="A17" s="21"/>
      <c r="B17" s="8" t="s">
        <v>33</v>
      </c>
      <c r="C17" s="9" t="s">
        <v>34</v>
      </c>
      <c r="D17" s="9"/>
      <c r="E17" s="9" t="s">
        <v>24</v>
      </c>
      <c r="F17" s="9" t="s">
        <v>24</v>
      </c>
      <c r="G17" s="9" t="s">
        <v>24</v>
      </c>
      <c r="H17" s="9" t="s">
        <v>24</v>
      </c>
      <c r="I17" s="9" t="s">
        <v>24</v>
      </c>
      <c r="J17" s="9" t="s">
        <v>24</v>
      </c>
      <c r="K17" s="9" t="s">
        <v>24</v>
      </c>
      <c r="L17" s="9" t="s">
        <v>24</v>
      </c>
      <c r="M17" s="9" t="s">
        <v>24</v>
      </c>
      <c r="N17" s="9" t="s">
        <v>24</v>
      </c>
      <c r="O17" s="9" t="s">
        <v>24</v>
      </c>
      <c r="P17" s="9" t="s">
        <v>24</v>
      </c>
      <c r="Q17" s="9" t="s">
        <v>24</v>
      </c>
      <c r="R17" s="9" t="s">
        <v>24</v>
      </c>
      <c r="S17" s="9" t="s">
        <v>24</v>
      </c>
      <c r="T17" s="9" t="s">
        <v>24</v>
      </c>
      <c r="U17" s="9" t="s">
        <v>24</v>
      </c>
      <c r="V17" s="37" t="s">
        <v>24</v>
      </c>
      <c r="W17" s="9" t="s">
        <v>24</v>
      </c>
    </row>
    <row r="18" spans="1:23">
      <c r="A18" s="21"/>
      <c r="B18" s="8" t="s">
        <v>35</v>
      </c>
      <c r="C18" s="9" t="s">
        <v>34</v>
      </c>
      <c r="D18" s="9"/>
      <c r="E18" s="11">
        <v>0.82140000000000002</v>
      </c>
      <c r="F18" s="11">
        <v>0.88570000000000004</v>
      </c>
      <c r="G18" s="11">
        <v>0.78790000000000004</v>
      </c>
      <c r="H18" s="11">
        <v>0.89290000000000003</v>
      </c>
      <c r="I18" s="11">
        <v>0.90910000000000002</v>
      </c>
      <c r="J18" s="11">
        <v>0.82350000000000001</v>
      </c>
      <c r="K18" s="11">
        <v>0.85370000000000001</v>
      </c>
      <c r="L18" s="11">
        <v>0.75</v>
      </c>
      <c r="M18" s="11">
        <v>0.84209999999999996</v>
      </c>
      <c r="N18" s="11">
        <v>0.73080000000000001</v>
      </c>
      <c r="O18" s="11">
        <v>0.55000000000000004</v>
      </c>
      <c r="P18" s="12">
        <v>0.80559999999999998</v>
      </c>
      <c r="Q18" s="12">
        <f>AVERAGE(E18:P18)</f>
        <v>0.80439166666666673</v>
      </c>
      <c r="R18" s="12">
        <v>0.68420000000000003</v>
      </c>
      <c r="S18" s="12">
        <v>0.76470000000000005</v>
      </c>
      <c r="T18" s="12">
        <v>0.8</v>
      </c>
      <c r="U18" s="12">
        <v>0.52729999999999999</v>
      </c>
      <c r="V18" s="106">
        <v>0.38890000000000002</v>
      </c>
      <c r="W18" s="12">
        <v>0.58350000000000002</v>
      </c>
    </row>
    <row r="19" spans="1:23">
      <c r="A19" s="7">
        <v>3</v>
      </c>
      <c r="B19" s="120" t="s">
        <v>36</v>
      </c>
      <c r="C19" s="121"/>
      <c r="D19" s="121"/>
      <c r="E19" s="121"/>
      <c r="F19" s="121"/>
      <c r="G19" s="121"/>
      <c r="H19" s="121"/>
      <c r="I19" s="121"/>
      <c r="J19" s="121"/>
      <c r="K19" s="121"/>
      <c r="L19" s="121"/>
      <c r="M19" s="121"/>
      <c r="N19" s="121"/>
      <c r="O19" s="121"/>
      <c r="P19" s="121"/>
      <c r="Q19" s="121"/>
      <c r="R19" s="121"/>
      <c r="S19" s="121"/>
      <c r="T19" s="121"/>
      <c r="U19" s="121"/>
      <c r="V19" s="121"/>
      <c r="W19" s="125"/>
    </row>
    <row r="20" spans="1:23">
      <c r="A20" s="21"/>
      <c r="B20" s="8" t="s">
        <v>37</v>
      </c>
      <c r="C20" s="9" t="s">
        <v>32</v>
      </c>
      <c r="D20" s="9"/>
      <c r="E20" s="9">
        <v>6654</v>
      </c>
      <c r="F20" s="9">
        <v>913</v>
      </c>
      <c r="G20" s="9">
        <v>6525</v>
      </c>
      <c r="H20" s="9">
        <v>4462</v>
      </c>
      <c r="I20" s="9">
        <v>4440</v>
      </c>
      <c r="J20" s="9">
        <v>1907</v>
      </c>
      <c r="K20" s="9">
        <v>1315</v>
      </c>
      <c r="L20" s="9">
        <v>7910</v>
      </c>
      <c r="M20" s="9">
        <v>7931</v>
      </c>
      <c r="N20" s="9">
        <v>12795</v>
      </c>
      <c r="O20" s="9">
        <v>6674</v>
      </c>
      <c r="P20" s="9">
        <v>14652</v>
      </c>
      <c r="Q20" s="13">
        <v>76178</v>
      </c>
      <c r="R20" s="9">
        <v>7629</v>
      </c>
      <c r="S20" s="9">
        <v>8793</v>
      </c>
      <c r="T20" s="9">
        <v>8469</v>
      </c>
      <c r="U20" s="26">
        <v>18275</v>
      </c>
      <c r="V20" s="35">
        <v>7757</v>
      </c>
      <c r="W20" s="26">
        <v>18039</v>
      </c>
    </row>
    <row r="21" spans="1:23" ht="29.1">
      <c r="A21" s="21"/>
      <c r="B21" s="14" t="s">
        <v>38</v>
      </c>
      <c r="C21" s="15" t="s">
        <v>34</v>
      </c>
      <c r="D21" s="16" t="s">
        <v>39</v>
      </c>
      <c r="E21" s="11">
        <v>0.55559999999999998</v>
      </c>
      <c r="F21" s="17">
        <v>0.5</v>
      </c>
      <c r="G21" s="17">
        <v>0.37</v>
      </c>
      <c r="H21" s="11">
        <v>0.3448</v>
      </c>
      <c r="I21" s="11">
        <v>0.49320000000000003</v>
      </c>
      <c r="J21" s="11">
        <v>0.41760000000000003</v>
      </c>
      <c r="K21" s="11">
        <v>0.48670000000000002</v>
      </c>
      <c r="L21" s="17">
        <v>0.75</v>
      </c>
      <c r="M21" s="11">
        <v>0.67700000000000005</v>
      </c>
      <c r="N21" s="11">
        <v>0.4617</v>
      </c>
      <c r="O21" s="11">
        <v>0.66859999999999997</v>
      </c>
      <c r="P21" s="11">
        <v>0.43290000000000001</v>
      </c>
      <c r="Q21" s="11">
        <v>0.55669999999999997</v>
      </c>
      <c r="R21" s="11">
        <v>0.47549999999999998</v>
      </c>
      <c r="S21" s="11">
        <v>0.60170000000000001</v>
      </c>
      <c r="T21" s="11">
        <v>0.83530000000000004</v>
      </c>
      <c r="U21" s="30">
        <v>0.75880000000000003</v>
      </c>
      <c r="V21" s="38">
        <v>0.9194</v>
      </c>
      <c r="W21" s="30">
        <v>0.86599999999999999</v>
      </c>
    </row>
    <row r="22" spans="1:23">
      <c r="A22" s="21"/>
      <c r="B22" s="14" t="s">
        <v>40</v>
      </c>
      <c r="C22" s="15" t="s">
        <v>41</v>
      </c>
      <c r="D22" s="15"/>
      <c r="E22" s="18">
        <v>1</v>
      </c>
      <c r="F22" s="18">
        <v>0</v>
      </c>
      <c r="G22" s="18">
        <v>7</v>
      </c>
      <c r="H22" s="18">
        <v>10</v>
      </c>
      <c r="I22" s="18">
        <v>13</v>
      </c>
      <c r="J22" s="18">
        <v>5</v>
      </c>
      <c r="K22" s="18">
        <v>5</v>
      </c>
      <c r="L22" s="18">
        <v>12</v>
      </c>
      <c r="M22" s="18">
        <v>4</v>
      </c>
      <c r="N22" s="18">
        <v>5</v>
      </c>
      <c r="O22" s="18">
        <v>10</v>
      </c>
      <c r="P22" s="18">
        <v>13</v>
      </c>
      <c r="Q22" s="19">
        <v>8</v>
      </c>
      <c r="R22" s="18">
        <v>14</v>
      </c>
      <c r="S22" s="18">
        <v>13</v>
      </c>
      <c r="T22" s="18">
        <v>9</v>
      </c>
      <c r="U22" s="26">
        <v>11</v>
      </c>
      <c r="V22" s="35">
        <v>9</v>
      </c>
      <c r="W22" s="26">
        <v>14</v>
      </c>
    </row>
    <row r="23" spans="1:23" ht="29.1">
      <c r="A23" s="21"/>
      <c r="B23" s="14" t="s">
        <v>42</v>
      </c>
      <c r="C23" s="15" t="s">
        <v>43</v>
      </c>
      <c r="D23" s="16" t="s">
        <v>44</v>
      </c>
      <c r="E23" s="18">
        <v>0.09</v>
      </c>
      <c r="F23" s="18">
        <v>0</v>
      </c>
      <c r="G23" s="18">
        <v>0.35</v>
      </c>
      <c r="H23" s="18">
        <v>0.3</v>
      </c>
      <c r="I23" s="18">
        <v>0.7</v>
      </c>
      <c r="J23" s="18">
        <v>0.45</v>
      </c>
      <c r="K23" s="18">
        <v>0.74</v>
      </c>
      <c r="L23" s="18">
        <v>0.21</v>
      </c>
      <c r="M23" s="18">
        <v>0.56000000000000005</v>
      </c>
      <c r="N23" s="18">
        <v>0.69</v>
      </c>
      <c r="O23" s="18">
        <v>0.74</v>
      </c>
      <c r="P23" s="18">
        <v>0.4</v>
      </c>
      <c r="Q23" s="18">
        <v>0.46</v>
      </c>
      <c r="R23" s="18">
        <v>0.3</v>
      </c>
      <c r="S23" s="18">
        <v>0.83</v>
      </c>
      <c r="T23" s="18">
        <v>0.11</v>
      </c>
      <c r="U23" s="18">
        <v>0.26</v>
      </c>
      <c r="V23" s="18">
        <v>0.52</v>
      </c>
      <c r="W23" s="18">
        <v>0.74</v>
      </c>
    </row>
    <row r="24" spans="1:23">
      <c r="A24" s="7">
        <v>4</v>
      </c>
      <c r="B24" s="120" t="s">
        <v>45</v>
      </c>
      <c r="C24" s="121"/>
      <c r="D24" s="121"/>
      <c r="E24" s="121"/>
      <c r="F24" s="121"/>
      <c r="G24" s="121"/>
      <c r="H24" s="121"/>
      <c r="I24" s="121"/>
      <c r="J24" s="121"/>
      <c r="K24" s="121"/>
      <c r="L24" s="121"/>
      <c r="M24" s="121"/>
      <c r="N24" s="121"/>
      <c r="O24" s="121"/>
      <c r="P24" s="121"/>
      <c r="Q24" s="121"/>
      <c r="R24" s="121"/>
      <c r="S24" s="121"/>
      <c r="T24" s="121"/>
      <c r="U24" s="121"/>
      <c r="V24" s="121"/>
      <c r="W24" s="122"/>
    </row>
    <row r="25" spans="1:23">
      <c r="A25" s="22"/>
      <c r="B25" s="8" t="s">
        <v>46</v>
      </c>
      <c r="C25" s="9" t="s">
        <v>32</v>
      </c>
      <c r="D25" s="9"/>
      <c r="E25" s="9">
        <v>3</v>
      </c>
      <c r="F25" s="9">
        <v>3</v>
      </c>
      <c r="G25" s="9">
        <v>62</v>
      </c>
      <c r="H25" s="9">
        <v>28</v>
      </c>
      <c r="I25" s="9">
        <v>102</v>
      </c>
      <c r="J25" s="9">
        <v>120</v>
      </c>
      <c r="K25" s="9">
        <v>109</v>
      </c>
      <c r="L25" s="9">
        <v>62</v>
      </c>
      <c r="M25" s="9">
        <v>90</v>
      </c>
      <c r="N25" s="9">
        <v>13</v>
      </c>
      <c r="O25" s="9">
        <v>3</v>
      </c>
      <c r="P25" s="9">
        <v>2</v>
      </c>
      <c r="Q25" s="9">
        <f>SUM(E25:P25)</f>
        <v>597</v>
      </c>
      <c r="R25" s="9">
        <v>44</v>
      </c>
      <c r="S25" s="9">
        <v>29</v>
      </c>
      <c r="T25" s="9">
        <v>101</v>
      </c>
      <c r="U25" s="26">
        <v>71</v>
      </c>
      <c r="V25" s="35">
        <v>136</v>
      </c>
      <c r="W25" s="81">
        <v>92</v>
      </c>
    </row>
    <row r="26" spans="1:23">
      <c r="A26" s="22"/>
      <c r="B26" s="8" t="s">
        <v>47</v>
      </c>
      <c r="C26" s="9" t="s">
        <v>32</v>
      </c>
      <c r="D26" s="9"/>
      <c r="E26" s="9">
        <v>3</v>
      </c>
      <c r="F26" s="9">
        <v>3</v>
      </c>
      <c r="G26" s="9">
        <v>62</v>
      </c>
      <c r="H26" s="9">
        <v>28</v>
      </c>
      <c r="I26" s="9">
        <v>102</v>
      </c>
      <c r="J26" s="9">
        <v>120</v>
      </c>
      <c r="K26" s="9">
        <v>109</v>
      </c>
      <c r="L26" s="9">
        <v>62</v>
      </c>
      <c r="M26" s="9">
        <v>90</v>
      </c>
      <c r="N26" s="9">
        <v>13</v>
      </c>
      <c r="O26" s="9">
        <v>3</v>
      </c>
      <c r="P26" s="9">
        <v>2</v>
      </c>
      <c r="Q26" s="9">
        <f>SUM(E26:P26)</f>
        <v>597</v>
      </c>
      <c r="R26" s="9">
        <v>44</v>
      </c>
      <c r="S26" s="9">
        <v>29</v>
      </c>
      <c r="T26" s="9">
        <v>96</v>
      </c>
      <c r="U26" s="26">
        <v>66</v>
      </c>
      <c r="V26" s="35">
        <v>134</v>
      </c>
      <c r="W26" s="81">
        <v>84</v>
      </c>
    </row>
    <row r="27" spans="1:23">
      <c r="A27" s="22"/>
      <c r="B27" s="8" t="s">
        <v>48</v>
      </c>
      <c r="C27" s="9" t="s">
        <v>32</v>
      </c>
      <c r="D27" s="9"/>
      <c r="E27" s="9">
        <v>0</v>
      </c>
      <c r="F27" s="9">
        <v>0</v>
      </c>
      <c r="G27" s="9">
        <v>0</v>
      </c>
      <c r="H27" s="9">
        <v>0</v>
      </c>
      <c r="I27" s="9">
        <v>0</v>
      </c>
      <c r="J27" s="9">
        <v>0</v>
      </c>
      <c r="K27" s="9">
        <v>0</v>
      </c>
      <c r="L27" s="9">
        <v>0</v>
      </c>
      <c r="M27" s="9">
        <v>0</v>
      </c>
      <c r="N27" s="9">
        <v>0</v>
      </c>
      <c r="O27" s="9">
        <v>0</v>
      </c>
      <c r="P27" s="9">
        <v>0</v>
      </c>
      <c r="Q27" s="9">
        <f>SUM(E27:P27)</f>
        <v>0</v>
      </c>
      <c r="R27" s="9">
        <v>0</v>
      </c>
      <c r="S27" s="9">
        <v>0</v>
      </c>
      <c r="T27" s="9">
        <v>5</v>
      </c>
      <c r="U27" s="26">
        <v>5</v>
      </c>
      <c r="V27" s="35">
        <v>2</v>
      </c>
      <c r="W27" s="81">
        <v>8</v>
      </c>
    </row>
    <row r="28" spans="1:23">
      <c r="A28" s="22"/>
      <c r="B28" s="8" t="s">
        <v>49</v>
      </c>
      <c r="C28" s="9" t="s">
        <v>32</v>
      </c>
      <c r="D28" s="9"/>
      <c r="E28" s="9">
        <v>0</v>
      </c>
      <c r="F28" s="9">
        <v>0</v>
      </c>
      <c r="G28" s="9">
        <v>0</v>
      </c>
      <c r="H28" s="9">
        <v>0</v>
      </c>
      <c r="I28" s="9">
        <v>0</v>
      </c>
      <c r="J28" s="9">
        <v>0</v>
      </c>
      <c r="K28" s="9">
        <v>0</v>
      </c>
      <c r="L28" s="9">
        <v>0</v>
      </c>
      <c r="M28" s="9">
        <v>0</v>
      </c>
      <c r="N28" s="9">
        <v>0</v>
      </c>
      <c r="O28" s="9">
        <v>0</v>
      </c>
      <c r="P28" s="9">
        <v>0</v>
      </c>
      <c r="Q28" s="9">
        <f>SUM(E28:P28)</f>
        <v>0</v>
      </c>
      <c r="R28" s="9">
        <v>0</v>
      </c>
      <c r="S28" s="9">
        <v>0</v>
      </c>
      <c r="T28" s="9">
        <v>0</v>
      </c>
      <c r="U28" s="26">
        <v>0</v>
      </c>
      <c r="V28" s="35">
        <v>0</v>
      </c>
      <c r="W28" s="82">
        <v>0</v>
      </c>
    </row>
    <row r="29" spans="1:23">
      <c r="A29" s="22"/>
      <c r="B29" s="8" t="s">
        <v>50</v>
      </c>
      <c r="C29" s="9" t="s">
        <v>34</v>
      </c>
      <c r="D29" s="9"/>
      <c r="E29" s="20">
        <f t="shared" ref="E29:S29" si="3">E26/E25*100%</f>
        <v>1</v>
      </c>
      <c r="F29" s="20">
        <f t="shared" si="3"/>
        <v>1</v>
      </c>
      <c r="G29" s="20">
        <f t="shared" si="3"/>
        <v>1</v>
      </c>
      <c r="H29" s="20">
        <f t="shared" si="3"/>
        <v>1</v>
      </c>
      <c r="I29" s="20">
        <f t="shared" si="3"/>
        <v>1</v>
      </c>
      <c r="J29" s="20">
        <f t="shared" si="3"/>
        <v>1</v>
      </c>
      <c r="K29" s="20">
        <f t="shared" si="3"/>
        <v>1</v>
      </c>
      <c r="L29" s="20">
        <f t="shared" si="3"/>
        <v>1</v>
      </c>
      <c r="M29" s="20">
        <f t="shared" si="3"/>
        <v>1</v>
      </c>
      <c r="N29" s="20">
        <f t="shared" si="3"/>
        <v>1</v>
      </c>
      <c r="O29" s="20">
        <f t="shared" si="3"/>
        <v>1</v>
      </c>
      <c r="P29" s="20">
        <f t="shared" si="3"/>
        <v>1</v>
      </c>
      <c r="Q29" s="20">
        <f t="shared" si="3"/>
        <v>1</v>
      </c>
      <c r="R29" s="20">
        <f>R26/R25*100%</f>
        <v>1</v>
      </c>
      <c r="S29" s="20">
        <f t="shared" si="3"/>
        <v>1</v>
      </c>
      <c r="T29" s="20">
        <f>T26/T25*100%</f>
        <v>0.95049504950495045</v>
      </c>
      <c r="U29" s="28">
        <f>U26/U25*100%</f>
        <v>0.92957746478873238</v>
      </c>
      <c r="V29" s="39">
        <f>V26/V25*100%</f>
        <v>0.98529411764705888</v>
      </c>
      <c r="W29" s="83">
        <f>W26/W25*100%</f>
        <v>0.91304347826086951</v>
      </c>
    </row>
    <row r="30" spans="1:23">
      <c r="A30" s="22"/>
      <c r="B30" s="8" t="s">
        <v>51</v>
      </c>
      <c r="C30" s="9" t="s">
        <v>52</v>
      </c>
      <c r="D30" s="9"/>
      <c r="E30" s="9">
        <v>0</v>
      </c>
      <c r="F30" s="9">
        <v>0</v>
      </c>
      <c r="G30" s="9">
        <v>0</v>
      </c>
      <c r="H30" s="9">
        <v>0</v>
      </c>
      <c r="I30" s="9">
        <v>0</v>
      </c>
      <c r="J30" s="9">
        <v>0</v>
      </c>
      <c r="K30" s="9">
        <v>0</v>
      </c>
      <c r="L30" s="9">
        <v>0</v>
      </c>
      <c r="M30" s="9">
        <v>0</v>
      </c>
      <c r="N30" s="9">
        <v>0</v>
      </c>
      <c r="O30" s="9">
        <v>0</v>
      </c>
      <c r="P30" s="9">
        <v>0</v>
      </c>
      <c r="Q30" s="9">
        <v>0</v>
      </c>
      <c r="R30" s="9">
        <v>0.7</v>
      </c>
      <c r="S30" s="9">
        <v>0.25</v>
      </c>
      <c r="T30" s="9">
        <v>0.37</v>
      </c>
      <c r="U30" s="26">
        <v>0.3</v>
      </c>
      <c r="V30" s="35">
        <v>0.2</v>
      </c>
      <c r="W30" s="34">
        <v>0.1</v>
      </c>
    </row>
    <row r="31" spans="1:23">
      <c r="A31" s="6"/>
      <c r="B31" s="6"/>
      <c r="C31" s="6"/>
      <c r="D31" s="6"/>
      <c r="E31" s="6"/>
      <c r="F31" s="6"/>
      <c r="G31" s="6"/>
      <c r="H31" s="6"/>
      <c r="I31" s="6"/>
      <c r="J31" s="6"/>
      <c r="K31" s="6"/>
      <c r="L31" s="6"/>
      <c r="M31" s="6"/>
      <c r="N31" s="6"/>
      <c r="O31" s="6"/>
      <c r="P31" s="6"/>
      <c r="Q31" s="6"/>
      <c r="R31" s="6"/>
      <c r="S31" s="6"/>
      <c r="T31" s="6"/>
    </row>
    <row r="32" spans="1:23">
      <c r="A32" s="6"/>
      <c r="B32" s="113" t="s">
        <v>53</v>
      </c>
      <c r="C32" s="114"/>
      <c r="D32" s="114"/>
      <c r="E32" s="114"/>
      <c r="F32" s="114"/>
      <c r="G32" s="114"/>
      <c r="H32" s="114"/>
      <c r="I32" s="114"/>
      <c r="J32" s="114"/>
      <c r="K32" s="114"/>
      <c r="L32" s="114"/>
      <c r="M32" s="114"/>
      <c r="N32" s="114"/>
      <c r="O32" s="114"/>
      <c r="P32" s="114"/>
      <c r="Q32" s="114"/>
      <c r="R32" s="114"/>
      <c r="S32" s="114"/>
      <c r="T32" s="114"/>
    </row>
    <row r="33" spans="1:20">
      <c r="A33" s="6"/>
      <c r="B33" s="114"/>
      <c r="C33" s="114"/>
      <c r="D33" s="114"/>
      <c r="E33" s="114"/>
      <c r="F33" s="114"/>
      <c r="G33" s="114"/>
      <c r="H33" s="114"/>
      <c r="I33" s="114"/>
      <c r="J33" s="114"/>
      <c r="K33" s="114"/>
      <c r="L33" s="114"/>
      <c r="M33" s="114"/>
      <c r="N33" s="114"/>
      <c r="O33" s="114"/>
      <c r="P33" s="114"/>
      <c r="Q33" s="114"/>
      <c r="R33" s="114"/>
      <c r="S33" s="114"/>
      <c r="T33" s="114"/>
    </row>
    <row r="34" spans="1:20" ht="46.5" customHeight="1">
      <c r="A34" s="6"/>
      <c r="B34" s="114"/>
      <c r="C34" s="114"/>
      <c r="D34" s="114"/>
      <c r="E34" s="114"/>
      <c r="F34" s="114"/>
      <c r="G34" s="114"/>
      <c r="H34" s="114"/>
      <c r="I34" s="114"/>
      <c r="J34" s="114"/>
      <c r="K34" s="114"/>
      <c r="L34" s="114"/>
      <c r="M34" s="114"/>
      <c r="N34" s="114"/>
      <c r="O34" s="114"/>
      <c r="P34" s="114"/>
      <c r="Q34" s="114"/>
      <c r="R34" s="114"/>
      <c r="S34" s="114"/>
      <c r="T34" s="114"/>
    </row>
  </sheetData>
  <mergeCells count="10">
    <mergeCell ref="B32:T34"/>
    <mergeCell ref="A6:A7"/>
    <mergeCell ref="B6:B7"/>
    <mergeCell ref="C6:C7"/>
    <mergeCell ref="D6:Q6"/>
    <mergeCell ref="B24:W24"/>
    <mergeCell ref="R6:W6"/>
    <mergeCell ref="B8:W8"/>
    <mergeCell ref="B15:W15"/>
    <mergeCell ref="B19:W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DB3C9-4481-4B50-A20B-D8AE76133C62}">
  <dimension ref="A1:AY138"/>
  <sheetViews>
    <sheetView tabSelected="1" workbookViewId="0">
      <selection activeCell="C70" sqref="C70"/>
    </sheetView>
  </sheetViews>
  <sheetFormatPr defaultRowHeight="16.5"/>
  <cols>
    <col min="1" max="1" width="3.125" bestFit="1" customWidth="1"/>
    <col min="2" max="2" width="1.875" bestFit="1" customWidth="1"/>
    <col min="3" max="3" width="24.125" customWidth="1"/>
    <col min="4" max="4" width="35.125" customWidth="1"/>
    <col min="5" max="5" width="33.125" customWidth="1"/>
    <col min="23" max="23" width="55.125" customWidth="1"/>
  </cols>
  <sheetData>
    <row r="1" spans="1:51">
      <c r="A1" s="40" t="s">
        <v>3</v>
      </c>
      <c r="B1" s="137" t="s">
        <v>54</v>
      </c>
      <c r="C1" s="137"/>
      <c r="D1" s="138"/>
      <c r="E1" s="41" t="s">
        <v>55</v>
      </c>
      <c r="F1" s="42">
        <v>45658</v>
      </c>
      <c r="G1" s="42">
        <v>45689</v>
      </c>
      <c r="H1" s="42">
        <v>45717</v>
      </c>
      <c r="I1" s="42">
        <v>45748</v>
      </c>
      <c r="J1" s="42">
        <v>45778</v>
      </c>
      <c r="K1" s="42">
        <v>45809</v>
      </c>
      <c r="L1" s="42">
        <v>45839</v>
      </c>
      <c r="M1" s="42">
        <v>45870</v>
      </c>
      <c r="N1" s="42">
        <v>45901</v>
      </c>
      <c r="O1" s="42">
        <v>45931</v>
      </c>
      <c r="P1" s="42">
        <v>45962</v>
      </c>
      <c r="Q1" s="42">
        <v>45992</v>
      </c>
      <c r="R1" s="42">
        <v>46023</v>
      </c>
      <c r="S1" s="42">
        <v>46054</v>
      </c>
      <c r="T1" s="42">
        <v>46082</v>
      </c>
      <c r="U1" s="42">
        <v>46113</v>
      </c>
      <c r="V1" s="88">
        <v>46143</v>
      </c>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row>
    <row r="2" spans="1:51" ht="27">
      <c r="A2" s="44">
        <v>1</v>
      </c>
      <c r="B2" s="137" t="s">
        <v>56</v>
      </c>
      <c r="C2" s="137"/>
      <c r="D2" s="138"/>
      <c r="E2" s="45" t="s">
        <v>57</v>
      </c>
      <c r="F2" s="31">
        <v>5340</v>
      </c>
      <c r="G2" s="84">
        <v>6080</v>
      </c>
      <c r="H2" s="84">
        <v>4774</v>
      </c>
      <c r="I2" s="84">
        <v>7164</v>
      </c>
      <c r="J2" s="84">
        <v>8194</v>
      </c>
      <c r="K2" s="84">
        <v>7890</v>
      </c>
      <c r="L2" s="84">
        <v>10000</v>
      </c>
      <c r="M2" s="84">
        <v>10525</v>
      </c>
      <c r="N2" s="84">
        <v>8924</v>
      </c>
      <c r="O2" s="84">
        <v>8972</v>
      </c>
      <c r="P2" s="84">
        <v>8044</v>
      </c>
      <c r="Q2" s="84">
        <v>7384</v>
      </c>
      <c r="R2" s="84">
        <v>6142</v>
      </c>
      <c r="S2" s="84">
        <v>6471</v>
      </c>
      <c r="T2" s="84">
        <v>5504</v>
      </c>
      <c r="U2" s="87">
        <v>8239</v>
      </c>
      <c r="V2" s="90">
        <v>7863</v>
      </c>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row>
    <row r="3" spans="1:51" ht="64.5">
      <c r="A3" s="44">
        <v>2</v>
      </c>
      <c r="B3" s="137" t="s">
        <v>58</v>
      </c>
      <c r="C3" s="137"/>
      <c r="D3" s="138"/>
      <c r="E3" s="46" t="s">
        <v>59</v>
      </c>
      <c r="F3" s="47">
        <f>SUM(F5:F13)</f>
        <v>691</v>
      </c>
      <c r="G3" s="47">
        <f t="shared" ref="G3:V3" si="0">SUM(G5:G13)</f>
        <v>660</v>
      </c>
      <c r="H3" s="47">
        <f t="shared" si="0"/>
        <v>715</v>
      </c>
      <c r="I3" s="47">
        <f t="shared" si="0"/>
        <v>622</v>
      </c>
      <c r="J3" s="47">
        <f t="shared" si="0"/>
        <v>694</v>
      </c>
      <c r="K3" s="47">
        <f t="shared" si="0"/>
        <v>684</v>
      </c>
      <c r="L3" s="47">
        <f t="shared" si="0"/>
        <v>728</v>
      </c>
      <c r="M3" s="47">
        <f t="shared" si="0"/>
        <v>645</v>
      </c>
      <c r="N3" s="47">
        <f t="shared" si="0"/>
        <v>748</v>
      </c>
      <c r="O3" s="47">
        <f t="shared" si="0"/>
        <v>745</v>
      </c>
      <c r="P3" s="47">
        <f t="shared" si="0"/>
        <v>625</v>
      </c>
      <c r="Q3" s="47">
        <f t="shared" si="0"/>
        <v>848</v>
      </c>
      <c r="R3" s="47">
        <f t="shared" si="0"/>
        <v>671</v>
      </c>
      <c r="S3" s="47">
        <f t="shared" si="0"/>
        <v>647</v>
      </c>
      <c r="T3" s="47">
        <f t="shared" si="0"/>
        <v>899</v>
      </c>
      <c r="U3" s="47">
        <f t="shared" si="0"/>
        <v>796</v>
      </c>
      <c r="V3" s="47">
        <f t="shared" si="0"/>
        <v>708</v>
      </c>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51">
      <c r="A4" s="135">
        <v>3</v>
      </c>
      <c r="B4" s="137" t="s">
        <v>60</v>
      </c>
      <c r="C4" s="137"/>
      <c r="D4" s="137"/>
      <c r="E4" s="49" t="s">
        <v>61</v>
      </c>
      <c r="F4" s="47" t="s">
        <v>61</v>
      </c>
      <c r="G4" s="47" t="s">
        <v>61</v>
      </c>
      <c r="H4" s="47" t="s">
        <v>61</v>
      </c>
      <c r="I4" s="47" t="s">
        <v>61</v>
      </c>
      <c r="J4" s="47" t="s">
        <v>61</v>
      </c>
      <c r="K4" s="47" t="s">
        <v>61</v>
      </c>
      <c r="L4" s="47" t="s">
        <v>61</v>
      </c>
      <c r="M4" s="47" t="s">
        <v>61</v>
      </c>
      <c r="N4" s="47" t="s">
        <v>61</v>
      </c>
      <c r="O4" s="47" t="s">
        <v>61</v>
      </c>
      <c r="P4" s="47" t="s">
        <v>61</v>
      </c>
      <c r="Q4" s="47" t="s">
        <v>61</v>
      </c>
      <c r="R4" s="47" t="s">
        <v>61</v>
      </c>
      <c r="S4" s="47" t="s">
        <v>61</v>
      </c>
      <c r="T4" s="47" t="s">
        <v>61</v>
      </c>
      <c r="U4" s="53" t="s">
        <v>61</v>
      </c>
      <c r="V4" s="63"/>
      <c r="W4" s="43" t="s">
        <v>62</v>
      </c>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row>
    <row r="5" spans="1:51" ht="16.5" customHeight="1">
      <c r="A5" s="135"/>
      <c r="B5" s="47" t="s">
        <v>63</v>
      </c>
      <c r="C5" s="139" t="s">
        <v>64</v>
      </c>
      <c r="D5" s="139"/>
      <c r="E5" s="132" t="s">
        <v>65</v>
      </c>
      <c r="F5" s="47">
        <f>F15+F24+F33+F42+F51+F60+F69+F78+F87</f>
        <v>0</v>
      </c>
      <c r="G5" s="47">
        <f t="shared" ref="G5:V5" si="1">G15+G24+G33+G42+G51+G60+G69+G78+G87</f>
        <v>0</v>
      </c>
      <c r="H5" s="47">
        <f t="shared" si="1"/>
        <v>0</v>
      </c>
      <c r="I5" s="47">
        <f t="shared" si="1"/>
        <v>0</v>
      </c>
      <c r="J5" s="47">
        <f t="shared" si="1"/>
        <v>0</v>
      </c>
      <c r="K5" s="47">
        <f t="shared" si="1"/>
        <v>0</v>
      </c>
      <c r="L5" s="47">
        <f t="shared" si="1"/>
        <v>0</v>
      </c>
      <c r="M5" s="47">
        <f t="shared" si="1"/>
        <v>0</v>
      </c>
      <c r="N5" s="47">
        <f t="shared" si="1"/>
        <v>0</v>
      </c>
      <c r="O5" s="47">
        <f t="shared" si="1"/>
        <v>0</v>
      </c>
      <c r="P5" s="47">
        <f t="shared" si="1"/>
        <v>0</v>
      </c>
      <c r="Q5" s="47">
        <f t="shared" si="1"/>
        <v>0</v>
      </c>
      <c r="R5" s="47">
        <f t="shared" si="1"/>
        <v>0</v>
      </c>
      <c r="S5" s="47">
        <f t="shared" si="1"/>
        <v>0</v>
      </c>
      <c r="T5" s="47">
        <f t="shared" si="1"/>
        <v>0</v>
      </c>
      <c r="U5" s="47">
        <f t="shared" si="1"/>
        <v>0</v>
      </c>
      <c r="V5" s="47">
        <f t="shared" si="1"/>
        <v>0</v>
      </c>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row>
    <row r="6" spans="1:51">
      <c r="A6" s="135"/>
      <c r="B6" s="47" t="s">
        <v>66</v>
      </c>
      <c r="C6" s="140" t="s">
        <v>67</v>
      </c>
      <c r="D6" s="140"/>
      <c r="E6" s="132"/>
      <c r="F6" s="47">
        <f>F16+F25+F34+F43+F52+F61+F70+F79+F88+F97</f>
        <v>691</v>
      </c>
      <c r="G6" s="47">
        <f t="shared" ref="G6:V6" si="2">G16+G25+G34+G43+G52+G61+G70+G79+G88+G97</f>
        <v>660</v>
      </c>
      <c r="H6" s="47">
        <f t="shared" si="2"/>
        <v>715</v>
      </c>
      <c r="I6" s="47">
        <f t="shared" si="2"/>
        <v>622</v>
      </c>
      <c r="J6" s="47">
        <f t="shared" si="2"/>
        <v>694</v>
      </c>
      <c r="K6" s="47">
        <f t="shared" si="2"/>
        <v>684</v>
      </c>
      <c r="L6" s="47">
        <f t="shared" si="2"/>
        <v>728</v>
      </c>
      <c r="M6" s="47">
        <f t="shared" si="2"/>
        <v>645</v>
      </c>
      <c r="N6" s="47">
        <f t="shared" si="2"/>
        <v>748</v>
      </c>
      <c r="O6" s="47">
        <f t="shared" si="2"/>
        <v>745</v>
      </c>
      <c r="P6" s="47">
        <f t="shared" si="2"/>
        <v>625</v>
      </c>
      <c r="Q6" s="47">
        <f t="shared" si="2"/>
        <v>848</v>
      </c>
      <c r="R6" s="47">
        <f t="shared" si="2"/>
        <v>671</v>
      </c>
      <c r="S6" s="47">
        <f t="shared" si="2"/>
        <v>647</v>
      </c>
      <c r="T6" s="47">
        <f t="shared" si="2"/>
        <v>899</v>
      </c>
      <c r="U6" s="47">
        <f t="shared" si="2"/>
        <v>796</v>
      </c>
      <c r="V6" s="47">
        <f t="shared" si="2"/>
        <v>708</v>
      </c>
      <c r="W6" s="98" t="s">
        <v>68</v>
      </c>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row>
    <row r="7" spans="1:51">
      <c r="A7" s="135"/>
      <c r="B7" s="47" t="s">
        <v>69</v>
      </c>
      <c r="C7" s="139" t="s">
        <v>70</v>
      </c>
      <c r="D7" s="139"/>
      <c r="E7" s="132"/>
      <c r="F7" s="47">
        <f t="shared" ref="F7:F13" si="3">F17+F26+F35+F44+F53+F62+F71+F80+F89</f>
        <v>0</v>
      </c>
      <c r="G7" s="47">
        <f t="shared" ref="G7:V7" si="4">G17+G26+G35+G44+G53+G62+G71+G80+G89</f>
        <v>0</v>
      </c>
      <c r="H7" s="47">
        <f t="shared" si="4"/>
        <v>0</v>
      </c>
      <c r="I7" s="47">
        <f>I17+I26+I35+I44+I53+I62+I71+I80+I89</f>
        <v>0</v>
      </c>
      <c r="J7" s="47">
        <f t="shared" si="4"/>
        <v>0</v>
      </c>
      <c r="K7" s="47">
        <f t="shared" si="4"/>
        <v>0</v>
      </c>
      <c r="L7" s="47">
        <f t="shared" si="4"/>
        <v>0</v>
      </c>
      <c r="M7" s="47">
        <f t="shared" si="4"/>
        <v>0</v>
      </c>
      <c r="N7" s="47">
        <f t="shared" si="4"/>
        <v>0</v>
      </c>
      <c r="O7" s="47">
        <f t="shared" si="4"/>
        <v>0</v>
      </c>
      <c r="P7" s="47">
        <f t="shared" si="4"/>
        <v>0</v>
      </c>
      <c r="Q7" s="47">
        <f t="shared" si="4"/>
        <v>0</v>
      </c>
      <c r="R7" s="47">
        <f t="shared" si="4"/>
        <v>0</v>
      </c>
      <c r="S7" s="47">
        <f t="shared" si="4"/>
        <v>0</v>
      </c>
      <c r="T7" s="47">
        <f t="shared" si="4"/>
        <v>0</v>
      </c>
      <c r="U7" s="47">
        <f t="shared" si="4"/>
        <v>0</v>
      </c>
      <c r="V7" s="47">
        <f t="shared" si="4"/>
        <v>0</v>
      </c>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row>
    <row r="8" spans="1:51">
      <c r="A8" s="135"/>
      <c r="B8" s="47" t="s">
        <v>71</v>
      </c>
      <c r="C8" s="139" t="s">
        <v>72</v>
      </c>
      <c r="D8" s="139"/>
      <c r="E8" s="132"/>
      <c r="F8" s="47">
        <f t="shared" si="3"/>
        <v>0</v>
      </c>
      <c r="G8" s="47">
        <f t="shared" ref="G8:V8" si="5">G18+G27+G36+G45+G54+G63+G72+G81+G90</f>
        <v>0</v>
      </c>
      <c r="H8" s="47">
        <f t="shared" si="5"/>
        <v>0</v>
      </c>
      <c r="I8" s="47">
        <f t="shared" si="5"/>
        <v>0</v>
      </c>
      <c r="J8" s="47">
        <f t="shared" si="5"/>
        <v>0</v>
      </c>
      <c r="K8" s="47">
        <f t="shared" si="5"/>
        <v>0</v>
      </c>
      <c r="L8" s="47">
        <f t="shared" si="5"/>
        <v>0</v>
      </c>
      <c r="M8" s="47">
        <f t="shared" si="5"/>
        <v>0</v>
      </c>
      <c r="N8" s="47">
        <f t="shared" si="5"/>
        <v>0</v>
      </c>
      <c r="O8" s="47">
        <f t="shared" si="5"/>
        <v>0</v>
      </c>
      <c r="P8" s="47">
        <f t="shared" si="5"/>
        <v>0</v>
      </c>
      <c r="Q8" s="47">
        <f t="shared" si="5"/>
        <v>0</v>
      </c>
      <c r="R8" s="47">
        <f t="shared" si="5"/>
        <v>0</v>
      </c>
      <c r="S8" s="47">
        <f t="shared" si="5"/>
        <v>0</v>
      </c>
      <c r="T8" s="47">
        <f t="shared" si="5"/>
        <v>0</v>
      </c>
      <c r="U8" s="47">
        <f t="shared" si="5"/>
        <v>0</v>
      </c>
      <c r="V8" s="47">
        <f t="shared" si="5"/>
        <v>0</v>
      </c>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row>
    <row r="9" spans="1:51">
      <c r="A9" s="135"/>
      <c r="B9" s="47" t="s">
        <v>73</v>
      </c>
      <c r="C9" s="141" t="s">
        <v>74</v>
      </c>
      <c r="D9" s="141"/>
      <c r="E9" s="132"/>
      <c r="F9" s="47">
        <f t="shared" si="3"/>
        <v>0</v>
      </c>
      <c r="G9" s="47">
        <f t="shared" ref="G9:V9" si="6">G19+G28+G37+G46+G55+G64+G73+G82+G91</f>
        <v>0</v>
      </c>
      <c r="H9" s="47">
        <f t="shared" si="6"/>
        <v>0</v>
      </c>
      <c r="I9" s="47">
        <f t="shared" si="6"/>
        <v>0</v>
      </c>
      <c r="J9" s="47">
        <f t="shared" si="6"/>
        <v>0</v>
      </c>
      <c r="K9" s="47">
        <f t="shared" si="6"/>
        <v>0</v>
      </c>
      <c r="L9" s="47">
        <f t="shared" si="6"/>
        <v>0</v>
      </c>
      <c r="M9" s="47">
        <f t="shared" si="6"/>
        <v>0</v>
      </c>
      <c r="N9" s="47">
        <f t="shared" si="6"/>
        <v>0</v>
      </c>
      <c r="O9" s="47">
        <f t="shared" si="6"/>
        <v>0</v>
      </c>
      <c r="P9" s="47">
        <f t="shared" si="6"/>
        <v>0</v>
      </c>
      <c r="Q9" s="47">
        <f t="shared" si="6"/>
        <v>0</v>
      </c>
      <c r="R9" s="47">
        <f t="shared" si="6"/>
        <v>0</v>
      </c>
      <c r="S9" s="47">
        <f t="shared" si="6"/>
        <v>0</v>
      </c>
      <c r="T9" s="47">
        <f t="shared" si="6"/>
        <v>0</v>
      </c>
      <c r="U9" s="47">
        <f t="shared" si="6"/>
        <v>0</v>
      </c>
      <c r="V9" s="47">
        <f t="shared" si="6"/>
        <v>0</v>
      </c>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row>
    <row r="10" spans="1:51">
      <c r="A10" s="48" t="s">
        <v>61</v>
      </c>
      <c r="B10" s="50" t="s">
        <v>75</v>
      </c>
      <c r="C10" s="142" t="s">
        <v>76</v>
      </c>
      <c r="D10" s="142"/>
      <c r="E10" s="132"/>
      <c r="F10" s="47">
        <f t="shared" si="3"/>
        <v>0</v>
      </c>
      <c r="G10" s="47">
        <f t="shared" ref="G10:V10" si="7">G20+G29+G38+G47+G56+G65+G74+G83+G92</f>
        <v>0</v>
      </c>
      <c r="H10" s="47">
        <f t="shared" si="7"/>
        <v>0</v>
      </c>
      <c r="I10" s="47">
        <f t="shared" si="7"/>
        <v>0</v>
      </c>
      <c r="J10" s="47">
        <f t="shared" si="7"/>
        <v>0</v>
      </c>
      <c r="K10" s="47">
        <f t="shared" si="7"/>
        <v>0</v>
      </c>
      <c r="L10" s="47">
        <f t="shared" si="7"/>
        <v>0</v>
      </c>
      <c r="M10" s="47">
        <f t="shared" si="7"/>
        <v>0</v>
      </c>
      <c r="N10" s="47">
        <f t="shared" si="7"/>
        <v>0</v>
      </c>
      <c r="O10" s="47">
        <f t="shared" si="7"/>
        <v>0</v>
      </c>
      <c r="P10" s="47">
        <f t="shared" si="7"/>
        <v>0</v>
      </c>
      <c r="Q10" s="47">
        <f t="shared" si="7"/>
        <v>0</v>
      </c>
      <c r="R10" s="47">
        <f t="shared" si="7"/>
        <v>0</v>
      </c>
      <c r="S10" s="47">
        <f t="shared" si="7"/>
        <v>0</v>
      </c>
      <c r="T10" s="47">
        <f t="shared" si="7"/>
        <v>0</v>
      </c>
      <c r="U10" s="47">
        <f t="shared" si="7"/>
        <v>0</v>
      </c>
      <c r="V10" s="47">
        <f t="shared" si="7"/>
        <v>0</v>
      </c>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row>
    <row r="11" spans="1:51">
      <c r="A11" s="48" t="s">
        <v>61</v>
      </c>
      <c r="B11" s="50" t="s">
        <v>77</v>
      </c>
      <c r="C11" s="143" t="s">
        <v>78</v>
      </c>
      <c r="D11" s="143"/>
      <c r="E11" s="133"/>
      <c r="F11" s="47">
        <f t="shared" si="3"/>
        <v>0</v>
      </c>
      <c r="G11" s="47">
        <f t="shared" ref="G11:V11" si="8">G21+G30+G39+G48+G57+G66+G75+G84+G93</f>
        <v>0</v>
      </c>
      <c r="H11" s="47">
        <f t="shared" si="8"/>
        <v>0</v>
      </c>
      <c r="I11" s="47">
        <f t="shared" si="8"/>
        <v>0</v>
      </c>
      <c r="J11" s="47">
        <f t="shared" si="8"/>
        <v>0</v>
      </c>
      <c r="K11" s="47">
        <f t="shared" si="8"/>
        <v>0</v>
      </c>
      <c r="L11" s="47">
        <f t="shared" si="8"/>
        <v>0</v>
      </c>
      <c r="M11" s="47">
        <f t="shared" si="8"/>
        <v>0</v>
      </c>
      <c r="N11" s="47">
        <f t="shared" si="8"/>
        <v>0</v>
      </c>
      <c r="O11" s="47">
        <f t="shared" si="8"/>
        <v>0</v>
      </c>
      <c r="P11" s="47">
        <f t="shared" si="8"/>
        <v>0</v>
      </c>
      <c r="Q11" s="47">
        <f t="shared" si="8"/>
        <v>0</v>
      </c>
      <c r="R11" s="47">
        <f t="shared" si="8"/>
        <v>0</v>
      </c>
      <c r="S11" s="47">
        <f t="shared" si="8"/>
        <v>0</v>
      </c>
      <c r="T11" s="47">
        <f t="shared" si="8"/>
        <v>0</v>
      </c>
      <c r="U11" s="47">
        <f t="shared" si="8"/>
        <v>0</v>
      </c>
      <c r="V11" s="47">
        <f t="shared" si="8"/>
        <v>0</v>
      </c>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row>
    <row r="12" spans="1:51">
      <c r="A12" s="48"/>
      <c r="B12" s="91" t="s">
        <v>79</v>
      </c>
      <c r="C12" s="144" t="s">
        <v>80</v>
      </c>
      <c r="D12" s="144"/>
      <c r="E12" s="89"/>
      <c r="F12" s="47">
        <f t="shared" si="3"/>
        <v>0</v>
      </c>
      <c r="G12" s="47">
        <f t="shared" ref="G12:V12" si="9">G22+G31+G40+G49+G58+G67+G76+G85+G94</f>
        <v>0</v>
      </c>
      <c r="H12" s="47">
        <f t="shared" si="9"/>
        <v>0</v>
      </c>
      <c r="I12" s="47">
        <f t="shared" si="9"/>
        <v>0</v>
      </c>
      <c r="J12" s="47">
        <f t="shared" si="9"/>
        <v>0</v>
      </c>
      <c r="K12" s="47">
        <f t="shared" si="9"/>
        <v>0</v>
      </c>
      <c r="L12" s="47">
        <f t="shared" si="9"/>
        <v>0</v>
      </c>
      <c r="M12" s="47">
        <f t="shared" si="9"/>
        <v>0</v>
      </c>
      <c r="N12" s="47">
        <f t="shared" si="9"/>
        <v>0</v>
      </c>
      <c r="O12" s="47">
        <f t="shared" si="9"/>
        <v>0</v>
      </c>
      <c r="P12" s="47">
        <f t="shared" si="9"/>
        <v>0</v>
      </c>
      <c r="Q12" s="47">
        <f t="shared" si="9"/>
        <v>0</v>
      </c>
      <c r="R12" s="47">
        <f t="shared" si="9"/>
        <v>0</v>
      </c>
      <c r="S12" s="47">
        <f t="shared" si="9"/>
        <v>0</v>
      </c>
      <c r="T12" s="47">
        <f t="shared" si="9"/>
        <v>0</v>
      </c>
      <c r="U12" s="47">
        <f t="shared" si="9"/>
        <v>0</v>
      </c>
      <c r="V12" s="47">
        <f t="shared" si="9"/>
        <v>0</v>
      </c>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row>
    <row r="13" spans="1:51">
      <c r="A13" s="48"/>
      <c r="B13" s="91" t="s">
        <v>81</v>
      </c>
      <c r="C13" s="144" t="s">
        <v>82</v>
      </c>
      <c r="D13" s="144"/>
      <c r="E13" s="89"/>
      <c r="F13" s="47">
        <f t="shared" si="3"/>
        <v>0</v>
      </c>
      <c r="G13" s="47">
        <f t="shared" ref="G13:V13" si="10">G23+G32+G41+G50+G59+G68+G77+G86+G95</f>
        <v>0</v>
      </c>
      <c r="H13" s="47">
        <f t="shared" si="10"/>
        <v>0</v>
      </c>
      <c r="I13" s="47">
        <f t="shared" si="10"/>
        <v>0</v>
      </c>
      <c r="J13" s="47">
        <f t="shared" si="10"/>
        <v>0</v>
      </c>
      <c r="K13" s="47">
        <f t="shared" si="10"/>
        <v>0</v>
      </c>
      <c r="L13" s="47">
        <f t="shared" si="10"/>
        <v>0</v>
      </c>
      <c r="M13" s="47">
        <f t="shared" si="10"/>
        <v>0</v>
      </c>
      <c r="N13" s="47">
        <f t="shared" si="10"/>
        <v>0</v>
      </c>
      <c r="O13" s="47">
        <f t="shared" si="10"/>
        <v>0</v>
      </c>
      <c r="P13" s="47">
        <f t="shared" si="10"/>
        <v>0</v>
      </c>
      <c r="Q13" s="47">
        <f t="shared" si="10"/>
        <v>0</v>
      </c>
      <c r="R13" s="47">
        <f t="shared" si="10"/>
        <v>0</v>
      </c>
      <c r="S13" s="47">
        <f t="shared" si="10"/>
        <v>0</v>
      </c>
      <c r="T13" s="47">
        <f t="shared" si="10"/>
        <v>0</v>
      </c>
      <c r="U13" s="47">
        <f t="shared" si="10"/>
        <v>0</v>
      </c>
      <c r="V13" s="47">
        <f t="shared" si="10"/>
        <v>0</v>
      </c>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row>
    <row r="14" spans="1:51">
      <c r="A14" s="134">
        <v>4</v>
      </c>
      <c r="B14" s="137" t="s">
        <v>83</v>
      </c>
      <c r="C14" s="145"/>
      <c r="D14" s="145"/>
      <c r="E14" s="51" t="s">
        <v>61</v>
      </c>
      <c r="F14" s="47" t="s">
        <v>61</v>
      </c>
      <c r="G14" s="47" t="s">
        <v>61</v>
      </c>
      <c r="H14" s="47" t="s">
        <v>61</v>
      </c>
      <c r="I14" s="47" t="s">
        <v>61</v>
      </c>
      <c r="J14" s="47" t="s">
        <v>61</v>
      </c>
      <c r="K14" s="47" t="s">
        <v>61</v>
      </c>
      <c r="L14" s="47" t="s">
        <v>61</v>
      </c>
      <c r="M14" s="47" t="s">
        <v>61</v>
      </c>
      <c r="N14" s="47" t="s">
        <v>61</v>
      </c>
      <c r="O14" s="47" t="s">
        <v>61</v>
      </c>
      <c r="P14" s="47" t="s">
        <v>61</v>
      </c>
      <c r="Q14" s="47" t="s">
        <v>61</v>
      </c>
      <c r="R14" s="47" t="s">
        <v>61</v>
      </c>
      <c r="S14" s="47" t="s">
        <v>61</v>
      </c>
      <c r="T14" s="47" t="s">
        <v>61</v>
      </c>
      <c r="U14" s="53" t="s">
        <v>61</v>
      </c>
      <c r="V14" s="85"/>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row>
    <row r="15" spans="1:51">
      <c r="A15" s="135"/>
      <c r="B15" s="47" t="s">
        <v>63</v>
      </c>
      <c r="C15" s="52" t="s">
        <v>84</v>
      </c>
      <c r="D15" s="53" t="s">
        <v>64</v>
      </c>
      <c r="E15" s="51" t="s">
        <v>61</v>
      </c>
      <c r="F15" s="97">
        <v>0</v>
      </c>
      <c r="G15" s="97">
        <v>0</v>
      </c>
      <c r="H15" s="97">
        <v>0</v>
      </c>
      <c r="I15" s="97">
        <v>0</v>
      </c>
      <c r="J15" s="97">
        <v>0</v>
      </c>
      <c r="K15" s="97">
        <v>0</v>
      </c>
      <c r="L15" s="97">
        <v>0</v>
      </c>
      <c r="M15" s="97">
        <v>0</v>
      </c>
      <c r="N15" s="97">
        <v>0</v>
      </c>
      <c r="O15" s="97">
        <v>0</v>
      </c>
      <c r="P15" s="97">
        <v>0</v>
      </c>
      <c r="Q15" s="97">
        <v>0</v>
      </c>
      <c r="R15" s="97">
        <v>0</v>
      </c>
      <c r="S15" s="97">
        <v>0</v>
      </c>
      <c r="T15" s="97">
        <v>0</v>
      </c>
      <c r="U15" s="97">
        <v>0</v>
      </c>
      <c r="V15" s="97">
        <v>0</v>
      </c>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row>
    <row r="16" spans="1:51">
      <c r="A16" s="135"/>
      <c r="B16" s="47" t="s">
        <v>61</v>
      </c>
      <c r="C16" s="52" t="s">
        <v>61</v>
      </c>
      <c r="D16" s="53" t="s">
        <v>67</v>
      </c>
      <c r="E16" s="51" t="s">
        <v>61</v>
      </c>
      <c r="F16" s="97">
        <v>0</v>
      </c>
      <c r="G16" s="97">
        <v>0</v>
      </c>
      <c r="H16" s="97">
        <v>0</v>
      </c>
      <c r="I16" s="97">
        <v>0</v>
      </c>
      <c r="J16" s="97">
        <v>0</v>
      </c>
      <c r="K16" s="97">
        <v>0</v>
      </c>
      <c r="L16" s="97">
        <v>0</v>
      </c>
      <c r="M16" s="97">
        <v>0</v>
      </c>
      <c r="N16" s="97">
        <v>0</v>
      </c>
      <c r="O16" s="97">
        <v>0</v>
      </c>
      <c r="P16" s="97">
        <v>0</v>
      </c>
      <c r="Q16" s="97">
        <v>0</v>
      </c>
      <c r="R16" s="97">
        <v>0</v>
      </c>
      <c r="S16" s="97">
        <v>0</v>
      </c>
      <c r="T16" s="97">
        <v>0</v>
      </c>
      <c r="U16" s="97">
        <v>0</v>
      </c>
      <c r="V16" s="97">
        <v>0</v>
      </c>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row>
    <row r="17" spans="1:51">
      <c r="A17" s="135"/>
      <c r="B17" s="47" t="s">
        <v>61</v>
      </c>
      <c r="C17" s="52" t="s">
        <v>61</v>
      </c>
      <c r="D17" s="53" t="s">
        <v>70</v>
      </c>
      <c r="E17" s="51" t="s">
        <v>61</v>
      </c>
      <c r="F17" s="97">
        <v>0</v>
      </c>
      <c r="G17" s="97">
        <v>0</v>
      </c>
      <c r="H17" s="97">
        <v>0</v>
      </c>
      <c r="I17" s="97">
        <v>0</v>
      </c>
      <c r="J17" s="97">
        <v>0</v>
      </c>
      <c r="K17" s="97">
        <v>0</v>
      </c>
      <c r="L17" s="97">
        <v>0</v>
      </c>
      <c r="M17" s="97">
        <v>0</v>
      </c>
      <c r="N17" s="97">
        <v>0</v>
      </c>
      <c r="O17" s="97">
        <v>0</v>
      </c>
      <c r="P17" s="97">
        <v>0</v>
      </c>
      <c r="Q17" s="97">
        <v>0</v>
      </c>
      <c r="R17" s="97">
        <v>0</v>
      </c>
      <c r="S17" s="97">
        <v>0</v>
      </c>
      <c r="T17" s="97">
        <v>0</v>
      </c>
      <c r="U17" s="97">
        <v>0</v>
      </c>
      <c r="V17" s="97">
        <v>0</v>
      </c>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row>
    <row r="18" spans="1:51">
      <c r="A18" s="135"/>
      <c r="B18" s="47" t="s">
        <v>61</v>
      </c>
      <c r="C18" s="52" t="s">
        <v>61</v>
      </c>
      <c r="D18" s="53" t="s">
        <v>72</v>
      </c>
      <c r="E18" s="51" t="s">
        <v>61</v>
      </c>
      <c r="F18" s="97">
        <v>0</v>
      </c>
      <c r="G18" s="97">
        <v>0</v>
      </c>
      <c r="H18" s="97">
        <v>0</v>
      </c>
      <c r="I18" s="97">
        <v>0</v>
      </c>
      <c r="J18" s="97">
        <v>0</v>
      </c>
      <c r="K18" s="97">
        <v>0</v>
      </c>
      <c r="L18" s="97">
        <v>0</v>
      </c>
      <c r="M18" s="97">
        <v>0</v>
      </c>
      <c r="N18" s="97">
        <v>0</v>
      </c>
      <c r="O18" s="97">
        <v>0</v>
      </c>
      <c r="P18" s="97">
        <v>0</v>
      </c>
      <c r="Q18" s="97">
        <v>0</v>
      </c>
      <c r="R18" s="97">
        <v>0</v>
      </c>
      <c r="S18" s="97">
        <v>0</v>
      </c>
      <c r="T18" s="97">
        <v>0</v>
      </c>
      <c r="U18" s="97">
        <v>0</v>
      </c>
      <c r="V18" s="97">
        <v>0</v>
      </c>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row>
    <row r="19" spans="1:51">
      <c r="A19" s="135"/>
      <c r="B19" s="47" t="s">
        <v>61</v>
      </c>
      <c r="C19" s="52" t="s">
        <v>61</v>
      </c>
      <c r="D19" s="53" t="s">
        <v>74</v>
      </c>
      <c r="E19" s="51" t="s">
        <v>61</v>
      </c>
      <c r="F19" s="97">
        <v>0</v>
      </c>
      <c r="G19" s="97">
        <v>0</v>
      </c>
      <c r="H19" s="97">
        <v>0</v>
      </c>
      <c r="I19" s="97">
        <v>0</v>
      </c>
      <c r="J19" s="97">
        <v>0</v>
      </c>
      <c r="K19" s="97">
        <v>0</v>
      </c>
      <c r="L19" s="97">
        <v>0</v>
      </c>
      <c r="M19" s="97">
        <v>0</v>
      </c>
      <c r="N19" s="97">
        <v>0</v>
      </c>
      <c r="O19" s="97">
        <v>0</v>
      </c>
      <c r="P19" s="97">
        <v>0</v>
      </c>
      <c r="Q19" s="97">
        <v>0</v>
      </c>
      <c r="R19" s="97">
        <v>0</v>
      </c>
      <c r="S19" s="97">
        <v>0</v>
      </c>
      <c r="T19" s="97">
        <v>0</v>
      </c>
      <c r="U19" s="97">
        <v>0</v>
      </c>
      <c r="V19" s="97">
        <v>0</v>
      </c>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row>
    <row r="20" spans="1:51">
      <c r="A20" s="135"/>
      <c r="B20" s="47" t="s">
        <v>61</v>
      </c>
      <c r="C20" s="52" t="s">
        <v>61</v>
      </c>
      <c r="D20" s="53" t="s">
        <v>76</v>
      </c>
      <c r="E20" s="51" t="s">
        <v>61</v>
      </c>
      <c r="F20" s="97">
        <v>0</v>
      </c>
      <c r="G20" s="97">
        <v>0</v>
      </c>
      <c r="H20" s="97">
        <v>0</v>
      </c>
      <c r="I20" s="97">
        <v>0</v>
      </c>
      <c r="J20" s="97">
        <v>0</v>
      </c>
      <c r="K20" s="97">
        <v>0</v>
      </c>
      <c r="L20" s="97">
        <v>0</v>
      </c>
      <c r="M20" s="97">
        <v>0</v>
      </c>
      <c r="N20" s="97">
        <v>0</v>
      </c>
      <c r="O20" s="97">
        <v>0</v>
      </c>
      <c r="P20" s="97">
        <v>0</v>
      </c>
      <c r="Q20" s="97">
        <v>0</v>
      </c>
      <c r="R20" s="97">
        <v>0</v>
      </c>
      <c r="S20" s="97">
        <v>0</v>
      </c>
      <c r="T20" s="97">
        <v>0</v>
      </c>
      <c r="U20" s="97">
        <v>0</v>
      </c>
      <c r="V20" s="97">
        <v>0</v>
      </c>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row>
    <row r="21" spans="1:51">
      <c r="A21" s="135"/>
      <c r="B21" s="47" t="s">
        <v>61</v>
      </c>
      <c r="C21" s="52" t="s">
        <v>61</v>
      </c>
      <c r="D21" s="53" t="s">
        <v>78</v>
      </c>
      <c r="E21" s="51" t="s">
        <v>61</v>
      </c>
      <c r="F21" s="97">
        <v>0</v>
      </c>
      <c r="G21" s="97">
        <v>0</v>
      </c>
      <c r="H21" s="97">
        <v>0</v>
      </c>
      <c r="I21" s="97">
        <v>0</v>
      </c>
      <c r="J21" s="97">
        <v>0</v>
      </c>
      <c r="K21" s="97">
        <v>0</v>
      </c>
      <c r="L21" s="97">
        <v>0</v>
      </c>
      <c r="M21" s="97">
        <v>0</v>
      </c>
      <c r="N21" s="97">
        <v>0</v>
      </c>
      <c r="O21" s="97">
        <v>0</v>
      </c>
      <c r="P21" s="97">
        <v>0</v>
      </c>
      <c r="Q21" s="97">
        <v>0</v>
      </c>
      <c r="R21" s="97">
        <v>0</v>
      </c>
      <c r="S21" s="97">
        <v>0</v>
      </c>
      <c r="T21" s="97">
        <v>0</v>
      </c>
      <c r="U21" s="97">
        <v>0</v>
      </c>
      <c r="V21" s="97">
        <v>0</v>
      </c>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row>
    <row r="22" spans="1:51">
      <c r="A22" s="135"/>
      <c r="B22" s="47"/>
      <c r="C22" s="52"/>
      <c r="D22" s="53" t="s">
        <v>80</v>
      </c>
      <c r="E22" s="51"/>
      <c r="F22" s="97">
        <v>0</v>
      </c>
      <c r="G22" s="97">
        <v>0</v>
      </c>
      <c r="H22" s="97">
        <v>0</v>
      </c>
      <c r="I22" s="97">
        <v>0</v>
      </c>
      <c r="J22" s="97">
        <v>0</v>
      </c>
      <c r="K22" s="97">
        <v>0</v>
      </c>
      <c r="L22" s="97">
        <v>0</v>
      </c>
      <c r="M22" s="97">
        <v>0</v>
      </c>
      <c r="N22" s="97">
        <v>0</v>
      </c>
      <c r="O22" s="97">
        <v>0</v>
      </c>
      <c r="P22" s="97">
        <v>0</v>
      </c>
      <c r="Q22" s="97">
        <v>0</v>
      </c>
      <c r="R22" s="97">
        <v>0</v>
      </c>
      <c r="S22" s="97">
        <v>0</v>
      </c>
      <c r="T22" s="97">
        <v>0</v>
      </c>
      <c r="U22" s="97">
        <v>0</v>
      </c>
      <c r="V22" s="97">
        <v>0</v>
      </c>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row>
    <row r="23" spans="1:51">
      <c r="A23" s="135"/>
      <c r="B23" s="47"/>
      <c r="C23" s="52"/>
      <c r="D23" s="53" t="s">
        <v>82</v>
      </c>
      <c r="E23" s="51"/>
      <c r="F23" s="97">
        <v>0</v>
      </c>
      <c r="G23" s="97">
        <v>0</v>
      </c>
      <c r="H23" s="97">
        <v>0</v>
      </c>
      <c r="I23" s="97">
        <v>0</v>
      </c>
      <c r="J23" s="97">
        <v>0</v>
      </c>
      <c r="K23" s="97">
        <v>0</v>
      </c>
      <c r="L23" s="97">
        <v>0</v>
      </c>
      <c r="M23" s="97">
        <v>0</v>
      </c>
      <c r="N23" s="97">
        <v>0</v>
      </c>
      <c r="O23" s="97">
        <v>0</v>
      </c>
      <c r="P23" s="97">
        <v>0</v>
      </c>
      <c r="Q23" s="97">
        <v>0</v>
      </c>
      <c r="R23" s="97">
        <v>0</v>
      </c>
      <c r="S23" s="97">
        <v>0</v>
      </c>
      <c r="T23" s="97">
        <v>0</v>
      </c>
      <c r="U23" s="97">
        <v>0</v>
      </c>
      <c r="V23" s="97">
        <v>0</v>
      </c>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row>
    <row r="24" spans="1:51">
      <c r="A24" s="135"/>
      <c r="B24" s="47" t="s">
        <v>66</v>
      </c>
      <c r="C24" s="54" t="s">
        <v>85</v>
      </c>
      <c r="D24" s="53" t="s">
        <v>64</v>
      </c>
      <c r="E24" s="51" t="s">
        <v>61</v>
      </c>
      <c r="F24" s="97">
        <v>0</v>
      </c>
      <c r="G24" s="97">
        <v>0</v>
      </c>
      <c r="H24" s="97">
        <v>0</v>
      </c>
      <c r="I24" s="97">
        <v>0</v>
      </c>
      <c r="J24" s="97">
        <v>0</v>
      </c>
      <c r="K24" s="97">
        <v>0</v>
      </c>
      <c r="L24" s="97">
        <v>0</v>
      </c>
      <c r="M24" s="97">
        <v>0</v>
      </c>
      <c r="N24" s="97">
        <v>0</v>
      </c>
      <c r="O24" s="97">
        <v>0</v>
      </c>
      <c r="P24" s="97">
        <v>0</v>
      </c>
      <c r="Q24" s="97">
        <v>0</v>
      </c>
      <c r="R24" s="97">
        <v>0</v>
      </c>
      <c r="S24" s="97">
        <v>0</v>
      </c>
      <c r="T24" s="97">
        <v>0</v>
      </c>
      <c r="U24" s="97">
        <v>0</v>
      </c>
      <c r="V24" s="97">
        <v>0</v>
      </c>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row>
    <row r="25" spans="1:51">
      <c r="A25" s="135"/>
      <c r="B25" s="47" t="s">
        <v>61</v>
      </c>
      <c r="C25" s="52" t="s">
        <v>61</v>
      </c>
      <c r="D25" s="53" t="s">
        <v>67</v>
      </c>
      <c r="E25" s="51" t="s">
        <v>61</v>
      </c>
      <c r="F25" s="97">
        <v>0</v>
      </c>
      <c r="G25" s="97">
        <v>0</v>
      </c>
      <c r="H25" s="97">
        <v>0</v>
      </c>
      <c r="I25" s="97">
        <v>0</v>
      </c>
      <c r="J25" s="97">
        <v>0</v>
      </c>
      <c r="K25" s="97">
        <v>0</v>
      </c>
      <c r="L25" s="97">
        <v>0</v>
      </c>
      <c r="M25" s="97">
        <v>0</v>
      </c>
      <c r="N25" s="97">
        <v>0</v>
      </c>
      <c r="O25" s="97">
        <v>0</v>
      </c>
      <c r="P25" s="97">
        <v>0</v>
      </c>
      <c r="Q25" s="97">
        <v>0</v>
      </c>
      <c r="R25" s="97">
        <v>0</v>
      </c>
      <c r="S25" s="97">
        <v>0</v>
      </c>
      <c r="T25" s="97">
        <v>0</v>
      </c>
      <c r="U25" s="97">
        <v>0</v>
      </c>
      <c r="V25" s="97">
        <v>0</v>
      </c>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row>
    <row r="26" spans="1:51">
      <c r="A26" s="135"/>
      <c r="B26" s="47" t="s">
        <v>61</v>
      </c>
      <c r="C26" s="52" t="s">
        <v>61</v>
      </c>
      <c r="D26" s="53" t="s">
        <v>70</v>
      </c>
      <c r="E26" s="51" t="s">
        <v>61</v>
      </c>
      <c r="F26" s="97">
        <v>0</v>
      </c>
      <c r="G26" s="97">
        <v>0</v>
      </c>
      <c r="H26" s="97">
        <v>0</v>
      </c>
      <c r="I26" s="97">
        <v>0</v>
      </c>
      <c r="J26" s="97">
        <v>0</v>
      </c>
      <c r="K26" s="97">
        <v>0</v>
      </c>
      <c r="L26" s="97">
        <v>0</v>
      </c>
      <c r="M26" s="97">
        <v>0</v>
      </c>
      <c r="N26" s="97">
        <v>0</v>
      </c>
      <c r="O26" s="97">
        <v>0</v>
      </c>
      <c r="P26" s="97">
        <v>0</v>
      </c>
      <c r="Q26" s="97">
        <v>0</v>
      </c>
      <c r="R26" s="97">
        <v>0</v>
      </c>
      <c r="S26" s="97">
        <v>0</v>
      </c>
      <c r="T26" s="97">
        <v>0</v>
      </c>
      <c r="U26" s="97">
        <v>0</v>
      </c>
      <c r="V26" s="97">
        <v>0</v>
      </c>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row>
    <row r="27" spans="1:51">
      <c r="A27" s="135"/>
      <c r="B27" s="47" t="s">
        <v>61</v>
      </c>
      <c r="C27" s="52" t="s">
        <v>61</v>
      </c>
      <c r="D27" s="53" t="s">
        <v>72</v>
      </c>
      <c r="E27" s="51" t="s">
        <v>61</v>
      </c>
      <c r="F27" s="97">
        <v>0</v>
      </c>
      <c r="G27" s="97">
        <v>0</v>
      </c>
      <c r="H27" s="97">
        <v>0</v>
      </c>
      <c r="I27" s="97">
        <v>0</v>
      </c>
      <c r="J27" s="97">
        <v>0</v>
      </c>
      <c r="K27" s="97">
        <v>0</v>
      </c>
      <c r="L27" s="97">
        <v>0</v>
      </c>
      <c r="M27" s="97">
        <v>0</v>
      </c>
      <c r="N27" s="97">
        <v>0</v>
      </c>
      <c r="O27" s="97">
        <v>0</v>
      </c>
      <c r="P27" s="97">
        <v>0</v>
      </c>
      <c r="Q27" s="97">
        <v>0</v>
      </c>
      <c r="R27" s="97">
        <v>0</v>
      </c>
      <c r="S27" s="97">
        <v>0</v>
      </c>
      <c r="T27" s="97">
        <v>0</v>
      </c>
      <c r="U27" s="97">
        <v>0</v>
      </c>
      <c r="V27" s="97">
        <v>0</v>
      </c>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row>
    <row r="28" spans="1:51">
      <c r="A28" s="135"/>
      <c r="B28" s="47" t="s">
        <v>61</v>
      </c>
      <c r="C28" s="96" t="s">
        <v>61</v>
      </c>
      <c r="D28" s="53" t="s">
        <v>74</v>
      </c>
      <c r="E28" s="51" t="s">
        <v>61</v>
      </c>
      <c r="F28" s="97">
        <v>0</v>
      </c>
      <c r="G28" s="97">
        <v>0</v>
      </c>
      <c r="H28" s="97">
        <v>0</v>
      </c>
      <c r="I28" s="97">
        <v>0</v>
      </c>
      <c r="J28" s="97">
        <v>0</v>
      </c>
      <c r="K28" s="97">
        <v>0</v>
      </c>
      <c r="L28" s="97">
        <v>0</v>
      </c>
      <c r="M28" s="97">
        <v>0</v>
      </c>
      <c r="N28" s="97">
        <v>0</v>
      </c>
      <c r="O28" s="97">
        <v>0</v>
      </c>
      <c r="P28" s="97">
        <v>0</v>
      </c>
      <c r="Q28" s="97">
        <v>0</v>
      </c>
      <c r="R28" s="97">
        <v>0</v>
      </c>
      <c r="S28" s="97">
        <v>0</v>
      </c>
      <c r="T28" s="97">
        <v>0</v>
      </c>
      <c r="U28" s="97">
        <v>0</v>
      </c>
      <c r="V28" s="97">
        <v>0</v>
      </c>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row>
    <row r="29" spans="1:51">
      <c r="A29" s="135"/>
      <c r="B29" s="53" t="s">
        <v>61</v>
      </c>
      <c r="C29" s="95" t="s">
        <v>61</v>
      </c>
      <c r="D29" s="53" t="s">
        <v>76</v>
      </c>
      <c r="E29" s="51" t="s">
        <v>61</v>
      </c>
      <c r="F29" s="97">
        <v>0</v>
      </c>
      <c r="G29" s="97">
        <v>0</v>
      </c>
      <c r="H29" s="97">
        <v>0</v>
      </c>
      <c r="I29" s="97">
        <v>0</v>
      </c>
      <c r="J29" s="97">
        <v>0</v>
      </c>
      <c r="K29" s="97">
        <v>0</v>
      </c>
      <c r="L29" s="97">
        <v>0</v>
      </c>
      <c r="M29" s="97">
        <v>0</v>
      </c>
      <c r="N29" s="97">
        <v>0</v>
      </c>
      <c r="O29" s="97">
        <v>0</v>
      </c>
      <c r="P29" s="97">
        <v>0</v>
      </c>
      <c r="Q29" s="97">
        <v>0</v>
      </c>
      <c r="R29" s="97">
        <v>0</v>
      </c>
      <c r="S29" s="97">
        <v>0</v>
      </c>
      <c r="T29" s="97">
        <v>0</v>
      </c>
      <c r="U29" s="97">
        <v>0</v>
      </c>
      <c r="V29" s="97">
        <v>0</v>
      </c>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row>
    <row r="30" spans="1:51">
      <c r="A30" s="135"/>
      <c r="B30" s="53" t="s">
        <v>61</v>
      </c>
      <c r="C30" s="95" t="s">
        <v>61</v>
      </c>
      <c r="D30" s="53" t="s">
        <v>78</v>
      </c>
      <c r="E30" s="51" t="s">
        <v>61</v>
      </c>
      <c r="F30" s="97">
        <v>0</v>
      </c>
      <c r="G30" s="97">
        <v>0</v>
      </c>
      <c r="H30" s="97">
        <v>0</v>
      </c>
      <c r="I30" s="97">
        <v>0</v>
      </c>
      <c r="J30" s="97">
        <v>0</v>
      </c>
      <c r="K30" s="97">
        <v>0</v>
      </c>
      <c r="L30" s="97">
        <v>0</v>
      </c>
      <c r="M30" s="97">
        <v>0</v>
      </c>
      <c r="N30" s="97">
        <v>0</v>
      </c>
      <c r="O30" s="97">
        <v>0</v>
      </c>
      <c r="P30" s="97">
        <v>0</v>
      </c>
      <c r="Q30" s="97">
        <v>0</v>
      </c>
      <c r="R30" s="97">
        <v>0</v>
      </c>
      <c r="S30" s="97">
        <v>0</v>
      </c>
      <c r="T30" s="97">
        <v>0</v>
      </c>
      <c r="U30" s="97">
        <v>0</v>
      </c>
      <c r="V30" s="97">
        <v>0</v>
      </c>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row>
    <row r="31" spans="1:51">
      <c r="A31" s="135"/>
      <c r="B31" s="53"/>
      <c r="C31" s="95"/>
      <c r="D31" s="53" t="s">
        <v>80</v>
      </c>
      <c r="E31" s="51"/>
      <c r="F31" s="97">
        <v>0</v>
      </c>
      <c r="G31" s="97">
        <v>0</v>
      </c>
      <c r="H31" s="97">
        <v>0</v>
      </c>
      <c r="I31" s="97">
        <v>0</v>
      </c>
      <c r="J31" s="97">
        <v>0</v>
      </c>
      <c r="K31" s="97">
        <v>0</v>
      </c>
      <c r="L31" s="97">
        <v>0</v>
      </c>
      <c r="M31" s="97">
        <v>0</v>
      </c>
      <c r="N31" s="97">
        <v>0</v>
      </c>
      <c r="O31" s="97">
        <v>0</v>
      </c>
      <c r="P31" s="97">
        <v>0</v>
      </c>
      <c r="Q31" s="97">
        <v>0</v>
      </c>
      <c r="R31" s="97">
        <v>0</v>
      </c>
      <c r="S31" s="97">
        <v>0</v>
      </c>
      <c r="T31" s="97">
        <v>0</v>
      </c>
      <c r="U31" s="97">
        <v>0</v>
      </c>
      <c r="V31" s="97">
        <v>0</v>
      </c>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row>
    <row r="32" spans="1:51">
      <c r="A32" s="135"/>
      <c r="B32" s="53"/>
      <c r="C32" s="95"/>
      <c r="D32" s="53" t="s">
        <v>82</v>
      </c>
      <c r="E32" s="51"/>
      <c r="F32" s="97">
        <v>0</v>
      </c>
      <c r="G32" s="97">
        <v>0</v>
      </c>
      <c r="H32" s="97">
        <v>0</v>
      </c>
      <c r="I32" s="97">
        <v>0</v>
      </c>
      <c r="J32" s="97">
        <v>0</v>
      </c>
      <c r="K32" s="97">
        <v>0</v>
      </c>
      <c r="L32" s="97">
        <v>0</v>
      </c>
      <c r="M32" s="97">
        <v>0</v>
      </c>
      <c r="N32" s="97">
        <v>0</v>
      </c>
      <c r="O32" s="97">
        <v>0</v>
      </c>
      <c r="P32" s="97">
        <v>0</v>
      </c>
      <c r="Q32" s="97">
        <v>0</v>
      </c>
      <c r="R32" s="97">
        <v>0</v>
      </c>
      <c r="S32" s="97">
        <v>0</v>
      </c>
      <c r="T32" s="97">
        <v>0</v>
      </c>
      <c r="U32" s="97">
        <v>0</v>
      </c>
      <c r="V32" s="97">
        <v>0</v>
      </c>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row>
    <row r="33" spans="1:51">
      <c r="A33" s="135"/>
      <c r="B33" s="53" t="s">
        <v>69</v>
      </c>
      <c r="C33" s="85" t="s">
        <v>86</v>
      </c>
      <c r="D33" s="53" t="s">
        <v>64</v>
      </c>
      <c r="E33" s="51" t="s">
        <v>61</v>
      </c>
      <c r="F33" s="97">
        <v>0</v>
      </c>
      <c r="G33" s="97">
        <v>0</v>
      </c>
      <c r="H33" s="97">
        <v>0</v>
      </c>
      <c r="I33" s="97">
        <v>0</v>
      </c>
      <c r="J33" s="97">
        <v>0</v>
      </c>
      <c r="K33" s="97">
        <v>0</v>
      </c>
      <c r="L33" s="97">
        <v>0</v>
      </c>
      <c r="M33" s="97">
        <v>0</v>
      </c>
      <c r="N33" s="97">
        <v>0</v>
      </c>
      <c r="O33" s="97">
        <v>0</v>
      </c>
      <c r="P33" s="97">
        <v>0</v>
      </c>
      <c r="Q33" s="97">
        <v>0</v>
      </c>
      <c r="R33" s="97">
        <v>0</v>
      </c>
      <c r="S33" s="97">
        <v>0</v>
      </c>
      <c r="T33" s="97">
        <v>0</v>
      </c>
      <c r="U33" s="97">
        <v>0</v>
      </c>
      <c r="V33" s="97">
        <v>0</v>
      </c>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row>
    <row r="34" spans="1:51">
      <c r="A34" s="135"/>
      <c r="B34" s="47" t="s">
        <v>61</v>
      </c>
      <c r="C34" s="52" t="s">
        <v>61</v>
      </c>
      <c r="D34" s="53" t="s">
        <v>67</v>
      </c>
      <c r="E34" s="51" t="s">
        <v>61</v>
      </c>
      <c r="F34" s="31">
        <v>73</v>
      </c>
      <c r="G34" s="84">
        <v>107</v>
      </c>
      <c r="H34" s="84">
        <v>114</v>
      </c>
      <c r="I34" s="84">
        <v>98</v>
      </c>
      <c r="J34" s="84">
        <v>98</v>
      </c>
      <c r="K34" s="84">
        <v>137</v>
      </c>
      <c r="L34" s="84">
        <v>138</v>
      </c>
      <c r="M34" s="84">
        <v>122</v>
      </c>
      <c r="N34" s="84">
        <v>181</v>
      </c>
      <c r="O34" s="84">
        <v>192</v>
      </c>
      <c r="P34" s="84">
        <v>194</v>
      </c>
      <c r="Q34" s="84">
        <v>296</v>
      </c>
      <c r="R34" s="84">
        <v>166</v>
      </c>
      <c r="S34" s="84">
        <v>178</v>
      </c>
      <c r="T34" s="84">
        <v>330</v>
      </c>
      <c r="U34" s="84">
        <v>190</v>
      </c>
      <c r="V34" s="84">
        <v>188</v>
      </c>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row>
    <row r="35" spans="1:51">
      <c r="A35" s="135"/>
      <c r="B35" s="47" t="s">
        <v>61</v>
      </c>
      <c r="C35" s="52" t="s">
        <v>61</v>
      </c>
      <c r="D35" s="53" t="s">
        <v>70</v>
      </c>
      <c r="E35" s="51" t="s">
        <v>61</v>
      </c>
      <c r="F35" s="47">
        <v>0</v>
      </c>
      <c r="G35" s="47">
        <v>0</v>
      </c>
      <c r="H35" s="47">
        <v>0</v>
      </c>
      <c r="I35" s="47">
        <v>0</v>
      </c>
      <c r="J35" s="47">
        <v>0</v>
      </c>
      <c r="K35" s="47">
        <v>0</v>
      </c>
      <c r="L35" s="47">
        <v>0</v>
      </c>
      <c r="M35" s="47">
        <v>0</v>
      </c>
      <c r="N35" s="47">
        <v>0</v>
      </c>
      <c r="O35" s="47">
        <v>0</v>
      </c>
      <c r="P35" s="47">
        <v>0</v>
      </c>
      <c r="Q35" s="47">
        <v>0</v>
      </c>
      <c r="R35" s="47">
        <v>0</v>
      </c>
      <c r="S35" s="47">
        <v>0</v>
      </c>
      <c r="T35" s="47">
        <v>0</v>
      </c>
      <c r="U35" s="47">
        <v>0</v>
      </c>
      <c r="V35" s="47">
        <v>0</v>
      </c>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row>
    <row r="36" spans="1:51">
      <c r="A36" s="135"/>
      <c r="B36" s="47" t="s">
        <v>61</v>
      </c>
      <c r="C36" s="52" t="s">
        <v>61</v>
      </c>
      <c r="D36" s="53" t="s">
        <v>72</v>
      </c>
      <c r="E36" s="51" t="s">
        <v>61</v>
      </c>
      <c r="F36" s="47">
        <v>0</v>
      </c>
      <c r="G36" s="47">
        <v>0</v>
      </c>
      <c r="H36" s="47">
        <v>0</v>
      </c>
      <c r="I36" s="47">
        <v>0</v>
      </c>
      <c r="J36" s="47">
        <v>0</v>
      </c>
      <c r="K36" s="47">
        <v>0</v>
      </c>
      <c r="L36" s="47">
        <v>0</v>
      </c>
      <c r="M36" s="47">
        <v>0</v>
      </c>
      <c r="N36" s="47">
        <v>0</v>
      </c>
      <c r="O36" s="47">
        <v>0</v>
      </c>
      <c r="P36" s="47">
        <v>0</v>
      </c>
      <c r="Q36" s="47">
        <v>0</v>
      </c>
      <c r="R36" s="47">
        <v>0</v>
      </c>
      <c r="S36" s="47">
        <v>0</v>
      </c>
      <c r="T36" s="47">
        <v>0</v>
      </c>
      <c r="U36" s="47">
        <v>0</v>
      </c>
      <c r="V36" s="47">
        <v>0</v>
      </c>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row>
    <row r="37" spans="1:51">
      <c r="A37" s="135"/>
      <c r="B37" s="47" t="s">
        <v>61</v>
      </c>
      <c r="C37" s="52" t="s">
        <v>61</v>
      </c>
      <c r="D37" s="53" t="s">
        <v>74</v>
      </c>
      <c r="E37" s="51" t="s">
        <v>61</v>
      </c>
      <c r="F37" s="47">
        <v>0</v>
      </c>
      <c r="G37" s="47">
        <v>0</v>
      </c>
      <c r="H37" s="47">
        <v>0</v>
      </c>
      <c r="I37" s="47">
        <v>0</v>
      </c>
      <c r="J37" s="47">
        <v>0</v>
      </c>
      <c r="K37" s="47">
        <v>0</v>
      </c>
      <c r="L37" s="47">
        <v>0</v>
      </c>
      <c r="M37" s="47">
        <v>0</v>
      </c>
      <c r="N37" s="47">
        <v>0</v>
      </c>
      <c r="O37" s="47">
        <v>0</v>
      </c>
      <c r="P37" s="47">
        <v>0</v>
      </c>
      <c r="Q37" s="47">
        <v>0</v>
      </c>
      <c r="R37" s="47">
        <v>0</v>
      </c>
      <c r="S37" s="47">
        <v>0</v>
      </c>
      <c r="T37" s="47">
        <v>0</v>
      </c>
      <c r="U37" s="47">
        <v>0</v>
      </c>
      <c r="V37" s="47">
        <v>0</v>
      </c>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row>
    <row r="38" spans="1:51">
      <c r="A38" s="135"/>
      <c r="B38" s="47" t="s">
        <v>61</v>
      </c>
      <c r="C38" s="52" t="s">
        <v>61</v>
      </c>
      <c r="D38" s="53" t="s">
        <v>76</v>
      </c>
      <c r="E38" s="51" t="s">
        <v>61</v>
      </c>
      <c r="F38" s="47">
        <v>0</v>
      </c>
      <c r="G38" s="47">
        <v>0</v>
      </c>
      <c r="H38" s="47">
        <v>0</v>
      </c>
      <c r="I38" s="47">
        <v>0</v>
      </c>
      <c r="J38" s="47">
        <v>0</v>
      </c>
      <c r="K38" s="47">
        <v>0</v>
      </c>
      <c r="L38" s="47">
        <v>0</v>
      </c>
      <c r="M38" s="47">
        <v>0</v>
      </c>
      <c r="N38" s="47">
        <v>0</v>
      </c>
      <c r="O38" s="47">
        <v>0</v>
      </c>
      <c r="P38" s="47">
        <v>0</v>
      </c>
      <c r="Q38" s="47">
        <v>0</v>
      </c>
      <c r="R38" s="47">
        <v>0</v>
      </c>
      <c r="S38" s="47">
        <v>0</v>
      </c>
      <c r="T38" s="47">
        <v>0</v>
      </c>
      <c r="U38" s="47">
        <v>0</v>
      </c>
      <c r="V38" s="47">
        <v>0</v>
      </c>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row>
    <row r="39" spans="1:51">
      <c r="A39" s="135"/>
      <c r="B39" s="47" t="s">
        <v>61</v>
      </c>
      <c r="C39" s="52" t="s">
        <v>61</v>
      </c>
      <c r="D39" s="53" t="s">
        <v>78</v>
      </c>
      <c r="E39" s="51" t="s">
        <v>61</v>
      </c>
      <c r="F39" s="47">
        <v>0</v>
      </c>
      <c r="G39" s="47">
        <v>0</v>
      </c>
      <c r="H39" s="47">
        <v>0</v>
      </c>
      <c r="I39" s="47">
        <v>0</v>
      </c>
      <c r="J39" s="47">
        <v>0</v>
      </c>
      <c r="K39" s="47">
        <v>0</v>
      </c>
      <c r="L39" s="47">
        <v>0</v>
      </c>
      <c r="M39" s="47">
        <v>0</v>
      </c>
      <c r="N39" s="47">
        <v>0</v>
      </c>
      <c r="O39" s="47">
        <v>0</v>
      </c>
      <c r="P39" s="47">
        <v>0</v>
      </c>
      <c r="Q39" s="47">
        <v>0</v>
      </c>
      <c r="R39" s="47">
        <v>0</v>
      </c>
      <c r="S39" s="47">
        <v>0</v>
      </c>
      <c r="T39" s="47">
        <v>0</v>
      </c>
      <c r="U39" s="47">
        <v>0</v>
      </c>
      <c r="V39" s="47">
        <v>0</v>
      </c>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row>
    <row r="40" spans="1:51">
      <c r="A40" s="135"/>
      <c r="B40" s="47"/>
      <c r="C40" s="52"/>
      <c r="D40" s="53" t="s">
        <v>80</v>
      </c>
      <c r="E40" s="51"/>
      <c r="F40" s="47">
        <v>0</v>
      </c>
      <c r="G40" s="47">
        <v>0</v>
      </c>
      <c r="H40" s="47">
        <v>0</v>
      </c>
      <c r="I40" s="47">
        <v>0</v>
      </c>
      <c r="J40" s="47">
        <v>0</v>
      </c>
      <c r="K40" s="47">
        <v>0</v>
      </c>
      <c r="L40" s="47">
        <v>0</v>
      </c>
      <c r="M40" s="47">
        <v>0</v>
      </c>
      <c r="N40" s="47">
        <v>0</v>
      </c>
      <c r="O40" s="47">
        <v>0</v>
      </c>
      <c r="P40" s="47">
        <v>0</v>
      </c>
      <c r="Q40" s="47">
        <v>0</v>
      </c>
      <c r="R40" s="47">
        <v>0</v>
      </c>
      <c r="S40" s="47">
        <v>0</v>
      </c>
      <c r="T40" s="47">
        <v>0</v>
      </c>
      <c r="U40" s="47">
        <v>0</v>
      </c>
      <c r="V40" s="47">
        <v>0</v>
      </c>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row>
    <row r="41" spans="1:51">
      <c r="A41" s="135"/>
      <c r="B41" s="47"/>
      <c r="C41" s="52"/>
      <c r="D41" s="53" t="s">
        <v>82</v>
      </c>
      <c r="E41" s="51"/>
      <c r="F41" s="47">
        <v>0</v>
      </c>
      <c r="G41" s="47">
        <v>0</v>
      </c>
      <c r="H41" s="47">
        <v>0</v>
      </c>
      <c r="I41" s="47">
        <v>0</v>
      </c>
      <c r="J41" s="47">
        <v>0</v>
      </c>
      <c r="K41" s="47">
        <v>0</v>
      </c>
      <c r="L41" s="47">
        <v>0</v>
      </c>
      <c r="M41" s="47">
        <v>0</v>
      </c>
      <c r="N41" s="47">
        <v>0</v>
      </c>
      <c r="O41" s="47">
        <v>0</v>
      </c>
      <c r="P41" s="47">
        <v>0</v>
      </c>
      <c r="Q41" s="47">
        <v>0</v>
      </c>
      <c r="R41" s="47">
        <v>0</v>
      </c>
      <c r="S41" s="47">
        <v>0</v>
      </c>
      <c r="T41" s="47">
        <v>0</v>
      </c>
      <c r="U41" s="47">
        <v>0</v>
      </c>
      <c r="V41" s="47">
        <v>0</v>
      </c>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row>
    <row r="42" spans="1:51">
      <c r="A42" s="135"/>
      <c r="B42" s="47" t="s">
        <v>71</v>
      </c>
      <c r="C42" s="52" t="s">
        <v>87</v>
      </c>
      <c r="D42" s="53" t="s">
        <v>64</v>
      </c>
      <c r="E42" s="51" t="s">
        <v>61</v>
      </c>
      <c r="F42" s="47">
        <v>0</v>
      </c>
      <c r="G42" s="47">
        <v>0</v>
      </c>
      <c r="H42" s="47">
        <v>0</v>
      </c>
      <c r="I42" s="47">
        <v>0</v>
      </c>
      <c r="J42" s="47">
        <v>0</v>
      </c>
      <c r="K42" s="47">
        <v>0</v>
      </c>
      <c r="L42" s="47">
        <v>0</v>
      </c>
      <c r="M42" s="47">
        <v>0</v>
      </c>
      <c r="N42" s="47">
        <v>0</v>
      </c>
      <c r="O42" s="47">
        <v>0</v>
      </c>
      <c r="P42" s="47">
        <v>0</v>
      </c>
      <c r="Q42" s="47">
        <v>0</v>
      </c>
      <c r="R42" s="47">
        <v>0</v>
      </c>
      <c r="S42" s="47">
        <v>0</v>
      </c>
      <c r="T42" s="47">
        <v>0</v>
      </c>
      <c r="U42" s="47">
        <v>0</v>
      </c>
      <c r="V42" s="47">
        <v>0</v>
      </c>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row>
    <row r="43" spans="1:51">
      <c r="A43" s="135"/>
      <c r="B43" s="47" t="s">
        <v>61</v>
      </c>
      <c r="C43" s="47" t="s">
        <v>61</v>
      </c>
      <c r="D43" s="53" t="s">
        <v>67</v>
      </c>
      <c r="E43" s="51" t="s">
        <v>61</v>
      </c>
      <c r="F43" s="47">
        <v>0</v>
      </c>
      <c r="G43" s="47">
        <v>0</v>
      </c>
      <c r="H43" s="47">
        <v>0</v>
      </c>
      <c r="I43" s="47">
        <v>0</v>
      </c>
      <c r="J43" s="47">
        <v>0</v>
      </c>
      <c r="K43" s="47">
        <v>0</v>
      </c>
      <c r="L43" s="47">
        <v>0</v>
      </c>
      <c r="M43" s="47">
        <v>0</v>
      </c>
      <c r="N43" s="47">
        <v>0</v>
      </c>
      <c r="O43" s="47">
        <v>0</v>
      </c>
      <c r="P43" s="47">
        <v>0</v>
      </c>
      <c r="Q43" s="47">
        <v>0</v>
      </c>
      <c r="R43" s="47">
        <v>0</v>
      </c>
      <c r="S43" s="47">
        <v>0</v>
      </c>
      <c r="T43" s="47">
        <v>0</v>
      </c>
      <c r="U43" s="47">
        <v>0</v>
      </c>
      <c r="V43" s="47">
        <v>0</v>
      </c>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row>
    <row r="44" spans="1:51">
      <c r="A44" s="135"/>
      <c r="B44" s="47" t="s">
        <v>61</v>
      </c>
      <c r="C44" s="47" t="s">
        <v>61</v>
      </c>
      <c r="D44" s="53" t="s">
        <v>70</v>
      </c>
      <c r="E44" s="51" t="s">
        <v>61</v>
      </c>
      <c r="F44" s="47">
        <v>0</v>
      </c>
      <c r="G44" s="47">
        <v>0</v>
      </c>
      <c r="H44" s="47">
        <v>0</v>
      </c>
      <c r="I44" s="47">
        <v>0</v>
      </c>
      <c r="J44" s="47">
        <v>0</v>
      </c>
      <c r="K44" s="47">
        <v>0</v>
      </c>
      <c r="L44" s="47">
        <v>0</v>
      </c>
      <c r="M44" s="47">
        <v>0</v>
      </c>
      <c r="N44" s="47">
        <v>0</v>
      </c>
      <c r="O44" s="47">
        <v>0</v>
      </c>
      <c r="P44" s="47">
        <v>0</v>
      </c>
      <c r="Q44" s="47">
        <v>0</v>
      </c>
      <c r="R44" s="47">
        <v>0</v>
      </c>
      <c r="S44" s="47">
        <v>0</v>
      </c>
      <c r="T44" s="47">
        <v>0</v>
      </c>
      <c r="U44" s="47">
        <v>0</v>
      </c>
      <c r="V44" s="47">
        <v>0</v>
      </c>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row>
    <row r="45" spans="1:51">
      <c r="A45" s="135"/>
      <c r="B45" s="47" t="s">
        <v>61</v>
      </c>
      <c r="C45" s="47" t="s">
        <v>61</v>
      </c>
      <c r="D45" s="53" t="s">
        <v>72</v>
      </c>
      <c r="E45" s="51" t="s">
        <v>61</v>
      </c>
      <c r="F45" s="47">
        <v>0</v>
      </c>
      <c r="G45" s="47">
        <v>0</v>
      </c>
      <c r="H45" s="47">
        <v>0</v>
      </c>
      <c r="I45" s="47">
        <v>0</v>
      </c>
      <c r="J45" s="47">
        <v>0</v>
      </c>
      <c r="K45" s="47">
        <v>0</v>
      </c>
      <c r="L45" s="47">
        <v>0</v>
      </c>
      <c r="M45" s="47">
        <v>0</v>
      </c>
      <c r="N45" s="47">
        <v>0</v>
      </c>
      <c r="O45" s="47">
        <v>0</v>
      </c>
      <c r="P45" s="47">
        <v>0</v>
      </c>
      <c r="Q45" s="47">
        <v>0</v>
      </c>
      <c r="R45" s="47">
        <v>0</v>
      </c>
      <c r="S45" s="47">
        <v>0</v>
      </c>
      <c r="T45" s="47">
        <v>0</v>
      </c>
      <c r="U45" s="47">
        <v>0</v>
      </c>
      <c r="V45" s="47">
        <v>0</v>
      </c>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row>
    <row r="46" spans="1:51">
      <c r="A46" s="135"/>
      <c r="B46" s="47" t="s">
        <v>61</v>
      </c>
      <c r="C46" s="47" t="s">
        <v>61</v>
      </c>
      <c r="D46" s="53" t="s">
        <v>74</v>
      </c>
      <c r="E46" s="51" t="s">
        <v>61</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row>
    <row r="47" spans="1:51">
      <c r="A47" s="135"/>
      <c r="B47" s="47" t="s">
        <v>61</v>
      </c>
      <c r="C47" s="47" t="s">
        <v>61</v>
      </c>
      <c r="D47" s="53" t="s">
        <v>76</v>
      </c>
      <c r="E47" s="51" t="s">
        <v>61</v>
      </c>
      <c r="F47" s="47">
        <v>0</v>
      </c>
      <c r="G47" s="47">
        <v>0</v>
      </c>
      <c r="H47" s="47">
        <v>0</v>
      </c>
      <c r="I47" s="47">
        <v>0</v>
      </c>
      <c r="J47" s="47">
        <v>0</v>
      </c>
      <c r="K47" s="47">
        <v>0</v>
      </c>
      <c r="L47" s="47">
        <v>0</v>
      </c>
      <c r="M47" s="47">
        <v>0</v>
      </c>
      <c r="N47" s="47">
        <v>0</v>
      </c>
      <c r="O47" s="47">
        <v>0</v>
      </c>
      <c r="P47" s="47">
        <v>0</v>
      </c>
      <c r="Q47" s="47">
        <v>0</v>
      </c>
      <c r="R47" s="47">
        <v>0</v>
      </c>
      <c r="S47" s="47">
        <v>0</v>
      </c>
      <c r="T47" s="47">
        <v>0</v>
      </c>
      <c r="U47" s="47">
        <v>0</v>
      </c>
      <c r="V47" s="47">
        <v>0</v>
      </c>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row>
    <row r="48" spans="1:51">
      <c r="A48" s="135"/>
      <c r="B48" s="47" t="s">
        <v>61</v>
      </c>
      <c r="C48" s="47" t="s">
        <v>61</v>
      </c>
      <c r="D48" s="53" t="s">
        <v>78</v>
      </c>
      <c r="E48" s="51" t="s">
        <v>61</v>
      </c>
      <c r="F48" s="47">
        <v>0</v>
      </c>
      <c r="G48" s="47">
        <v>0</v>
      </c>
      <c r="H48" s="47">
        <v>0</v>
      </c>
      <c r="I48" s="47">
        <v>0</v>
      </c>
      <c r="J48" s="47">
        <v>0</v>
      </c>
      <c r="K48" s="47">
        <v>0</v>
      </c>
      <c r="L48" s="47">
        <v>0</v>
      </c>
      <c r="M48" s="47">
        <v>0</v>
      </c>
      <c r="N48" s="47">
        <v>0</v>
      </c>
      <c r="O48" s="47">
        <v>0</v>
      </c>
      <c r="P48" s="47">
        <v>0</v>
      </c>
      <c r="Q48" s="47">
        <v>0</v>
      </c>
      <c r="R48" s="47">
        <v>0</v>
      </c>
      <c r="S48" s="47">
        <v>0</v>
      </c>
      <c r="T48" s="47">
        <v>0</v>
      </c>
      <c r="U48" s="47">
        <v>0</v>
      </c>
      <c r="V48" s="47">
        <v>0</v>
      </c>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row>
    <row r="49" spans="1:51">
      <c r="A49" s="135"/>
      <c r="B49" s="47"/>
      <c r="C49" s="47"/>
      <c r="D49" s="53" t="s">
        <v>80</v>
      </c>
      <c r="E49" s="51"/>
      <c r="F49" s="47">
        <v>0</v>
      </c>
      <c r="G49" s="47">
        <v>0</v>
      </c>
      <c r="H49" s="47">
        <v>0</v>
      </c>
      <c r="I49" s="47">
        <v>0</v>
      </c>
      <c r="J49" s="47">
        <v>0</v>
      </c>
      <c r="K49" s="47">
        <v>0</v>
      </c>
      <c r="L49" s="47">
        <v>0</v>
      </c>
      <c r="M49" s="47">
        <v>0</v>
      </c>
      <c r="N49" s="47">
        <v>0</v>
      </c>
      <c r="O49" s="47">
        <v>0</v>
      </c>
      <c r="P49" s="47">
        <v>0</v>
      </c>
      <c r="Q49" s="47">
        <v>0</v>
      </c>
      <c r="R49" s="47">
        <v>0</v>
      </c>
      <c r="S49" s="47">
        <v>0</v>
      </c>
      <c r="T49" s="47">
        <v>0</v>
      </c>
      <c r="U49" s="47">
        <v>0</v>
      </c>
      <c r="V49" s="47">
        <v>0</v>
      </c>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row>
    <row r="50" spans="1:51">
      <c r="A50" s="135"/>
      <c r="B50" s="47"/>
      <c r="C50" s="47"/>
      <c r="D50" s="53" t="s">
        <v>82</v>
      </c>
      <c r="E50" s="51"/>
      <c r="F50" s="47">
        <v>0</v>
      </c>
      <c r="G50" s="47">
        <v>0</v>
      </c>
      <c r="H50" s="47">
        <v>0</v>
      </c>
      <c r="I50" s="47">
        <v>0</v>
      </c>
      <c r="J50" s="47">
        <v>0</v>
      </c>
      <c r="K50" s="47">
        <v>0</v>
      </c>
      <c r="L50" s="47">
        <v>0</v>
      </c>
      <c r="M50" s="47">
        <v>0</v>
      </c>
      <c r="N50" s="47">
        <v>0</v>
      </c>
      <c r="O50" s="47">
        <v>0</v>
      </c>
      <c r="P50" s="47">
        <v>0</v>
      </c>
      <c r="Q50" s="47">
        <v>0</v>
      </c>
      <c r="R50" s="47">
        <v>0</v>
      </c>
      <c r="S50" s="47">
        <v>0</v>
      </c>
      <c r="T50" s="47">
        <v>0</v>
      </c>
      <c r="U50" s="47">
        <v>0</v>
      </c>
      <c r="V50" s="47">
        <v>0</v>
      </c>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row>
    <row r="51" spans="1:51">
      <c r="A51" s="135"/>
      <c r="B51" s="47" t="s">
        <v>73</v>
      </c>
      <c r="C51" s="52" t="s">
        <v>88</v>
      </c>
      <c r="D51" s="53" t="s">
        <v>64</v>
      </c>
      <c r="E51" s="51" t="s">
        <v>61</v>
      </c>
      <c r="F51" s="47">
        <v>0</v>
      </c>
      <c r="G51" s="47">
        <v>0</v>
      </c>
      <c r="H51" s="47">
        <v>0</v>
      </c>
      <c r="I51" s="47">
        <v>0</v>
      </c>
      <c r="J51" s="47">
        <v>0</v>
      </c>
      <c r="K51" s="47">
        <v>0</v>
      </c>
      <c r="L51" s="47">
        <v>0</v>
      </c>
      <c r="M51" s="47">
        <v>0</v>
      </c>
      <c r="N51" s="47">
        <v>0</v>
      </c>
      <c r="O51" s="47">
        <v>0</v>
      </c>
      <c r="P51" s="47">
        <v>0</v>
      </c>
      <c r="Q51" s="47">
        <v>0</v>
      </c>
      <c r="R51" s="47">
        <v>0</v>
      </c>
      <c r="S51" s="47">
        <v>0</v>
      </c>
      <c r="T51" s="47">
        <v>0</v>
      </c>
      <c r="U51" s="47">
        <v>0</v>
      </c>
      <c r="V51" s="47">
        <v>0</v>
      </c>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row>
    <row r="52" spans="1:51">
      <c r="A52" s="135"/>
      <c r="B52" s="55" t="s">
        <v>61</v>
      </c>
      <c r="C52" s="56" t="s">
        <v>61</v>
      </c>
      <c r="D52" s="53" t="s">
        <v>67</v>
      </c>
      <c r="E52" s="51" t="s">
        <v>61</v>
      </c>
      <c r="F52" s="47">
        <v>0</v>
      </c>
      <c r="G52" s="47">
        <v>0</v>
      </c>
      <c r="H52" s="47">
        <v>0</v>
      </c>
      <c r="I52" s="47">
        <v>0</v>
      </c>
      <c r="J52" s="47">
        <v>0</v>
      </c>
      <c r="K52" s="47">
        <v>0</v>
      </c>
      <c r="L52" s="47">
        <v>0</v>
      </c>
      <c r="M52" s="47">
        <v>0</v>
      </c>
      <c r="N52" s="47">
        <v>0</v>
      </c>
      <c r="O52" s="47">
        <v>0</v>
      </c>
      <c r="P52" s="47">
        <v>0</v>
      </c>
      <c r="Q52" s="47">
        <v>0</v>
      </c>
      <c r="R52" s="47">
        <v>0</v>
      </c>
      <c r="S52" s="47">
        <v>0</v>
      </c>
      <c r="T52" s="47">
        <v>0</v>
      </c>
      <c r="U52" s="47">
        <v>0</v>
      </c>
      <c r="V52" s="47">
        <v>0</v>
      </c>
      <c r="W52" s="43" t="s">
        <v>61</v>
      </c>
      <c r="X52" s="43" t="s">
        <v>61</v>
      </c>
      <c r="Y52" s="43" t="s">
        <v>61</v>
      </c>
      <c r="Z52" s="43" t="s">
        <v>61</v>
      </c>
      <c r="AA52" s="43" t="s">
        <v>61</v>
      </c>
      <c r="AB52" s="43" t="s">
        <v>61</v>
      </c>
      <c r="AC52" s="43" t="s">
        <v>61</v>
      </c>
      <c r="AD52" s="43" t="s">
        <v>61</v>
      </c>
      <c r="AE52" s="43" t="s">
        <v>61</v>
      </c>
      <c r="AF52" s="43" t="s">
        <v>61</v>
      </c>
      <c r="AG52" s="43" t="s">
        <v>61</v>
      </c>
      <c r="AH52" s="43" t="s">
        <v>61</v>
      </c>
      <c r="AI52" s="43" t="s">
        <v>61</v>
      </c>
      <c r="AJ52" s="43" t="s">
        <v>61</v>
      </c>
      <c r="AK52" s="43" t="s">
        <v>61</v>
      </c>
      <c r="AL52" s="43" t="s">
        <v>61</v>
      </c>
      <c r="AM52" s="43" t="s">
        <v>61</v>
      </c>
      <c r="AN52" s="43" t="s">
        <v>61</v>
      </c>
      <c r="AO52" s="43" t="s">
        <v>61</v>
      </c>
      <c r="AP52" s="43" t="s">
        <v>61</v>
      </c>
      <c r="AQ52" s="43" t="s">
        <v>61</v>
      </c>
      <c r="AR52" s="43" t="s">
        <v>61</v>
      </c>
      <c r="AS52" s="43" t="s">
        <v>61</v>
      </c>
      <c r="AT52" s="43" t="s">
        <v>61</v>
      </c>
      <c r="AU52" s="43" t="s">
        <v>61</v>
      </c>
      <c r="AV52" s="43" t="s">
        <v>61</v>
      </c>
      <c r="AW52" s="43" t="s">
        <v>61</v>
      </c>
      <c r="AX52" s="43"/>
      <c r="AY52" s="43"/>
    </row>
    <row r="53" spans="1:51">
      <c r="A53" s="135"/>
      <c r="B53" s="55" t="s">
        <v>61</v>
      </c>
      <c r="C53" s="56" t="s">
        <v>61</v>
      </c>
      <c r="D53" s="53" t="s">
        <v>70</v>
      </c>
      <c r="E53" s="51" t="s">
        <v>61</v>
      </c>
      <c r="F53" s="47">
        <v>0</v>
      </c>
      <c r="G53" s="47">
        <v>0</v>
      </c>
      <c r="H53" s="47">
        <v>0</v>
      </c>
      <c r="I53" s="47">
        <v>0</v>
      </c>
      <c r="J53" s="47">
        <v>0</v>
      </c>
      <c r="K53" s="47">
        <v>0</v>
      </c>
      <c r="L53" s="47">
        <v>0</v>
      </c>
      <c r="M53" s="47">
        <v>0</v>
      </c>
      <c r="N53" s="47">
        <v>0</v>
      </c>
      <c r="O53" s="47">
        <v>0</v>
      </c>
      <c r="P53" s="47">
        <v>0</v>
      </c>
      <c r="Q53" s="47">
        <v>0</v>
      </c>
      <c r="R53" s="47">
        <v>0</v>
      </c>
      <c r="S53" s="47">
        <v>0</v>
      </c>
      <c r="T53" s="47">
        <v>0</v>
      </c>
      <c r="U53" s="47">
        <v>0</v>
      </c>
      <c r="V53" s="47">
        <v>0</v>
      </c>
      <c r="W53" s="43" t="s">
        <v>61</v>
      </c>
      <c r="X53" s="43" t="s">
        <v>61</v>
      </c>
      <c r="Y53" s="43" t="s">
        <v>61</v>
      </c>
      <c r="Z53" s="43" t="s">
        <v>61</v>
      </c>
      <c r="AA53" s="43" t="s">
        <v>61</v>
      </c>
      <c r="AB53" s="43" t="s">
        <v>61</v>
      </c>
      <c r="AC53" s="43" t="s">
        <v>61</v>
      </c>
      <c r="AD53" s="43" t="s">
        <v>61</v>
      </c>
      <c r="AE53" s="43" t="s">
        <v>61</v>
      </c>
      <c r="AF53" s="43" t="s">
        <v>61</v>
      </c>
      <c r="AG53" s="43" t="s">
        <v>61</v>
      </c>
      <c r="AH53" s="43" t="s">
        <v>61</v>
      </c>
      <c r="AI53" s="43" t="s">
        <v>61</v>
      </c>
      <c r="AJ53" s="43" t="s">
        <v>61</v>
      </c>
      <c r="AK53" s="43" t="s">
        <v>61</v>
      </c>
      <c r="AL53" s="43" t="s">
        <v>61</v>
      </c>
      <c r="AM53" s="43" t="s">
        <v>61</v>
      </c>
      <c r="AN53" s="43" t="s">
        <v>61</v>
      </c>
      <c r="AO53" s="43" t="s">
        <v>61</v>
      </c>
      <c r="AP53" s="43" t="s">
        <v>61</v>
      </c>
      <c r="AQ53" s="43" t="s">
        <v>61</v>
      </c>
      <c r="AR53" s="43" t="s">
        <v>61</v>
      </c>
      <c r="AS53" s="43" t="s">
        <v>61</v>
      </c>
      <c r="AT53" s="43" t="s">
        <v>61</v>
      </c>
      <c r="AU53" s="43" t="s">
        <v>61</v>
      </c>
      <c r="AV53" s="43" t="s">
        <v>61</v>
      </c>
      <c r="AW53" s="43" t="s">
        <v>61</v>
      </c>
      <c r="AX53" s="43"/>
      <c r="AY53" s="43"/>
    </row>
    <row r="54" spans="1:51">
      <c r="A54" s="135"/>
      <c r="B54" s="55" t="s">
        <v>61</v>
      </c>
      <c r="C54" s="56" t="s">
        <v>61</v>
      </c>
      <c r="D54" s="53" t="s">
        <v>72</v>
      </c>
      <c r="E54" s="51" t="s">
        <v>61</v>
      </c>
      <c r="F54" s="47">
        <v>0</v>
      </c>
      <c r="G54" s="47">
        <v>0</v>
      </c>
      <c r="H54" s="47">
        <v>0</v>
      </c>
      <c r="I54" s="47">
        <v>0</v>
      </c>
      <c r="J54" s="47">
        <v>0</v>
      </c>
      <c r="K54" s="47">
        <v>0</v>
      </c>
      <c r="L54" s="47">
        <v>0</v>
      </c>
      <c r="M54" s="47">
        <v>0</v>
      </c>
      <c r="N54" s="47">
        <v>0</v>
      </c>
      <c r="O54" s="47">
        <v>0</v>
      </c>
      <c r="P54" s="47">
        <v>0</v>
      </c>
      <c r="Q54" s="47">
        <v>0</v>
      </c>
      <c r="R54" s="47">
        <v>0</v>
      </c>
      <c r="S54" s="47">
        <v>0</v>
      </c>
      <c r="T54" s="47">
        <v>0</v>
      </c>
      <c r="U54" s="47">
        <v>0</v>
      </c>
      <c r="V54" s="47">
        <v>0</v>
      </c>
      <c r="W54" s="43" t="s">
        <v>61</v>
      </c>
      <c r="X54" s="43" t="s">
        <v>61</v>
      </c>
      <c r="Y54" s="43" t="s">
        <v>61</v>
      </c>
      <c r="Z54" s="43" t="s">
        <v>61</v>
      </c>
      <c r="AA54" s="43" t="s">
        <v>61</v>
      </c>
      <c r="AB54" s="43" t="s">
        <v>61</v>
      </c>
      <c r="AC54" s="43" t="s">
        <v>61</v>
      </c>
      <c r="AD54" s="43" t="s">
        <v>61</v>
      </c>
      <c r="AE54" s="43" t="s">
        <v>61</v>
      </c>
      <c r="AF54" s="43" t="s">
        <v>61</v>
      </c>
      <c r="AG54" s="43" t="s">
        <v>61</v>
      </c>
      <c r="AH54" s="43" t="s">
        <v>61</v>
      </c>
      <c r="AI54" s="43" t="s">
        <v>61</v>
      </c>
      <c r="AJ54" s="43" t="s">
        <v>61</v>
      </c>
      <c r="AK54" s="43" t="s">
        <v>61</v>
      </c>
      <c r="AL54" s="43" t="s">
        <v>61</v>
      </c>
      <c r="AM54" s="43" t="s">
        <v>61</v>
      </c>
      <c r="AN54" s="43" t="s">
        <v>61</v>
      </c>
      <c r="AO54" s="43" t="s">
        <v>61</v>
      </c>
      <c r="AP54" s="43" t="s">
        <v>61</v>
      </c>
      <c r="AQ54" s="43" t="s">
        <v>61</v>
      </c>
      <c r="AR54" s="43" t="s">
        <v>61</v>
      </c>
      <c r="AS54" s="43" t="s">
        <v>61</v>
      </c>
      <c r="AT54" s="43" t="s">
        <v>61</v>
      </c>
      <c r="AU54" s="43" t="s">
        <v>61</v>
      </c>
      <c r="AV54" s="43" t="s">
        <v>61</v>
      </c>
      <c r="AW54" s="43" t="s">
        <v>61</v>
      </c>
      <c r="AX54" s="43"/>
      <c r="AY54" s="43"/>
    </row>
    <row r="55" spans="1:51">
      <c r="A55" s="135"/>
      <c r="B55" s="55" t="s">
        <v>61</v>
      </c>
      <c r="C55" s="56" t="s">
        <v>61</v>
      </c>
      <c r="D55" s="53" t="s">
        <v>74</v>
      </c>
      <c r="E55" s="51" t="s">
        <v>61</v>
      </c>
      <c r="F55" s="47">
        <v>0</v>
      </c>
      <c r="G55" s="47">
        <v>0</v>
      </c>
      <c r="H55" s="47">
        <v>0</v>
      </c>
      <c r="I55" s="47">
        <v>0</v>
      </c>
      <c r="J55" s="47">
        <v>0</v>
      </c>
      <c r="K55" s="47">
        <v>0</v>
      </c>
      <c r="L55" s="47">
        <v>0</v>
      </c>
      <c r="M55" s="47">
        <v>0</v>
      </c>
      <c r="N55" s="47">
        <v>0</v>
      </c>
      <c r="O55" s="47">
        <v>0</v>
      </c>
      <c r="P55" s="47">
        <v>0</v>
      </c>
      <c r="Q55" s="47">
        <v>0</v>
      </c>
      <c r="R55" s="47">
        <v>0</v>
      </c>
      <c r="S55" s="47">
        <v>0</v>
      </c>
      <c r="T55" s="47">
        <v>0</v>
      </c>
      <c r="U55" s="47">
        <v>0</v>
      </c>
      <c r="V55" s="47">
        <v>0</v>
      </c>
      <c r="W55" s="43" t="s">
        <v>61</v>
      </c>
      <c r="X55" s="43" t="s">
        <v>61</v>
      </c>
      <c r="Y55" s="43" t="s">
        <v>61</v>
      </c>
      <c r="Z55" s="43" t="s">
        <v>61</v>
      </c>
      <c r="AA55" s="43" t="s">
        <v>61</v>
      </c>
      <c r="AB55" s="43" t="s">
        <v>61</v>
      </c>
      <c r="AC55" s="43" t="s">
        <v>61</v>
      </c>
      <c r="AD55" s="43" t="s">
        <v>61</v>
      </c>
      <c r="AE55" s="43" t="s">
        <v>61</v>
      </c>
      <c r="AF55" s="43" t="s">
        <v>61</v>
      </c>
      <c r="AG55" s="43" t="s">
        <v>61</v>
      </c>
      <c r="AH55" s="43" t="s">
        <v>61</v>
      </c>
      <c r="AI55" s="43" t="s">
        <v>61</v>
      </c>
      <c r="AJ55" s="43" t="s">
        <v>61</v>
      </c>
      <c r="AK55" s="43" t="s">
        <v>61</v>
      </c>
      <c r="AL55" s="43" t="s">
        <v>61</v>
      </c>
      <c r="AM55" s="43" t="s">
        <v>61</v>
      </c>
      <c r="AN55" s="43" t="s">
        <v>61</v>
      </c>
      <c r="AO55" s="43" t="s">
        <v>61</v>
      </c>
      <c r="AP55" s="43" t="s">
        <v>61</v>
      </c>
      <c r="AQ55" s="43" t="s">
        <v>61</v>
      </c>
      <c r="AR55" s="43" t="s">
        <v>61</v>
      </c>
      <c r="AS55" s="43" t="s">
        <v>61</v>
      </c>
      <c r="AT55" s="43" t="s">
        <v>61</v>
      </c>
      <c r="AU55" s="43" t="s">
        <v>61</v>
      </c>
      <c r="AV55" s="43" t="s">
        <v>61</v>
      </c>
      <c r="AW55" s="43" t="s">
        <v>61</v>
      </c>
      <c r="AX55" s="43"/>
      <c r="AY55" s="43"/>
    </row>
    <row r="56" spans="1:51">
      <c r="A56" s="135"/>
      <c r="B56" s="55" t="s">
        <v>61</v>
      </c>
      <c r="C56" s="56" t="s">
        <v>61</v>
      </c>
      <c r="D56" s="53" t="s">
        <v>76</v>
      </c>
      <c r="E56" s="51" t="s">
        <v>61</v>
      </c>
      <c r="F56" s="47">
        <v>0</v>
      </c>
      <c r="G56" s="47">
        <v>0</v>
      </c>
      <c r="H56" s="47">
        <v>0</v>
      </c>
      <c r="I56" s="47">
        <v>0</v>
      </c>
      <c r="J56" s="47">
        <v>0</v>
      </c>
      <c r="K56" s="47">
        <v>0</v>
      </c>
      <c r="L56" s="47">
        <v>0</v>
      </c>
      <c r="M56" s="47">
        <v>0</v>
      </c>
      <c r="N56" s="47">
        <v>0</v>
      </c>
      <c r="O56" s="47">
        <v>0</v>
      </c>
      <c r="P56" s="47">
        <v>0</v>
      </c>
      <c r="Q56" s="47">
        <v>0</v>
      </c>
      <c r="R56" s="47">
        <v>0</v>
      </c>
      <c r="S56" s="47">
        <v>0</v>
      </c>
      <c r="T56" s="47">
        <v>0</v>
      </c>
      <c r="U56" s="47">
        <v>0</v>
      </c>
      <c r="V56" s="47">
        <v>0</v>
      </c>
      <c r="W56" s="43" t="s">
        <v>61</v>
      </c>
      <c r="X56" s="43" t="s">
        <v>61</v>
      </c>
      <c r="Y56" s="43" t="s">
        <v>61</v>
      </c>
      <c r="Z56" s="43" t="s">
        <v>61</v>
      </c>
      <c r="AA56" s="43" t="s">
        <v>61</v>
      </c>
      <c r="AB56" s="43" t="s">
        <v>61</v>
      </c>
      <c r="AC56" s="43" t="s">
        <v>61</v>
      </c>
      <c r="AD56" s="43" t="s">
        <v>61</v>
      </c>
      <c r="AE56" s="43" t="s">
        <v>61</v>
      </c>
      <c r="AF56" s="43" t="s">
        <v>61</v>
      </c>
      <c r="AG56" s="43" t="s">
        <v>61</v>
      </c>
      <c r="AH56" s="43" t="s">
        <v>61</v>
      </c>
      <c r="AI56" s="43" t="s">
        <v>61</v>
      </c>
      <c r="AJ56" s="43" t="s">
        <v>61</v>
      </c>
      <c r="AK56" s="43" t="s">
        <v>61</v>
      </c>
      <c r="AL56" s="43" t="s">
        <v>61</v>
      </c>
      <c r="AM56" s="43" t="s">
        <v>61</v>
      </c>
      <c r="AN56" s="43" t="s">
        <v>61</v>
      </c>
      <c r="AO56" s="43" t="s">
        <v>61</v>
      </c>
      <c r="AP56" s="43" t="s">
        <v>61</v>
      </c>
      <c r="AQ56" s="43" t="s">
        <v>61</v>
      </c>
      <c r="AR56" s="43" t="s">
        <v>61</v>
      </c>
      <c r="AS56" s="43" t="s">
        <v>61</v>
      </c>
      <c r="AT56" s="43" t="s">
        <v>61</v>
      </c>
      <c r="AU56" s="43" t="s">
        <v>61</v>
      </c>
      <c r="AV56" s="43" t="s">
        <v>61</v>
      </c>
      <c r="AW56" s="43" t="s">
        <v>61</v>
      </c>
      <c r="AX56" s="43"/>
      <c r="AY56" s="43"/>
    </row>
    <row r="57" spans="1:51">
      <c r="A57" s="135"/>
      <c r="B57" s="55" t="s">
        <v>61</v>
      </c>
      <c r="C57" s="56" t="s">
        <v>61</v>
      </c>
      <c r="D57" s="53" t="s">
        <v>78</v>
      </c>
      <c r="E57" s="51" t="s">
        <v>61</v>
      </c>
      <c r="F57" s="47">
        <v>0</v>
      </c>
      <c r="G57" s="47">
        <v>0</v>
      </c>
      <c r="H57" s="47">
        <v>0</v>
      </c>
      <c r="I57" s="47">
        <v>0</v>
      </c>
      <c r="J57" s="47">
        <v>0</v>
      </c>
      <c r="K57" s="47">
        <v>0</v>
      </c>
      <c r="L57" s="47">
        <v>0</v>
      </c>
      <c r="M57" s="47">
        <v>0</v>
      </c>
      <c r="N57" s="47">
        <v>0</v>
      </c>
      <c r="O57" s="47">
        <v>0</v>
      </c>
      <c r="P57" s="47">
        <v>0</v>
      </c>
      <c r="Q57" s="47">
        <v>0</v>
      </c>
      <c r="R57" s="47">
        <v>0</v>
      </c>
      <c r="S57" s="47">
        <v>0</v>
      </c>
      <c r="T57" s="47">
        <v>0</v>
      </c>
      <c r="U57" s="47">
        <v>0</v>
      </c>
      <c r="V57" s="47">
        <v>0</v>
      </c>
      <c r="W57" s="43" t="s">
        <v>61</v>
      </c>
      <c r="X57" s="43" t="s">
        <v>61</v>
      </c>
      <c r="Y57" s="43" t="s">
        <v>61</v>
      </c>
      <c r="Z57" s="43" t="s">
        <v>61</v>
      </c>
      <c r="AA57" s="43" t="s">
        <v>61</v>
      </c>
      <c r="AB57" s="43" t="s">
        <v>61</v>
      </c>
      <c r="AC57" s="43" t="s">
        <v>61</v>
      </c>
      <c r="AD57" s="43" t="s">
        <v>61</v>
      </c>
      <c r="AE57" s="43" t="s">
        <v>61</v>
      </c>
      <c r="AF57" s="43" t="s">
        <v>61</v>
      </c>
      <c r="AG57" s="43" t="s">
        <v>61</v>
      </c>
      <c r="AH57" s="43" t="s">
        <v>61</v>
      </c>
      <c r="AI57" s="43" t="s">
        <v>61</v>
      </c>
      <c r="AJ57" s="43" t="s">
        <v>61</v>
      </c>
      <c r="AK57" s="43" t="s">
        <v>61</v>
      </c>
      <c r="AL57" s="43" t="s">
        <v>61</v>
      </c>
      <c r="AM57" s="43" t="s">
        <v>61</v>
      </c>
      <c r="AN57" s="43" t="s">
        <v>61</v>
      </c>
      <c r="AO57" s="43" t="s">
        <v>61</v>
      </c>
      <c r="AP57" s="43" t="s">
        <v>61</v>
      </c>
      <c r="AQ57" s="43" t="s">
        <v>61</v>
      </c>
      <c r="AR57" s="43" t="s">
        <v>61</v>
      </c>
      <c r="AS57" s="43" t="s">
        <v>61</v>
      </c>
      <c r="AT57" s="43" t="s">
        <v>61</v>
      </c>
      <c r="AU57" s="43" t="s">
        <v>61</v>
      </c>
      <c r="AV57" s="43" t="s">
        <v>61</v>
      </c>
      <c r="AW57" s="43" t="s">
        <v>61</v>
      </c>
      <c r="AX57" s="43"/>
      <c r="AY57" s="43"/>
    </row>
    <row r="58" spans="1:51">
      <c r="A58" s="135"/>
      <c r="B58" s="55"/>
      <c r="C58" s="56"/>
      <c r="D58" s="53" t="s">
        <v>80</v>
      </c>
      <c r="E58" s="51"/>
      <c r="F58" s="47">
        <v>0</v>
      </c>
      <c r="G58" s="47">
        <v>0</v>
      </c>
      <c r="H58" s="47">
        <v>0</v>
      </c>
      <c r="I58" s="47">
        <v>0</v>
      </c>
      <c r="J58" s="47">
        <v>0</v>
      </c>
      <c r="K58" s="47">
        <v>0</v>
      </c>
      <c r="L58" s="47">
        <v>0</v>
      </c>
      <c r="M58" s="47">
        <v>0</v>
      </c>
      <c r="N58" s="47">
        <v>0</v>
      </c>
      <c r="O58" s="47">
        <v>0</v>
      </c>
      <c r="P58" s="47">
        <v>0</v>
      </c>
      <c r="Q58" s="47">
        <v>0</v>
      </c>
      <c r="R58" s="47">
        <v>0</v>
      </c>
      <c r="S58" s="47">
        <v>0</v>
      </c>
      <c r="T58" s="47">
        <v>0</v>
      </c>
      <c r="U58" s="47">
        <v>0</v>
      </c>
      <c r="V58" s="47">
        <v>0</v>
      </c>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row>
    <row r="59" spans="1:51">
      <c r="A59" s="135"/>
      <c r="B59" s="55"/>
      <c r="C59" s="56"/>
      <c r="D59" s="53" t="s">
        <v>82</v>
      </c>
      <c r="E59" s="51"/>
      <c r="F59" s="47">
        <v>0</v>
      </c>
      <c r="G59" s="47">
        <v>0</v>
      </c>
      <c r="H59" s="47">
        <v>0</v>
      </c>
      <c r="I59" s="47">
        <v>0</v>
      </c>
      <c r="J59" s="47">
        <v>0</v>
      </c>
      <c r="K59" s="47">
        <v>0</v>
      </c>
      <c r="L59" s="47">
        <v>0</v>
      </c>
      <c r="M59" s="47">
        <v>0</v>
      </c>
      <c r="N59" s="47">
        <v>0</v>
      </c>
      <c r="O59" s="47">
        <v>0</v>
      </c>
      <c r="P59" s="47">
        <v>0</v>
      </c>
      <c r="Q59" s="47">
        <v>0</v>
      </c>
      <c r="R59" s="47">
        <v>0</v>
      </c>
      <c r="S59" s="47">
        <v>0</v>
      </c>
      <c r="T59" s="47">
        <v>0</v>
      </c>
      <c r="U59" s="47">
        <v>0</v>
      </c>
      <c r="V59" s="47">
        <v>0</v>
      </c>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row>
    <row r="60" spans="1:51">
      <c r="A60" s="135"/>
      <c r="B60" s="55" t="s">
        <v>75</v>
      </c>
      <c r="C60" s="56" t="s">
        <v>89</v>
      </c>
      <c r="D60" s="57" t="s">
        <v>64</v>
      </c>
      <c r="E60" s="51" t="s">
        <v>61</v>
      </c>
      <c r="F60" s="47">
        <v>0</v>
      </c>
      <c r="G60" s="47">
        <v>0</v>
      </c>
      <c r="H60" s="47">
        <v>0</v>
      </c>
      <c r="I60" s="47">
        <v>0</v>
      </c>
      <c r="J60" s="47">
        <v>0</v>
      </c>
      <c r="K60" s="47">
        <v>0</v>
      </c>
      <c r="L60" s="47">
        <v>0</v>
      </c>
      <c r="M60" s="47">
        <v>0</v>
      </c>
      <c r="N60" s="47">
        <v>0</v>
      </c>
      <c r="O60" s="47">
        <v>0</v>
      </c>
      <c r="P60" s="47">
        <v>0</v>
      </c>
      <c r="Q60" s="47">
        <v>0</v>
      </c>
      <c r="R60" s="47">
        <v>0</v>
      </c>
      <c r="S60" s="47">
        <v>0</v>
      </c>
      <c r="T60" s="47">
        <v>0</v>
      </c>
      <c r="U60" s="47">
        <v>0</v>
      </c>
      <c r="V60" s="47">
        <v>0</v>
      </c>
      <c r="W60" s="43" t="s">
        <v>61</v>
      </c>
      <c r="X60" s="43" t="s">
        <v>61</v>
      </c>
      <c r="Y60" s="43" t="s">
        <v>61</v>
      </c>
      <c r="Z60" s="43" t="s">
        <v>61</v>
      </c>
      <c r="AA60" s="43" t="s">
        <v>61</v>
      </c>
      <c r="AB60" s="43" t="s">
        <v>61</v>
      </c>
      <c r="AC60" s="43" t="s">
        <v>61</v>
      </c>
      <c r="AD60" s="43" t="s">
        <v>61</v>
      </c>
      <c r="AE60" s="43" t="s">
        <v>61</v>
      </c>
      <c r="AF60" s="43" t="s">
        <v>61</v>
      </c>
      <c r="AG60" s="43" t="s">
        <v>61</v>
      </c>
      <c r="AH60" s="43" t="s">
        <v>61</v>
      </c>
      <c r="AI60" s="43" t="s">
        <v>61</v>
      </c>
      <c r="AJ60" s="43" t="s">
        <v>61</v>
      </c>
      <c r="AK60" s="43" t="s">
        <v>61</v>
      </c>
      <c r="AL60" s="43" t="s">
        <v>61</v>
      </c>
      <c r="AM60" s="43" t="s">
        <v>61</v>
      </c>
      <c r="AN60" s="43" t="s">
        <v>61</v>
      </c>
      <c r="AO60" s="43" t="s">
        <v>61</v>
      </c>
      <c r="AP60" s="43" t="s">
        <v>61</v>
      </c>
      <c r="AQ60" s="43" t="s">
        <v>61</v>
      </c>
      <c r="AR60" s="43" t="s">
        <v>61</v>
      </c>
      <c r="AS60" s="43" t="s">
        <v>61</v>
      </c>
      <c r="AT60" s="43" t="s">
        <v>61</v>
      </c>
      <c r="AU60" s="43" t="s">
        <v>61</v>
      </c>
      <c r="AV60" s="43" t="s">
        <v>61</v>
      </c>
      <c r="AW60" s="43" t="s">
        <v>61</v>
      </c>
      <c r="AX60" s="43"/>
      <c r="AY60" s="43"/>
    </row>
    <row r="61" spans="1:51">
      <c r="A61" s="135"/>
      <c r="B61" s="55" t="s">
        <v>61</v>
      </c>
      <c r="C61" s="56" t="s">
        <v>61</v>
      </c>
      <c r="D61" s="57" t="s">
        <v>67</v>
      </c>
      <c r="E61" s="51" t="s">
        <v>61</v>
      </c>
      <c r="F61" s="47">
        <v>0</v>
      </c>
      <c r="G61" s="47">
        <v>0</v>
      </c>
      <c r="H61" s="47">
        <v>0</v>
      </c>
      <c r="I61" s="47">
        <v>0</v>
      </c>
      <c r="J61" s="47">
        <v>0</v>
      </c>
      <c r="K61" s="47">
        <v>0</v>
      </c>
      <c r="L61" s="47">
        <v>0</v>
      </c>
      <c r="M61" s="47">
        <v>0</v>
      </c>
      <c r="N61" s="47">
        <v>0</v>
      </c>
      <c r="O61" s="47">
        <v>0</v>
      </c>
      <c r="P61" s="47">
        <v>0</v>
      </c>
      <c r="Q61" s="47">
        <v>0</v>
      </c>
      <c r="R61" s="47">
        <v>0</v>
      </c>
      <c r="S61" s="47">
        <v>0</v>
      </c>
      <c r="T61" s="47">
        <v>0</v>
      </c>
      <c r="U61" s="47">
        <v>0</v>
      </c>
      <c r="V61" s="47">
        <v>0</v>
      </c>
      <c r="W61" s="43" t="s">
        <v>61</v>
      </c>
      <c r="X61" s="43" t="s">
        <v>61</v>
      </c>
      <c r="Y61" s="43" t="s">
        <v>61</v>
      </c>
      <c r="Z61" s="43" t="s">
        <v>61</v>
      </c>
      <c r="AA61" s="43" t="s">
        <v>61</v>
      </c>
      <c r="AB61" s="43" t="s">
        <v>61</v>
      </c>
      <c r="AC61" s="43" t="s">
        <v>61</v>
      </c>
      <c r="AD61" s="43" t="s">
        <v>61</v>
      </c>
      <c r="AE61" s="43" t="s">
        <v>61</v>
      </c>
      <c r="AF61" s="43" t="s">
        <v>61</v>
      </c>
      <c r="AG61" s="43" t="s">
        <v>61</v>
      </c>
      <c r="AH61" s="43" t="s">
        <v>61</v>
      </c>
      <c r="AI61" s="43" t="s">
        <v>61</v>
      </c>
      <c r="AJ61" s="43" t="s">
        <v>61</v>
      </c>
      <c r="AK61" s="43" t="s">
        <v>61</v>
      </c>
      <c r="AL61" s="43" t="s">
        <v>61</v>
      </c>
      <c r="AM61" s="43" t="s">
        <v>61</v>
      </c>
      <c r="AN61" s="43" t="s">
        <v>61</v>
      </c>
      <c r="AO61" s="43" t="s">
        <v>61</v>
      </c>
      <c r="AP61" s="43" t="s">
        <v>61</v>
      </c>
      <c r="AQ61" s="43" t="s">
        <v>61</v>
      </c>
      <c r="AR61" s="43" t="s">
        <v>61</v>
      </c>
      <c r="AS61" s="43" t="s">
        <v>61</v>
      </c>
      <c r="AT61" s="43" t="s">
        <v>61</v>
      </c>
      <c r="AU61" s="43" t="s">
        <v>61</v>
      </c>
      <c r="AV61" s="43" t="s">
        <v>61</v>
      </c>
      <c r="AW61" s="43" t="s">
        <v>61</v>
      </c>
      <c r="AX61" s="43"/>
      <c r="AY61" s="43"/>
    </row>
    <row r="62" spans="1:51">
      <c r="A62" s="135"/>
      <c r="B62" s="55" t="s">
        <v>61</v>
      </c>
      <c r="C62" s="56" t="s">
        <v>61</v>
      </c>
      <c r="D62" s="57" t="s">
        <v>70</v>
      </c>
      <c r="E62" s="51" t="s">
        <v>61</v>
      </c>
      <c r="F62" s="47">
        <v>0</v>
      </c>
      <c r="G62" s="47">
        <v>0</v>
      </c>
      <c r="H62" s="47">
        <v>0</v>
      </c>
      <c r="I62" s="47">
        <v>0</v>
      </c>
      <c r="J62" s="47">
        <v>0</v>
      </c>
      <c r="K62" s="47">
        <v>0</v>
      </c>
      <c r="L62" s="47">
        <v>0</v>
      </c>
      <c r="M62" s="47">
        <v>0</v>
      </c>
      <c r="N62" s="47">
        <v>0</v>
      </c>
      <c r="O62" s="47">
        <v>0</v>
      </c>
      <c r="P62" s="47">
        <v>0</v>
      </c>
      <c r="Q62" s="47">
        <v>0</v>
      </c>
      <c r="R62" s="47">
        <v>0</v>
      </c>
      <c r="S62" s="47">
        <v>0</v>
      </c>
      <c r="T62" s="47">
        <v>0</v>
      </c>
      <c r="U62" s="47">
        <v>0</v>
      </c>
      <c r="V62" s="47">
        <v>0</v>
      </c>
      <c r="W62" s="43" t="s">
        <v>61</v>
      </c>
      <c r="X62" s="43" t="s">
        <v>61</v>
      </c>
      <c r="Y62" s="43" t="s">
        <v>61</v>
      </c>
      <c r="Z62" s="43" t="s">
        <v>61</v>
      </c>
      <c r="AA62" s="43" t="s">
        <v>61</v>
      </c>
      <c r="AB62" s="43" t="s">
        <v>61</v>
      </c>
      <c r="AC62" s="43" t="s">
        <v>61</v>
      </c>
      <c r="AD62" s="43" t="s">
        <v>61</v>
      </c>
      <c r="AE62" s="43" t="s">
        <v>61</v>
      </c>
      <c r="AF62" s="43" t="s">
        <v>61</v>
      </c>
      <c r="AG62" s="43" t="s">
        <v>61</v>
      </c>
      <c r="AH62" s="43" t="s">
        <v>61</v>
      </c>
      <c r="AI62" s="43" t="s">
        <v>61</v>
      </c>
      <c r="AJ62" s="43" t="s">
        <v>61</v>
      </c>
      <c r="AK62" s="43" t="s">
        <v>61</v>
      </c>
      <c r="AL62" s="43" t="s">
        <v>61</v>
      </c>
      <c r="AM62" s="43" t="s">
        <v>61</v>
      </c>
      <c r="AN62" s="43" t="s">
        <v>61</v>
      </c>
      <c r="AO62" s="43" t="s">
        <v>61</v>
      </c>
      <c r="AP62" s="43" t="s">
        <v>61</v>
      </c>
      <c r="AQ62" s="43" t="s">
        <v>61</v>
      </c>
      <c r="AR62" s="43" t="s">
        <v>61</v>
      </c>
      <c r="AS62" s="43" t="s">
        <v>61</v>
      </c>
      <c r="AT62" s="43" t="s">
        <v>61</v>
      </c>
      <c r="AU62" s="43" t="s">
        <v>61</v>
      </c>
      <c r="AV62" s="43" t="s">
        <v>61</v>
      </c>
      <c r="AW62" s="43" t="s">
        <v>61</v>
      </c>
      <c r="AX62" s="43"/>
      <c r="AY62" s="43"/>
    </row>
    <row r="63" spans="1:51">
      <c r="A63" s="135"/>
      <c r="B63" s="55" t="s">
        <v>61</v>
      </c>
      <c r="C63" s="56" t="s">
        <v>61</v>
      </c>
      <c r="D63" s="57" t="s">
        <v>72</v>
      </c>
      <c r="E63" s="51" t="s">
        <v>61</v>
      </c>
      <c r="F63" s="47">
        <v>0</v>
      </c>
      <c r="G63" s="47">
        <v>0</v>
      </c>
      <c r="H63" s="47">
        <v>0</v>
      </c>
      <c r="I63" s="47">
        <v>0</v>
      </c>
      <c r="J63" s="47">
        <v>0</v>
      </c>
      <c r="K63" s="47">
        <v>0</v>
      </c>
      <c r="L63" s="47">
        <v>0</v>
      </c>
      <c r="M63" s="47">
        <v>0</v>
      </c>
      <c r="N63" s="47">
        <v>0</v>
      </c>
      <c r="O63" s="47">
        <v>0</v>
      </c>
      <c r="P63" s="47">
        <v>0</v>
      </c>
      <c r="Q63" s="47">
        <v>0</v>
      </c>
      <c r="R63" s="47">
        <v>0</v>
      </c>
      <c r="S63" s="47">
        <v>0</v>
      </c>
      <c r="T63" s="47">
        <v>0</v>
      </c>
      <c r="U63" s="47">
        <v>0</v>
      </c>
      <c r="V63" s="47">
        <v>0</v>
      </c>
      <c r="W63" s="43" t="s">
        <v>61</v>
      </c>
      <c r="X63" s="43" t="s">
        <v>61</v>
      </c>
      <c r="Y63" s="43" t="s">
        <v>61</v>
      </c>
      <c r="Z63" s="43" t="s">
        <v>61</v>
      </c>
      <c r="AA63" s="43" t="s">
        <v>61</v>
      </c>
      <c r="AB63" s="43" t="s">
        <v>61</v>
      </c>
      <c r="AC63" s="43" t="s">
        <v>61</v>
      </c>
      <c r="AD63" s="43" t="s">
        <v>61</v>
      </c>
      <c r="AE63" s="43" t="s">
        <v>61</v>
      </c>
      <c r="AF63" s="43" t="s">
        <v>61</v>
      </c>
      <c r="AG63" s="43" t="s">
        <v>61</v>
      </c>
      <c r="AH63" s="43" t="s">
        <v>61</v>
      </c>
      <c r="AI63" s="43" t="s">
        <v>61</v>
      </c>
      <c r="AJ63" s="43" t="s">
        <v>61</v>
      </c>
      <c r="AK63" s="43" t="s">
        <v>61</v>
      </c>
      <c r="AL63" s="43" t="s">
        <v>61</v>
      </c>
      <c r="AM63" s="43" t="s">
        <v>61</v>
      </c>
      <c r="AN63" s="43" t="s">
        <v>61</v>
      </c>
      <c r="AO63" s="43" t="s">
        <v>61</v>
      </c>
      <c r="AP63" s="43" t="s">
        <v>61</v>
      </c>
      <c r="AQ63" s="43" t="s">
        <v>61</v>
      </c>
      <c r="AR63" s="43" t="s">
        <v>61</v>
      </c>
      <c r="AS63" s="43" t="s">
        <v>61</v>
      </c>
      <c r="AT63" s="43" t="s">
        <v>61</v>
      </c>
      <c r="AU63" s="43" t="s">
        <v>61</v>
      </c>
      <c r="AV63" s="43" t="s">
        <v>61</v>
      </c>
      <c r="AW63" s="43" t="s">
        <v>61</v>
      </c>
      <c r="AX63" s="43"/>
      <c r="AY63" s="43"/>
    </row>
    <row r="64" spans="1:51">
      <c r="A64" s="135"/>
      <c r="B64" s="55" t="s">
        <v>61</v>
      </c>
      <c r="C64" s="56" t="s">
        <v>61</v>
      </c>
      <c r="D64" s="57" t="s">
        <v>74</v>
      </c>
      <c r="E64" s="51" t="s">
        <v>61</v>
      </c>
      <c r="F64" s="47">
        <v>0</v>
      </c>
      <c r="G64" s="47">
        <v>0</v>
      </c>
      <c r="H64" s="47">
        <v>0</v>
      </c>
      <c r="I64" s="47">
        <v>0</v>
      </c>
      <c r="J64" s="47">
        <v>0</v>
      </c>
      <c r="K64" s="47">
        <v>0</v>
      </c>
      <c r="L64" s="47">
        <v>0</v>
      </c>
      <c r="M64" s="47">
        <v>0</v>
      </c>
      <c r="N64" s="47">
        <v>0</v>
      </c>
      <c r="O64" s="47">
        <v>0</v>
      </c>
      <c r="P64" s="47">
        <v>0</v>
      </c>
      <c r="Q64" s="47">
        <v>0</v>
      </c>
      <c r="R64" s="47">
        <v>0</v>
      </c>
      <c r="S64" s="47">
        <v>0</v>
      </c>
      <c r="T64" s="47">
        <v>0</v>
      </c>
      <c r="U64" s="47">
        <v>0</v>
      </c>
      <c r="V64" s="47">
        <v>0</v>
      </c>
      <c r="W64" s="43" t="s">
        <v>61</v>
      </c>
      <c r="X64" s="43" t="s">
        <v>61</v>
      </c>
      <c r="Y64" s="43" t="s">
        <v>61</v>
      </c>
      <c r="Z64" s="43" t="s">
        <v>61</v>
      </c>
      <c r="AA64" s="43" t="s">
        <v>61</v>
      </c>
      <c r="AB64" s="43" t="s">
        <v>61</v>
      </c>
      <c r="AC64" s="43" t="s">
        <v>61</v>
      </c>
      <c r="AD64" s="43" t="s">
        <v>61</v>
      </c>
      <c r="AE64" s="43" t="s">
        <v>61</v>
      </c>
      <c r="AF64" s="43" t="s">
        <v>61</v>
      </c>
      <c r="AG64" s="43" t="s">
        <v>61</v>
      </c>
      <c r="AH64" s="43" t="s">
        <v>61</v>
      </c>
      <c r="AI64" s="43" t="s">
        <v>61</v>
      </c>
      <c r="AJ64" s="43" t="s">
        <v>61</v>
      </c>
      <c r="AK64" s="43" t="s">
        <v>61</v>
      </c>
      <c r="AL64" s="43" t="s">
        <v>61</v>
      </c>
      <c r="AM64" s="43" t="s">
        <v>61</v>
      </c>
      <c r="AN64" s="43" t="s">
        <v>61</v>
      </c>
      <c r="AO64" s="43" t="s">
        <v>61</v>
      </c>
      <c r="AP64" s="43" t="s">
        <v>61</v>
      </c>
      <c r="AQ64" s="43" t="s">
        <v>61</v>
      </c>
      <c r="AR64" s="43" t="s">
        <v>61</v>
      </c>
      <c r="AS64" s="43" t="s">
        <v>61</v>
      </c>
      <c r="AT64" s="43" t="s">
        <v>61</v>
      </c>
      <c r="AU64" s="43" t="s">
        <v>61</v>
      </c>
      <c r="AV64" s="43" t="s">
        <v>61</v>
      </c>
      <c r="AW64" s="43" t="s">
        <v>61</v>
      </c>
      <c r="AX64" s="43"/>
      <c r="AY64" s="43"/>
    </row>
    <row r="65" spans="1:51">
      <c r="A65" s="135"/>
      <c r="B65" s="55"/>
      <c r="C65" s="56"/>
      <c r="D65" s="53" t="s">
        <v>76</v>
      </c>
      <c r="E65" s="51"/>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row>
    <row r="66" spans="1:51">
      <c r="A66" s="135"/>
      <c r="B66" s="55"/>
      <c r="C66" s="56"/>
      <c r="D66" s="53" t="s">
        <v>78</v>
      </c>
      <c r="E66" s="51"/>
      <c r="F66" s="47">
        <v>0</v>
      </c>
      <c r="G66" s="47">
        <v>0</v>
      </c>
      <c r="H66" s="47">
        <v>0</v>
      </c>
      <c r="I66" s="47">
        <v>0</v>
      </c>
      <c r="J66" s="47">
        <v>0</v>
      </c>
      <c r="K66" s="47">
        <v>0</v>
      </c>
      <c r="L66" s="47">
        <v>0</v>
      </c>
      <c r="M66" s="47">
        <v>0</v>
      </c>
      <c r="N66" s="47">
        <v>0</v>
      </c>
      <c r="O66" s="47">
        <v>0</v>
      </c>
      <c r="P66" s="47">
        <v>0</v>
      </c>
      <c r="Q66" s="47">
        <v>0</v>
      </c>
      <c r="R66" s="47">
        <v>0</v>
      </c>
      <c r="S66" s="47">
        <v>0</v>
      </c>
      <c r="T66" s="47">
        <v>0</v>
      </c>
      <c r="U66" s="47">
        <v>0</v>
      </c>
      <c r="V66" s="47">
        <v>0</v>
      </c>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row>
    <row r="67" spans="1:51">
      <c r="A67" s="135"/>
      <c r="B67" s="55"/>
      <c r="C67" s="56"/>
      <c r="D67" s="53" t="s">
        <v>80</v>
      </c>
      <c r="E67" s="51"/>
      <c r="F67" s="47">
        <v>0</v>
      </c>
      <c r="G67" s="47">
        <v>0</v>
      </c>
      <c r="H67" s="47">
        <v>0</v>
      </c>
      <c r="I67" s="47">
        <v>0</v>
      </c>
      <c r="J67" s="47">
        <v>0</v>
      </c>
      <c r="K67" s="47">
        <v>0</v>
      </c>
      <c r="L67" s="47">
        <v>0</v>
      </c>
      <c r="M67" s="47">
        <v>0</v>
      </c>
      <c r="N67" s="47">
        <v>0</v>
      </c>
      <c r="O67" s="47">
        <v>0</v>
      </c>
      <c r="P67" s="47">
        <v>0</v>
      </c>
      <c r="Q67" s="47">
        <v>0</v>
      </c>
      <c r="R67" s="47">
        <v>0</v>
      </c>
      <c r="S67" s="47">
        <v>0</v>
      </c>
      <c r="T67" s="47">
        <v>0</v>
      </c>
      <c r="U67" s="47">
        <v>0</v>
      </c>
      <c r="V67" s="47">
        <v>0</v>
      </c>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row>
    <row r="68" spans="1:51">
      <c r="A68" s="135"/>
      <c r="B68" s="55"/>
      <c r="C68" s="56"/>
      <c r="D68" s="53" t="s">
        <v>82</v>
      </c>
      <c r="E68" s="51"/>
      <c r="F68" s="47">
        <v>0</v>
      </c>
      <c r="G68" s="47">
        <v>0</v>
      </c>
      <c r="H68" s="47">
        <v>0</v>
      </c>
      <c r="I68" s="47">
        <v>0</v>
      </c>
      <c r="J68" s="47">
        <v>0</v>
      </c>
      <c r="K68" s="47">
        <v>0</v>
      </c>
      <c r="L68" s="47">
        <v>0</v>
      </c>
      <c r="M68" s="47">
        <v>0</v>
      </c>
      <c r="N68" s="47">
        <v>0</v>
      </c>
      <c r="O68" s="47">
        <v>0</v>
      </c>
      <c r="P68" s="47">
        <v>0</v>
      </c>
      <c r="Q68" s="47">
        <v>0</v>
      </c>
      <c r="R68" s="47">
        <v>0</v>
      </c>
      <c r="S68" s="47">
        <v>0</v>
      </c>
      <c r="T68" s="47">
        <v>0</v>
      </c>
      <c r="U68" s="47">
        <v>0</v>
      </c>
      <c r="V68" s="47">
        <v>0</v>
      </c>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row>
    <row r="69" spans="1:51">
      <c r="A69" s="135"/>
      <c r="B69" s="55" t="s">
        <v>77</v>
      </c>
      <c r="C69" s="56" t="s">
        <v>90</v>
      </c>
      <c r="D69" s="57" t="s">
        <v>64</v>
      </c>
      <c r="E69" s="51" t="s">
        <v>61</v>
      </c>
      <c r="F69" s="47">
        <v>0</v>
      </c>
      <c r="G69" s="47">
        <v>0</v>
      </c>
      <c r="H69" s="47">
        <v>0</v>
      </c>
      <c r="I69" s="47">
        <v>0</v>
      </c>
      <c r="J69" s="47">
        <v>0</v>
      </c>
      <c r="K69" s="47">
        <v>0</v>
      </c>
      <c r="L69" s="47">
        <v>0</v>
      </c>
      <c r="M69" s="47">
        <v>0</v>
      </c>
      <c r="N69" s="47">
        <v>0</v>
      </c>
      <c r="O69" s="47">
        <v>0</v>
      </c>
      <c r="P69" s="47">
        <v>0</v>
      </c>
      <c r="Q69" s="47">
        <v>0</v>
      </c>
      <c r="R69" s="47">
        <v>0</v>
      </c>
      <c r="S69" s="47">
        <v>0</v>
      </c>
      <c r="T69" s="47">
        <v>0</v>
      </c>
      <c r="U69" s="47">
        <v>0</v>
      </c>
      <c r="V69" s="47">
        <v>0</v>
      </c>
      <c r="W69" s="43" t="s">
        <v>61</v>
      </c>
      <c r="X69" s="43" t="s">
        <v>61</v>
      </c>
      <c r="Y69" s="43" t="s">
        <v>61</v>
      </c>
      <c r="Z69" s="43" t="s">
        <v>61</v>
      </c>
      <c r="AA69" s="43" t="s">
        <v>61</v>
      </c>
      <c r="AB69" s="43" t="s">
        <v>61</v>
      </c>
      <c r="AC69" s="43" t="s">
        <v>61</v>
      </c>
      <c r="AD69" s="43" t="s">
        <v>61</v>
      </c>
      <c r="AE69" s="43" t="s">
        <v>61</v>
      </c>
      <c r="AF69" s="43" t="s">
        <v>61</v>
      </c>
      <c r="AG69" s="43" t="s">
        <v>61</v>
      </c>
      <c r="AH69" s="43" t="s">
        <v>61</v>
      </c>
      <c r="AI69" s="43" t="s">
        <v>61</v>
      </c>
      <c r="AJ69" s="43" t="s">
        <v>61</v>
      </c>
      <c r="AK69" s="43" t="s">
        <v>61</v>
      </c>
      <c r="AL69" s="43" t="s">
        <v>61</v>
      </c>
      <c r="AM69" s="43" t="s">
        <v>61</v>
      </c>
      <c r="AN69" s="43" t="s">
        <v>61</v>
      </c>
      <c r="AO69" s="43" t="s">
        <v>61</v>
      </c>
      <c r="AP69" s="43" t="s">
        <v>61</v>
      </c>
      <c r="AQ69" s="43" t="s">
        <v>61</v>
      </c>
      <c r="AR69" s="43" t="s">
        <v>61</v>
      </c>
      <c r="AS69" s="43" t="s">
        <v>61</v>
      </c>
      <c r="AT69" s="43" t="s">
        <v>61</v>
      </c>
      <c r="AU69" s="43" t="s">
        <v>61</v>
      </c>
      <c r="AV69" s="43" t="s">
        <v>61</v>
      </c>
      <c r="AW69" s="43" t="s">
        <v>61</v>
      </c>
      <c r="AX69" s="43"/>
      <c r="AY69" s="43"/>
    </row>
    <row r="70" spans="1:51">
      <c r="A70" s="135"/>
      <c r="B70" s="55" t="s">
        <v>61</v>
      </c>
      <c r="C70" s="56" t="s">
        <v>61</v>
      </c>
      <c r="D70" s="57" t="s">
        <v>67</v>
      </c>
      <c r="E70" s="51" t="s">
        <v>61</v>
      </c>
      <c r="F70" s="31">
        <v>559</v>
      </c>
      <c r="G70" s="84">
        <v>490</v>
      </c>
      <c r="H70" s="84">
        <v>548</v>
      </c>
      <c r="I70" s="84">
        <v>475</v>
      </c>
      <c r="J70" s="84">
        <v>556</v>
      </c>
      <c r="K70" s="84">
        <v>513</v>
      </c>
      <c r="L70" s="84">
        <v>523</v>
      </c>
      <c r="M70" s="84">
        <v>492</v>
      </c>
      <c r="N70" s="84">
        <v>539</v>
      </c>
      <c r="O70" s="84">
        <v>498</v>
      </c>
      <c r="P70" s="84">
        <v>399</v>
      </c>
      <c r="Q70" s="84">
        <v>507</v>
      </c>
      <c r="R70" s="84">
        <v>476</v>
      </c>
      <c r="S70" s="84">
        <v>442</v>
      </c>
      <c r="T70" s="84">
        <v>530</v>
      </c>
      <c r="U70" s="84">
        <v>551</v>
      </c>
      <c r="V70" s="84">
        <v>485</v>
      </c>
      <c r="W70" s="43" t="s">
        <v>61</v>
      </c>
      <c r="X70" s="43" t="s">
        <v>61</v>
      </c>
      <c r="Y70" s="43" t="s">
        <v>61</v>
      </c>
      <c r="Z70" s="43" t="s">
        <v>61</v>
      </c>
      <c r="AA70" s="43" t="s">
        <v>61</v>
      </c>
      <c r="AB70" s="43" t="s">
        <v>61</v>
      </c>
      <c r="AC70" s="43" t="s">
        <v>61</v>
      </c>
      <c r="AD70" s="43" t="s">
        <v>61</v>
      </c>
      <c r="AE70" s="43" t="s">
        <v>61</v>
      </c>
      <c r="AF70" s="43" t="s">
        <v>61</v>
      </c>
      <c r="AG70" s="43" t="s">
        <v>61</v>
      </c>
      <c r="AH70" s="43" t="s">
        <v>61</v>
      </c>
      <c r="AI70" s="43" t="s">
        <v>61</v>
      </c>
      <c r="AJ70" s="43" t="s">
        <v>61</v>
      </c>
      <c r="AK70" s="43" t="s">
        <v>61</v>
      </c>
      <c r="AL70" s="43" t="s">
        <v>61</v>
      </c>
      <c r="AM70" s="43" t="s">
        <v>61</v>
      </c>
      <c r="AN70" s="43" t="s">
        <v>61</v>
      </c>
      <c r="AO70" s="43" t="s">
        <v>61</v>
      </c>
      <c r="AP70" s="43" t="s">
        <v>61</v>
      </c>
      <c r="AQ70" s="43" t="s">
        <v>61</v>
      </c>
      <c r="AR70" s="43" t="s">
        <v>61</v>
      </c>
      <c r="AS70" s="43" t="s">
        <v>61</v>
      </c>
      <c r="AT70" s="43" t="s">
        <v>61</v>
      </c>
      <c r="AU70" s="43" t="s">
        <v>61</v>
      </c>
      <c r="AV70" s="43" t="s">
        <v>61</v>
      </c>
      <c r="AW70" s="43" t="s">
        <v>61</v>
      </c>
      <c r="AX70" s="43"/>
      <c r="AY70" s="43"/>
    </row>
    <row r="71" spans="1:51">
      <c r="A71" s="135"/>
      <c r="B71" s="55" t="s">
        <v>61</v>
      </c>
      <c r="C71" s="56" t="s">
        <v>61</v>
      </c>
      <c r="D71" s="57" t="s">
        <v>70</v>
      </c>
      <c r="E71" s="51" t="s">
        <v>61</v>
      </c>
      <c r="F71" s="47">
        <v>0</v>
      </c>
      <c r="G71" s="47">
        <v>0</v>
      </c>
      <c r="H71" s="47">
        <v>0</v>
      </c>
      <c r="I71" s="47">
        <v>0</v>
      </c>
      <c r="J71" s="47">
        <v>0</v>
      </c>
      <c r="K71" s="47">
        <v>0</v>
      </c>
      <c r="L71" s="47">
        <v>0</v>
      </c>
      <c r="M71" s="47">
        <v>0</v>
      </c>
      <c r="N71" s="47">
        <v>0</v>
      </c>
      <c r="O71" s="47">
        <v>0</v>
      </c>
      <c r="P71" s="47">
        <v>0</v>
      </c>
      <c r="Q71" s="47">
        <v>0</v>
      </c>
      <c r="R71" s="47">
        <v>0</v>
      </c>
      <c r="S71" s="47">
        <v>0</v>
      </c>
      <c r="T71" s="47">
        <v>0</v>
      </c>
      <c r="U71" s="47">
        <v>0</v>
      </c>
      <c r="V71" s="47">
        <v>0</v>
      </c>
      <c r="W71" s="43" t="s">
        <v>61</v>
      </c>
      <c r="X71" s="43" t="s">
        <v>61</v>
      </c>
      <c r="Y71" s="43" t="s">
        <v>61</v>
      </c>
      <c r="Z71" s="43" t="s">
        <v>61</v>
      </c>
      <c r="AA71" s="43" t="s">
        <v>61</v>
      </c>
      <c r="AB71" s="43" t="s">
        <v>61</v>
      </c>
      <c r="AC71" s="43" t="s">
        <v>61</v>
      </c>
      <c r="AD71" s="43" t="s">
        <v>61</v>
      </c>
      <c r="AE71" s="43" t="s">
        <v>61</v>
      </c>
      <c r="AF71" s="43" t="s">
        <v>61</v>
      </c>
      <c r="AG71" s="43" t="s">
        <v>61</v>
      </c>
      <c r="AH71" s="43" t="s">
        <v>61</v>
      </c>
      <c r="AI71" s="43" t="s">
        <v>61</v>
      </c>
      <c r="AJ71" s="43" t="s">
        <v>61</v>
      </c>
      <c r="AK71" s="43" t="s">
        <v>61</v>
      </c>
      <c r="AL71" s="43" t="s">
        <v>61</v>
      </c>
      <c r="AM71" s="43" t="s">
        <v>61</v>
      </c>
      <c r="AN71" s="43" t="s">
        <v>61</v>
      </c>
      <c r="AO71" s="43" t="s">
        <v>61</v>
      </c>
      <c r="AP71" s="43" t="s">
        <v>61</v>
      </c>
      <c r="AQ71" s="43" t="s">
        <v>61</v>
      </c>
      <c r="AR71" s="43" t="s">
        <v>61</v>
      </c>
      <c r="AS71" s="43" t="s">
        <v>61</v>
      </c>
      <c r="AT71" s="43" t="s">
        <v>61</v>
      </c>
      <c r="AU71" s="43" t="s">
        <v>61</v>
      </c>
      <c r="AV71" s="43" t="s">
        <v>61</v>
      </c>
      <c r="AW71" s="43" t="s">
        <v>61</v>
      </c>
      <c r="AX71" s="43"/>
      <c r="AY71" s="43"/>
    </row>
    <row r="72" spans="1:51">
      <c r="A72" s="135"/>
      <c r="B72" s="55" t="s">
        <v>61</v>
      </c>
      <c r="C72" s="56" t="s">
        <v>61</v>
      </c>
      <c r="D72" s="57" t="s">
        <v>72</v>
      </c>
      <c r="E72" s="51" t="s">
        <v>61</v>
      </c>
      <c r="F72" s="47">
        <v>0</v>
      </c>
      <c r="G72" s="47">
        <v>0</v>
      </c>
      <c r="H72" s="47">
        <v>0</v>
      </c>
      <c r="I72" s="47">
        <v>0</v>
      </c>
      <c r="J72" s="47">
        <v>0</v>
      </c>
      <c r="K72" s="47">
        <v>0</v>
      </c>
      <c r="L72" s="47">
        <v>0</v>
      </c>
      <c r="M72" s="47">
        <v>0</v>
      </c>
      <c r="N72" s="47">
        <v>0</v>
      </c>
      <c r="O72" s="47">
        <v>0</v>
      </c>
      <c r="P72" s="47">
        <v>0</v>
      </c>
      <c r="Q72" s="47">
        <v>0</v>
      </c>
      <c r="R72" s="47">
        <v>0</v>
      </c>
      <c r="S72" s="47">
        <v>0</v>
      </c>
      <c r="T72" s="47">
        <v>0</v>
      </c>
      <c r="U72" s="47">
        <v>0</v>
      </c>
      <c r="V72" s="47">
        <v>0</v>
      </c>
      <c r="W72" s="43" t="s">
        <v>61</v>
      </c>
      <c r="X72" s="43" t="s">
        <v>61</v>
      </c>
      <c r="Y72" s="43" t="s">
        <v>61</v>
      </c>
      <c r="Z72" s="43" t="s">
        <v>61</v>
      </c>
      <c r="AA72" s="43" t="s">
        <v>61</v>
      </c>
      <c r="AB72" s="43" t="s">
        <v>61</v>
      </c>
      <c r="AC72" s="43" t="s">
        <v>61</v>
      </c>
      <c r="AD72" s="43" t="s">
        <v>61</v>
      </c>
      <c r="AE72" s="43" t="s">
        <v>61</v>
      </c>
      <c r="AF72" s="43" t="s">
        <v>61</v>
      </c>
      <c r="AG72" s="43" t="s">
        <v>61</v>
      </c>
      <c r="AH72" s="43" t="s">
        <v>61</v>
      </c>
      <c r="AI72" s="43" t="s">
        <v>61</v>
      </c>
      <c r="AJ72" s="43" t="s">
        <v>61</v>
      </c>
      <c r="AK72" s="43" t="s">
        <v>61</v>
      </c>
      <c r="AL72" s="43" t="s">
        <v>61</v>
      </c>
      <c r="AM72" s="43" t="s">
        <v>61</v>
      </c>
      <c r="AN72" s="43" t="s">
        <v>61</v>
      </c>
      <c r="AO72" s="43" t="s">
        <v>61</v>
      </c>
      <c r="AP72" s="43" t="s">
        <v>61</v>
      </c>
      <c r="AQ72" s="43" t="s">
        <v>61</v>
      </c>
      <c r="AR72" s="43" t="s">
        <v>61</v>
      </c>
      <c r="AS72" s="43" t="s">
        <v>61</v>
      </c>
      <c r="AT72" s="43" t="s">
        <v>61</v>
      </c>
      <c r="AU72" s="43" t="s">
        <v>61</v>
      </c>
      <c r="AV72" s="43" t="s">
        <v>61</v>
      </c>
      <c r="AW72" s="43" t="s">
        <v>61</v>
      </c>
      <c r="AX72" s="43"/>
      <c r="AY72" s="43"/>
    </row>
    <row r="73" spans="1:51">
      <c r="A73" s="135"/>
      <c r="B73" s="55" t="s">
        <v>61</v>
      </c>
      <c r="C73" s="56" t="s">
        <v>61</v>
      </c>
      <c r="D73" s="57" t="s">
        <v>74</v>
      </c>
      <c r="E73" s="51" t="s">
        <v>61</v>
      </c>
      <c r="F73" s="47">
        <v>0</v>
      </c>
      <c r="G73" s="47">
        <v>0</v>
      </c>
      <c r="H73" s="47">
        <v>0</v>
      </c>
      <c r="I73" s="47">
        <v>0</v>
      </c>
      <c r="J73" s="47">
        <v>0</v>
      </c>
      <c r="K73" s="47">
        <v>0</v>
      </c>
      <c r="L73" s="47">
        <v>0</v>
      </c>
      <c r="M73" s="47">
        <v>0</v>
      </c>
      <c r="N73" s="47">
        <v>0</v>
      </c>
      <c r="O73" s="47">
        <v>0</v>
      </c>
      <c r="P73" s="47">
        <v>0</v>
      </c>
      <c r="Q73" s="47">
        <v>0</v>
      </c>
      <c r="R73" s="47">
        <v>0</v>
      </c>
      <c r="S73" s="47">
        <v>0</v>
      </c>
      <c r="T73" s="47">
        <v>0</v>
      </c>
      <c r="U73" s="47">
        <v>0</v>
      </c>
      <c r="V73" s="47">
        <v>0</v>
      </c>
      <c r="W73" s="43" t="s">
        <v>61</v>
      </c>
      <c r="X73" s="43" t="s">
        <v>61</v>
      </c>
      <c r="Y73" s="43" t="s">
        <v>61</v>
      </c>
      <c r="Z73" s="43" t="s">
        <v>61</v>
      </c>
      <c r="AA73" s="43" t="s">
        <v>61</v>
      </c>
      <c r="AB73" s="43" t="s">
        <v>61</v>
      </c>
      <c r="AC73" s="43" t="s">
        <v>61</v>
      </c>
      <c r="AD73" s="43" t="s">
        <v>61</v>
      </c>
      <c r="AE73" s="43" t="s">
        <v>61</v>
      </c>
      <c r="AF73" s="43" t="s">
        <v>61</v>
      </c>
      <c r="AG73" s="43" t="s">
        <v>61</v>
      </c>
      <c r="AH73" s="43" t="s">
        <v>61</v>
      </c>
      <c r="AI73" s="43" t="s">
        <v>61</v>
      </c>
      <c r="AJ73" s="43" t="s">
        <v>61</v>
      </c>
      <c r="AK73" s="43" t="s">
        <v>61</v>
      </c>
      <c r="AL73" s="43" t="s">
        <v>61</v>
      </c>
      <c r="AM73" s="43" t="s">
        <v>61</v>
      </c>
      <c r="AN73" s="43" t="s">
        <v>61</v>
      </c>
      <c r="AO73" s="43" t="s">
        <v>61</v>
      </c>
      <c r="AP73" s="43" t="s">
        <v>61</v>
      </c>
      <c r="AQ73" s="43" t="s">
        <v>61</v>
      </c>
      <c r="AR73" s="43" t="s">
        <v>61</v>
      </c>
      <c r="AS73" s="43" t="s">
        <v>61</v>
      </c>
      <c r="AT73" s="43" t="s">
        <v>61</v>
      </c>
      <c r="AU73" s="43" t="s">
        <v>61</v>
      </c>
      <c r="AV73" s="43" t="s">
        <v>61</v>
      </c>
      <c r="AW73" s="43" t="s">
        <v>61</v>
      </c>
      <c r="AX73" s="43"/>
      <c r="AY73" s="43"/>
    </row>
    <row r="74" spans="1:51">
      <c r="A74" s="135"/>
      <c r="B74" s="55" t="s">
        <v>61</v>
      </c>
      <c r="C74" s="56" t="s">
        <v>61</v>
      </c>
      <c r="D74" s="57" t="s">
        <v>76</v>
      </c>
      <c r="E74" s="51" t="s">
        <v>61</v>
      </c>
      <c r="F74" s="47">
        <v>0</v>
      </c>
      <c r="G74" s="47">
        <v>0</v>
      </c>
      <c r="H74" s="47">
        <v>0</v>
      </c>
      <c r="I74" s="47">
        <v>0</v>
      </c>
      <c r="J74" s="47">
        <v>0</v>
      </c>
      <c r="K74" s="47">
        <v>0</v>
      </c>
      <c r="L74" s="47">
        <v>0</v>
      </c>
      <c r="M74" s="47">
        <v>0</v>
      </c>
      <c r="N74" s="47">
        <v>0</v>
      </c>
      <c r="O74" s="47">
        <v>0</v>
      </c>
      <c r="P74" s="47">
        <v>0</v>
      </c>
      <c r="Q74" s="47">
        <v>0</v>
      </c>
      <c r="R74" s="47">
        <v>0</v>
      </c>
      <c r="S74" s="47">
        <v>0</v>
      </c>
      <c r="T74" s="47">
        <v>0</v>
      </c>
      <c r="U74" s="47">
        <v>0</v>
      </c>
      <c r="V74" s="47">
        <v>0</v>
      </c>
      <c r="W74" s="43" t="s">
        <v>61</v>
      </c>
      <c r="X74" s="43" t="s">
        <v>61</v>
      </c>
      <c r="Y74" s="43" t="s">
        <v>61</v>
      </c>
      <c r="Z74" s="43" t="s">
        <v>61</v>
      </c>
      <c r="AA74" s="43" t="s">
        <v>61</v>
      </c>
      <c r="AB74" s="43" t="s">
        <v>61</v>
      </c>
      <c r="AC74" s="43" t="s">
        <v>61</v>
      </c>
      <c r="AD74" s="43" t="s">
        <v>61</v>
      </c>
      <c r="AE74" s="43" t="s">
        <v>61</v>
      </c>
      <c r="AF74" s="43" t="s">
        <v>61</v>
      </c>
      <c r="AG74" s="43" t="s">
        <v>61</v>
      </c>
      <c r="AH74" s="43" t="s">
        <v>61</v>
      </c>
      <c r="AI74" s="43" t="s">
        <v>61</v>
      </c>
      <c r="AJ74" s="43" t="s">
        <v>61</v>
      </c>
      <c r="AK74" s="43" t="s">
        <v>61</v>
      </c>
      <c r="AL74" s="43" t="s">
        <v>61</v>
      </c>
      <c r="AM74" s="43" t="s">
        <v>61</v>
      </c>
      <c r="AN74" s="43" t="s">
        <v>61</v>
      </c>
      <c r="AO74" s="43" t="s">
        <v>61</v>
      </c>
      <c r="AP74" s="43" t="s">
        <v>61</v>
      </c>
      <c r="AQ74" s="43" t="s">
        <v>61</v>
      </c>
      <c r="AR74" s="43" t="s">
        <v>61</v>
      </c>
      <c r="AS74" s="43" t="s">
        <v>61</v>
      </c>
      <c r="AT74" s="43" t="s">
        <v>61</v>
      </c>
      <c r="AU74" s="43" t="s">
        <v>61</v>
      </c>
      <c r="AV74" s="43" t="s">
        <v>61</v>
      </c>
      <c r="AW74" s="43" t="s">
        <v>61</v>
      </c>
      <c r="AX74" s="43"/>
      <c r="AY74" s="43"/>
    </row>
    <row r="75" spans="1:51">
      <c r="A75" s="135"/>
      <c r="B75" s="55" t="s">
        <v>61</v>
      </c>
      <c r="C75" s="56" t="s">
        <v>61</v>
      </c>
      <c r="D75" s="57" t="s">
        <v>78</v>
      </c>
      <c r="E75" s="51" t="s">
        <v>61</v>
      </c>
      <c r="F75" s="47">
        <v>0</v>
      </c>
      <c r="G75" s="47">
        <v>0</v>
      </c>
      <c r="H75" s="47">
        <v>0</v>
      </c>
      <c r="I75" s="47">
        <v>0</v>
      </c>
      <c r="J75" s="47">
        <v>0</v>
      </c>
      <c r="K75" s="47">
        <v>0</v>
      </c>
      <c r="L75" s="47">
        <v>0</v>
      </c>
      <c r="M75" s="47">
        <v>0</v>
      </c>
      <c r="N75" s="47">
        <v>0</v>
      </c>
      <c r="O75" s="47">
        <v>0</v>
      </c>
      <c r="P75" s="47">
        <v>0</v>
      </c>
      <c r="Q75" s="47">
        <v>0</v>
      </c>
      <c r="R75" s="47">
        <v>0</v>
      </c>
      <c r="S75" s="47">
        <v>0</v>
      </c>
      <c r="T75" s="47">
        <v>0</v>
      </c>
      <c r="U75" s="47">
        <v>0</v>
      </c>
      <c r="V75" s="47">
        <v>0</v>
      </c>
      <c r="W75" s="43" t="s">
        <v>61</v>
      </c>
      <c r="X75" s="43" t="s">
        <v>61</v>
      </c>
      <c r="Y75" s="43" t="s">
        <v>61</v>
      </c>
      <c r="Z75" s="43" t="s">
        <v>61</v>
      </c>
      <c r="AA75" s="43" t="s">
        <v>61</v>
      </c>
      <c r="AB75" s="43" t="s">
        <v>61</v>
      </c>
      <c r="AC75" s="43" t="s">
        <v>61</v>
      </c>
      <c r="AD75" s="43" t="s">
        <v>61</v>
      </c>
      <c r="AE75" s="43" t="s">
        <v>61</v>
      </c>
      <c r="AF75" s="43" t="s">
        <v>61</v>
      </c>
      <c r="AG75" s="43" t="s">
        <v>61</v>
      </c>
      <c r="AH75" s="43" t="s">
        <v>61</v>
      </c>
      <c r="AI75" s="43" t="s">
        <v>61</v>
      </c>
      <c r="AJ75" s="43" t="s">
        <v>61</v>
      </c>
      <c r="AK75" s="43" t="s">
        <v>61</v>
      </c>
      <c r="AL75" s="43" t="s">
        <v>61</v>
      </c>
      <c r="AM75" s="43" t="s">
        <v>61</v>
      </c>
      <c r="AN75" s="43" t="s">
        <v>61</v>
      </c>
      <c r="AO75" s="43" t="s">
        <v>61</v>
      </c>
      <c r="AP75" s="43" t="s">
        <v>61</v>
      </c>
      <c r="AQ75" s="43" t="s">
        <v>61</v>
      </c>
      <c r="AR75" s="43" t="s">
        <v>61</v>
      </c>
      <c r="AS75" s="43" t="s">
        <v>61</v>
      </c>
      <c r="AT75" s="43" t="s">
        <v>61</v>
      </c>
      <c r="AU75" s="43" t="s">
        <v>61</v>
      </c>
      <c r="AV75" s="43" t="s">
        <v>61</v>
      </c>
      <c r="AW75" s="43" t="s">
        <v>61</v>
      </c>
      <c r="AX75" s="43"/>
      <c r="AY75" s="43"/>
    </row>
    <row r="76" spans="1:51">
      <c r="A76" s="135"/>
      <c r="B76" s="55"/>
      <c r="C76" s="56"/>
      <c r="D76" s="53" t="s">
        <v>80</v>
      </c>
      <c r="E76" s="51"/>
      <c r="F76" s="47">
        <v>0</v>
      </c>
      <c r="G76" s="47">
        <v>0</v>
      </c>
      <c r="H76" s="47">
        <v>0</v>
      </c>
      <c r="I76" s="47">
        <v>0</v>
      </c>
      <c r="J76" s="47">
        <v>0</v>
      </c>
      <c r="K76" s="47">
        <v>0</v>
      </c>
      <c r="L76" s="47">
        <v>0</v>
      </c>
      <c r="M76" s="47">
        <v>0</v>
      </c>
      <c r="N76" s="47">
        <v>0</v>
      </c>
      <c r="O76" s="47">
        <v>0</v>
      </c>
      <c r="P76" s="47">
        <v>0</v>
      </c>
      <c r="Q76" s="47">
        <v>0</v>
      </c>
      <c r="R76" s="47">
        <v>0</v>
      </c>
      <c r="S76" s="47">
        <v>0</v>
      </c>
      <c r="T76" s="47">
        <v>0</v>
      </c>
      <c r="U76" s="47">
        <v>0</v>
      </c>
      <c r="V76" s="47">
        <v>0</v>
      </c>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row>
    <row r="77" spans="1:51">
      <c r="A77" s="135"/>
      <c r="B77" s="55"/>
      <c r="C77" s="56"/>
      <c r="D77" s="53" t="s">
        <v>82</v>
      </c>
      <c r="E77" s="51"/>
      <c r="F77" s="47">
        <v>0</v>
      </c>
      <c r="G77" s="47">
        <v>0</v>
      </c>
      <c r="H77" s="47">
        <v>0</v>
      </c>
      <c r="I77" s="47">
        <v>0</v>
      </c>
      <c r="J77" s="47">
        <v>0</v>
      </c>
      <c r="K77" s="47">
        <v>0</v>
      </c>
      <c r="L77" s="47">
        <v>0</v>
      </c>
      <c r="M77" s="47">
        <v>0</v>
      </c>
      <c r="N77" s="47">
        <v>0</v>
      </c>
      <c r="O77" s="47">
        <v>0</v>
      </c>
      <c r="P77" s="47">
        <v>0</v>
      </c>
      <c r="Q77" s="47">
        <v>0</v>
      </c>
      <c r="R77" s="47">
        <v>0</v>
      </c>
      <c r="S77" s="47">
        <v>0</v>
      </c>
      <c r="T77" s="47">
        <v>0</v>
      </c>
      <c r="U77" s="47">
        <v>0</v>
      </c>
      <c r="V77" s="47">
        <v>0</v>
      </c>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row>
    <row r="78" spans="1:51">
      <c r="A78" s="135"/>
      <c r="B78" s="47" t="s">
        <v>79</v>
      </c>
      <c r="C78" s="52" t="s">
        <v>91</v>
      </c>
      <c r="D78" s="53" t="s">
        <v>64</v>
      </c>
      <c r="E78" s="51" t="s">
        <v>61</v>
      </c>
      <c r="F78" s="47">
        <v>0</v>
      </c>
      <c r="G78" s="47">
        <v>0</v>
      </c>
      <c r="H78" s="47">
        <v>0</v>
      </c>
      <c r="I78" s="47">
        <v>0</v>
      </c>
      <c r="J78" s="47">
        <v>0</v>
      </c>
      <c r="K78" s="47">
        <v>0</v>
      </c>
      <c r="L78" s="47">
        <v>0</v>
      </c>
      <c r="M78" s="47">
        <v>0</v>
      </c>
      <c r="N78" s="47">
        <v>0</v>
      </c>
      <c r="O78" s="47">
        <v>0</v>
      </c>
      <c r="P78" s="47">
        <v>0</v>
      </c>
      <c r="Q78" s="47">
        <v>0</v>
      </c>
      <c r="R78" s="47">
        <v>0</v>
      </c>
      <c r="S78" s="47">
        <v>0</v>
      </c>
      <c r="T78" s="47">
        <v>0</v>
      </c>
      <c r="U78" s="47">
        <v>0</v>
      </c>
      <c r="V78" s="47">
        <v>0</v>
      </c>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row>
    <row r="79" spans="1:51">
      <c r="A79" s="135"/>
      <c r="B79" s="55" t="s">
        <v>61</v>
      </c>
      <c r="C79" s="55" t="s">
        <v>61</v>
      </c>
      <c r="D79" s="53" t="s">
        <v>67</v>
      </c>
      <c r="E79" s="51" t="s">
        <v>61</v>
      </c>
      <c r="F79" s="47">
        <v>0</v>
      </c>
      <c r="G79" s="47">
        <v>0</v>
      </c>
      <c r="H79" s="47">
        <v>0</v>
      </c>
      <c r="I79" s="47">
        <v>0</v>
      </c>
      <c r="J79" s="47">
        <v>0</v>
      </c>
      <c r="K79" s="47">
        <v>0</v>
      </c>
      <c r="L79" s="47">
        <v>0</v>
      </c>
      <c r="M79" s="47">
        <v>0</v>
      </c>
      <c r="N79" s="47">
        <v>0</v>
      </c>
      <c r="O79" s="47">
        <v>0</v>
      </c>
      <c r="P79" s="47">
        <v>0</v>
      </c>
      <c r="Q79" s="47">
        <v>0</v>
      </c>
      <c r="R79" s="47">
        <v>0</v>
      </c>
      <c r="S79" s="47">
        <v>0</v>
      </c>
      <c r="T79" s="47">
        <v>0</v>
      </c>
      <c r="U79" s="47">
        <v>0</v>
      </c>
      <c r="V79" s="47">
        <v>0</v>
      </c>
      <c r="W79" s="43" t="s">
        <v>61</v>
      </c>
      <c r="X79" s="43" t="s">
        <v>61</v>
      </c>
      <c r="Y79" s="43" t="s">
        <v>61</v>
      </c>
      <c r="Z79" s="43" t="s">
        <v>61</v>
      </c>
      <c r="AA79" s="43" t="s">
        <v>61</v>
      </c>
      <c r="AB79" s="43" t="s">
        <v>61</v>
      </c>
      <c r="AC79" s="43" t="s">
        <v>61</v>
      </c>
      <c r="AD79" s="43" t="s">
        <v>61</v>
      </c>
      <c r="AE79" s="43" t="s">
        <v>61</v>
      </c>
      <c r="AF79" s="43" t="s">
        <v>61</v>
      </c>
      <c r="AG79" s="43" t="s">
        <v>61</v>
      </c>
      <c r="AH79" s="43" t="s">
        <v>61</v>
      </c>
      <c r="AI79" s="43" t="s">
        <v>61</v>
      </c>
      <c r="AJ79" s="43" t="s">
        <v>61</v>
      </c>
      <c r="AK79" s="43" t="s">
        <v>61</v>
      </c>
      <c r="AL79" s="43" t="s">
        <v>61</v>
      </c>
      <c r="AM79" s="43" t="s">
        <v>61</v>
      </c>
      <c r="AN79" s="43" t="s">
        <v>61</v>
      </c>
      <c r="AO79" s="43" t="s">
        <v>61</v>
      </c>
      <c r="AP79" s="43" t="s">
        <v>61</v>
      </c>
      <c r="AQ79" s="43" t="s">
        <v>61</v>
      </c>
      <c r="AR79" s="43" t="s">
        <v>61</v>
      </c>
      <c r="AS79" s="43" t="s">
        <v>61</v>
      </c>
      <c r="AT79" s="43" t="s">
        <v>61</v>
      </c>
      <c r="AU79" s="43" t="s">
        <v>61</v>
      </c>
      <c r="AV79" s="43" t="s">
        <v>61</v>
      </c>
      <c r="AW79" s="43" t="s">
        <v>61</v>
      </c>
      <c r="AX79" s="43"/>
      <c r="AY79" s="43"/>
    </row>
    <row r="80" spans="1:51">
      <c r="A80" s="135"/>
      <c r="B80" s="47" t="s">
        <v>61</v>
      </c>
      <c r="C80" s="47" t="s">
        <v>61</v>
      </c>
      <c r="D80" s="53" t="s">
        <v>70</v>
      </c>
      <c r="E80" s="51" t="s">
        <v>61</v>
      </c>
      <c r="F80" s="47">
        <v>0</v>
      </c>
      <c r="G80" s="47">
        <v>0</v>
      </c>
      <c r="H80" s="47">
        <v>0</v>
      </c>
      <c r="I80" s="47">
        <v>0</v>
      </c>
      <c r="J80" s="47">
        <v>0</v>
      </c>
      <c r="K80" s="47">
        <v>0</v>
      </c>
      <c r="L80" s="47">
        <v>0</v>
      </c>
      <c r="M80" s="47">
        <v>0</v>
      </c>
      <c r="N80" s="47">
        <v>0</v>
      </c>
      <c r="O80" s="47">
        <v>0</v>
      </c>
      <c r="P80" s="47">
        <v>0</v>
      </c>
      <c r="Q80" s="47">
        <v>0</v>
      </c>
      <c r="R80" s="47">
        <v>0</v>
      </c>
      <c r="S80" s="47">
        <v>0</v>
      </c>
      <c r="T80" s="47">
        <v>0</v>
      </c>
      <c r="U80" s="47">
        <v>0</v>
      </c>
      <c r="V80" s="47">
        <v>0</v>
      </c>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row>
    <row r="81" spans="1:51">
      <c r="A81" s="135"/>
      <c r="B81" s="47" t="s">
        <v>61</v>
      </c>
      <c r="C81" s="47" t="s">
        <v>61</v>
      </c>
      <c r="D81" s="53" t="s">
        <v>72</v>
      </c>
      <c r="E81" s="51" t="s">
        <v>61</v>
      </c>
      <c r="F81" s="47">
        <v>0</v>
      </c>
      <c r="G81" s="47">
        <v>0</v>
      </c>
      <c r="H81" s="47">
        <v>0</v>
      </c>
      <c r="I81" s="47">
        <v>0</v>
      </c>
      <c r="J81" s="47">
        <v>0</v>
      </c>
      <c r="K81" s="47">
        <v>0</v>
      </c>
      <c r="L81" s="47">
        <v>0</v>
      </c>
      <c r="M81" s="47">
        <v>0</v>
      </c>
      <c r="N81" s="47">
        <v>0</v>
      </c>
      <c r="O81" s="47">
        <v>0</v>
      </c>
      <c r="P81" s="47">
        <v>0</v>
      </c>
      <c r="Q81" s="47">
        <v>0</v>
      </c>
      <c r="R81" s="47">
        <v>0</v>
      </c>
      <c r="S81" s="47">
        <v>0</v>
      </c>
      <c r="T81" s="47">
        <v>0</v>
      </c>
      <c r="U81" s="47">
        <v>0</v>
      </c>
      <c r="V81" s="47">
        <v>0</v>
      </c>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row>
    <row r="82" spans="1:51">
      <c r="A82" s="135"/>
      <c r="B82" s="55" t="s">
        <v>61</v>
      </c>
      <c r="C82" s="55" t="s">
        <v>61</v>
      </c>
      <c r="D82" s="53" t="s">
        <v>74</v>
      </c>
      <c r="E82" s="51" t="s">
        <v>61</v>
      </c>
      <c r="F82" s="47">
        <v>0</v>
      </c>
      <c r="G82" s="47">
        <v>0</v>
      </c>
      <c r="H82" s="47">
        <v>0</v>
      </c>
      <c r="I82" s="47">
        <v>0</v>
      </c>
      <c r="J82" s="47">
        <v>0</v>
      </c>
      <c r="K82" s="47">
        <v>0</v>
      </c>
      <c r="L82" s="47">
        <v>0</v>
      </c>
      <c r="M82" s="47">
        <v>0</v>
      </c>
      <c r="N82" s="47">
        <v>0</v>
      </c>
      <c r="O82" s="47">
        <v>0</v>
      </c>
      <c r="P82" s="47">
        <v>0</v>
      </c>
      <c r="Q82" s="47">
        <v>0</v>
      </c>
      <c r="R82" s="47">
        <v>0</v>
      </c>
      <c r="S82" s="47">
        <v>0</v>
      </c>
      <c r="T82" s="47">
        <v>0</v>
      </c>
      <c r="U82" s="47">
        <v>0</v>
      </c>
      <c r="V82" s="47">
        <v>0</v>
      </c>
      <c r="W82" s="43" t="s">
        <v>61</v>
      </c>
      <c r="X82" s="43" t="s">
        <v>61</v>
      </c>
      <c r="Y82" s="43" t="s">
        <v>61</v>
      </c>
      <c r="Z82" s="43" t="s">
        <v>61</v>
      </c>
      <c r="AA82" s="43" t="s">
        <v>61</v>
      </c>
      <c r="AB82" s="43" t="s">
        <v>61</v>
      </c>
      <c r="AC82" s="43" t="s">
        <v>61</v>
      </c>
      <c r="AD82" s="43" t="s">
        <v>61</v>
      </c>
      <c r="AE82" s="43" t="s">
        <v>61</v>
      </c>
      <c r="AF82" s="43" t="s">
        <v>61</v>
      </c>
      <c r="AG82" s="43" t="s">
        <v>61</v>
      </c>
      <c r="AH82" s="43" t="s">
        <v>61</v>
      </c>
      <c r="AI82" s="43" t="s">
        <v>61</v>
      </c>
      <c r="AJ82" s="43" t="s">
        <v>61</v>
      </c>
      <c r="AK82" s="43" t="s">
        <v>61</v>
      </c>
      <c r="AL82" s="43" t="s">
        <v>61</v>
      </c>
      <c r="AM82" s="43" t="s">
        <v>61</v>
      </c>
      <c r="AN82" s="43" t="s">
        <v>61</v>
      </c>
      <c r="AO82" s="43" t="s">
        <v>61</v>
      </c>
      <c r="AP82" s="43" t="s">
        <v>61</v>
      </c>
      <c r="AQ82" s="43" t="s">
        <v>61</v>
      </c>
      <c r="AR82" s="43" t="s">
        <v>61</v>
      </c>
      <c r="AS82" s="43" t="s">
        <v>61</v>
      </c>
      <c r="AT82" s="43" t="s">
        <v>61</v>
      </c>
      <c r="AU82" s="43" t="s">
        <v>61</v>
      </c>
      <c r="AV82" s="43" t="s">
        <v>61</v>
      </c>
      <c r="AW82" s="43" t="s">
        <v>61</v>
      </c>
      <c r="AX82" s="43"/>
      <c r="AY82" s="43"/>
    </row>
    <row r="83" spans="1:51">
      <c r="A83" s="135"/>
      <c r="B83" s="55" t="s">
        <v>61</v>
      </c>
      <c r="C83" s="55" t="s">
        <v>61</v>
      </c>
      <c r="D83" s="53" t="s">
        <v>76</v>
      </c>
      <c r="E83" s="51" t="s">
        <v>61</v>
      </c>
      <c r="F83" s="47">
        <v>0</v>
      </c>
      <c r="G83" s="47">
        <v>0</v>
      </c>
      <c r="H83" s="47">
        <v>0</v>
      </c>
      <c r="I83" s="47">
        <v>0</v>
      </c>
      <c r="J83" s="47">
        <v>0</v>
      </c>
      <c r="K83" s="47">
        <v>0</v>
      </c>
      <c r="L83" s="47">
        <v>0</v>
      </c>
      <c r="M83" s="47">
        <v>0</v>
      </c>
      <c r="N83" s="47">
        <v>0</v>
      </c>
      <c r="O83" s="47">
        <v>0</v>
      </c>
      <c r="P83" s="47">
        <v>0</v>
      </c>
      <c r="Q83" s="47">
        <v>0</v>
      </c>
      <c r="R83" s="47">
        <v>0</v>
      </c>
      <c r="S83" s="47">
        <v>0</v>
      </c>
      <c r="T83" s="47">
        <v>0</v>
      </c>
      <c r="U83" s="47">
        <v>0</v>
      </c>
      <c r="V83" s="47">
        <v>0</v>
      </c>
      <c r="W83" s="43" t="s">
        <v>61</v>
      </c>
      <c r="X83" s="43" t="s">
        <v>61</v>
      </c>
      <c r="Y83" s="43" t="s">
        <v>61</v>
      </c>
      <c r="Z83" s="43" t="s">
        <v>61</v>
      </c>
      <c r="AA83" s="43" t="s">
        <v>61</v>
      </c>
      <c r="AB83" s="43" t="s">
        <v>61</v>
      </c>
      <c r="AC83" s="43" t="s">
        <v>61</v>
      </c>
      <c r="AD83" s="43" t="s">
        <v>61</v>
      </c>
      <c r="AE83" s="43" t="s">
        <v>61</v>
      </c>
      <c r="AF83" s="43" t="s">
        <v>61</v>
      </c>
      <c r="AG83" s="43" t="s">
        <v>61</v>
      </c>
      <c r="AH83" s="43" t="s">
        <v>61</v>
      </c>
      <c r="AI83" s="43" t="s">
        <v>61</v>
      </c>
      <c r="AJ83" s="43" t="s">
        <v>61</v>
      </c>
      <c r="AK83" s="43" t="s">
        <v>61</v>
      </c>
      <c r="AL83" s="43" t="s">
        <v>61</v>
      </c>
      <c r="AM83" s="43" t="s">
        <v>61</v>
      </c>
      <c r="AN83" s="43" t="s">
        <v>61</v>
      </c>
      <c r="AO83" s="43" t="s">
        <v>61</v>
      </c>
      <c r="AP83" s="43" t="s">
        <v>61</v>
      </c>
      <c r="AQ83" s="43" t="s">
        <v>61</v>
      </c>
      <c r="AR83" s="43" t="s">
        <v>61</v>
      </c>
      <c r="AS83" s="43" t="s">
        <v>61</v>
      </c>
      <c r="AT83" s="43" t="s">
        <v>61</v>
      </c>
      <c r="AU83" s="43" t="s">
        <v>61</v>
      </c>
      <c r="AV83" s="43" t="s">
        <v>61</v>
      </c>
      <c r="AW83" s="43" t="s">
        <v>61</v>
      </c>
      <c r="AX83" s="43"/>
      <c r="AY83" s="43"/>
    </row>
    <row r="84" spans="1:51">
      <c r="A84" s="135"/>
      <c r="B84" s="55" t="s">
        <v>61</v>
      </c>
      <c r="C84" s="58" t="s">
        <v>61</v>
      </c>
      <c r="D84" s="53" t="s">
        <v>78</v>
      </c>
      <c r="E84" s="51" t="s">
        <v>61</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3" t="s">
        <v>61</v>
      </c>
      <c r="X84" s="43" t="s">
        <v>61</v>
      </c>
      <c r="Y84" s="43" t="s">
        <v>61</v>
      </c>
      <c r="Z84" s="43" t="s">
        <v>61</v>
      </c>
      <c r="AA84" s="43" t="s">
        <v>61</v>
      </c>
      <c r="AB84" s="43" t="s">
        <v>61</v>
      </c>
      <c r="AC84" s="43" t="s">
        <v>61</v>
      </c>
      <c r="AD84" s="43" t="s">
        <v>61</v>
      </c>
      <c r="AE84" s="43" t="s">
        <v>61</v>
      </c>
      <c r="AF84" s="43" t="s">
        <v>61</v>
      </c>
      <c r="AG84" s="43" t="s">
        <v>61</v>
      </c>
      <c r="AH84" s="43" t="s">
        <v>61</v>
      </c>
      <c r="AI84" s="43" t="s">
        <v>61</v>
      </c>
      <c r="AJ84" s="43" t="s">
        <v>61</v>
      </c>
      <c r="AK84" s="43" t="s">
        <v>61</v>
      </c>
      <c r="AL84" s="43" t="s">
        <v>61</v>
      </c>
      <c r="AM84" s="43" t="s">
        <v>61</v>
      </c>
      <c r="AN84" s="43" t="s">
        <v>61</v>
      </c>
      <c r="AO84" s="43" t="s">
        <v>61</v>
      </c>
      <c r="AP84" s="43" t="s">
        <v>61</v>
      </c>
      <c r="AQ84" s="43" t="s">
        <v>61</v>
      </c>
      <c r="AR84" s="43" t="s">
        <v>61</v>
      </c>
      <c r="AS84" s="43" t="s">
        <v>61</v>
      </c>
      <c r="AT84" s="43" t="s">
        <v>61</v>
      </c>
      <c r="AU84" s="43" t="s">
        <v>61</v>
      </c>
      <c r="AV84" s="43" t="s">
        <v>61</v>
      </c>
      <c r="AW84" s="43" t="s">
        <v>61</v>
      </c>
      <c r="AX84" s="43"/>
      <c r="AY84" s="43"/>
    </row>
    <row r="85" spans="1:51">
      <c r="A85" s="135"/>
      <c r="B85" s="57"/>
      <c r="C85" s="92"/>
      <c r="D85" s="53" t="s">
        <v>80</v>
      </c>
      <c r="E85" s="51"/>
      <c r="F85" s="47">
        <v>0</v>
      </c>
      <c r="G85" s="47">
        <v>0</v>
      </c>
      <c r="H85" s="47">
        <v>0</v>
      </c>
      <c r="I85" s="47">
        <v>0</v>
      </c>
      <c r="J85" s="47">
        <v>0</v>
      </c>
      <c r="K85" s="47">
        <v>0</v>
      </c>
      <c r="L85" s="47">
        <v>0</v>
      </c>
      <c r="M85" s="47">
        <v>0</v>
      </c>
      <c r="N85" s="47">
        <v>0</v>
      </c>
      <c r="O85" s="47">
        <v>0</v>
      </c>
      <c r="P85" s="47">
        <v>0</v>
      </c>
      <c r="Q85" s="47">
        <v>0</v>
      </c>
      <c r="R85" s="47">
        <v>0</v>
      </c>
      <c r="S85" s="47">
        <v>0</v>
      </c>
      <c r="T85" s="47">
        <v>0</v>
      </c>
      <c r="U85" s="47">
        <v>0</v>
      </c>
      <c r="V85" s="47">
        <v>0</v>
      </c>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row>
    <row r="86" spans="1:51">
      <c r="A86" s="135"/>
      <c r="B86" s="57"/>
      <c r="C86" s="92"/>
      <c r="D86" s="53" t="s">
        <v>82</v>
      </c>
      <c r="E86" s="51"/>
      <c r="F86" s="47">
        <v>0</v>
      </c>
      <c r="G86" s="47">
        <v>0</v>
      </c>
      <c r="H86" s="47">
        <v>0</v>
      </c>
      <c r="I86" s="47">
        <v>0</v>
      </c>
      <c r="J86" s="47">
        <v>0</v>
      </c>
      <c r="K86" s="47">
        <v>0</v>
      </c>
      <c r="L86" s="47">
        <v>0</v>
      </c>
      <c r="M86" s="47">
        <v>0</v>
      </c>
      <c r="N86" s="47">
        <v>0</v>
      </c>
      <c r="O86" s="47">
        <v>0</v>
      </c>
      <c r="P86" s="47">
        <v>0</v>
      </c>
      <c r="Q86" s="47">
        <v>0</v>
      </c>
      <c r="R86" s="47">
        <v>0</v>
      </c>
      <c r="S86" s="47">
        <v>0</v>
      </c>
      <c r="T86" s="47">
        <v>0</v>
      </c>
      <c r="U86" s="47">
        <v>0</v>
      </c>
      <c r="V86" s="47">
        <v>0</v>
      </c>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row>
    <row r="87" spans="1:51">
      <c r="A87" s="135"/>
      <c r="B87" s="53" t="s">
        <v>81</v>
      </c>
      <c r="C87" s="94" t="s">
        <v>92</v>
      </c>
      <c r="D87" s="53" t="s">
        <v>64</v>
      </c>
      <c r="E87" s="51" t="s">
        <v>61</v>
      </c>
      <c r="F87" s="47">
        <v>0</v>
      </c>
      <c r="G87" s="47">
        <v>0</v>
      </c>
      <c r="H87" s="47">
        <v>0</v>
      </c>
      <c r="I87" s="47">
        <v>0</v>
      </c>
      <c r="J87" s="47">
        <v>0</v>
      </c>
      <c r="K87" s="47">
        <v>0</v>
      </c>
      <c r="L87" s="47">
        <v>0</v>
      </c>
      <c r="M87" s="47">
        <v>0</v>
      </c>
      <c r="N87" s="47">
        <v>0</v>
      </c>
      <c r="O87" s="47">
        <v>0</v>
      </c>
      <c r="P87" s="47">
        <v>0</v>
      </c>
      <c r="Q87" s="47">
        <v>0</v>
      </c>
      <c r="R87" s="47">
        <v>0</v>
      </c>
      <c r="S87" s="47">
        <v>0</v>
      </c>
      <c r="T87" s="47">
        <v>0</v>
      </c>
      <c r="U87" s="47">
        <v>0</v>
      </c>
      <c r="V87" s="47">
        <v>0</v>
      </c>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row>
    <row r="88" spans="1:51">
      <c r="A88" s="135"/>
      <c r="B88" s="57" t="s">
        <v>61</v>
      </c>
      <c r="C88" s="59" t="s">
        <v>61</v>
      </c>
      <c r="D88" s="53" t="s">
        <v>67</v>
      </c>
      <c r="E88" s="51" t="s">
        <v>61</v>
      </c>
      <c r="F88" s="47">
        <v>0</v>
      </c>
      <c r="G88" s="47">
        <v>0</v>
      </c>
      <c r="H88" s="47">
        <v>0</v>
      </c>
      <c r="I88" s="47">
        <v>0</v>
      </c>
      <c r="J88" s="47">
        <v>0</v>
      </c>
      <c r="K88" s="47">
        <v>0</v>
      </c>
      <c r="L88" s="47">
        <v>0</v>
      </c>
      <c r="M88" s="47">
        <v>0</v>
      </c>
      <c r="N88" s="47">
        <v>0</v>
      </c>
      <c r="O88" s="47">
        <v>0</v>
      </c>
      <c r="P88" s="47">
        <v>0</v>
      </c>
      <c r="Q88" s="47">
        <v>0</v>
      </c>
      <c r="R88" s="47">
        <v>0</v>
      </c>
      <c r="S88" s="47">
        <v>0</v>
      </c>
      <c r="T88" s="47">
        <v>0</v>
      </c>
      <c r="U88" s="47">
        <v>0</v>
      </c>
      <c r="V88" s="47">
        <v>0</v>
      </c>
      <c r="W88" s="43" t="s">
        <v>61</v>
      </c>
      <c r="X88" s="43" t="s">
        <v>61</v>
      </c>
      <c r="Y88" s="43" t="s">
        <v>61</v>
      </c>
      <c r="Z88" s="43" t="s">
        <v>61</v>
      </c>
      <c r="AA88" s="43" t="s">
        <v>61</v>
      </c>
      <c r="AB88" s="43" t="s">
        <v>61</v>
      </c>
      <c r="AC88" s="43" t="s">
        <v>61</v>
      </c>
      <c r="AD88" s="43" t="s">
        <v>61</v>
      </c>
      <c r="AE88" s="43" t="s">
        <v>61</v>
      </c>
      <c r="AF88" s="43" t="s">
        <v>61</v>
      </c>
      <c r="AG88" s="43" t="s">
        <v>61</v>
      </c>
      <c r="AH88" s="43" t="s">
        <v>61</v>
      </c>
      <c r="AI88" s="43" t="s">
        <v>61</v>
      </c>
      <c r="AJ88" s="43" t="s">
        <v>61</v>
      </c>
      <c r="AK88" s="43" t="s">
        <v>61</v>
      </c>
      <c r="AL88" s="43" t="s">
        <v>61</v>
      </c>
      <c r="AM88" s="43" t="s">
        <v>61</v>
      </c>
      <c r="AN88" s="43" t="s">
        <v>61</v>
      </c>
      <c r="AO88" s="43" t="s">
        <v>61</v>
      </c>
      <c r="AP88" s="43" t="s">
        <v>61</v>
      </c>
      <c r="AQ88" s="43" t="s">
        <v>61</v>
      </c>
      <c r="AR88" s="43" t="s">
        <v>61</v>
      </c>
      <c r="AS88" s="43" t="s">
        <v>61</v>
      </c>
      <c r="AT88" s="43" t="s">
        <v>61</v>
      </c>
      <c r="AU88" s="43" t="s">
        <v>61</v>
      </c>
      <c r="AV88" s="43" t="s">
        <v>61</v>
      </c>
      <c r="AW88" s="43" t="s">
        <v>61</v>
      </c>
      <c r="AX88" s="43"/>
      <c r="AY88" s="43"/>
    </row>
    <row r="89" spans="1:51">
      <c r="A89" s="135"/>
      <c r="B89" s="53" t="s">
        <v>61</v>
      </c>
      <c r="C89" s="60" t="s">
        <v>61</v>
      </c>
      <c r="D89" s="53" t="s">
        <v>70</v>
      </c>
      <c r="E89" s="51" t="s">
        <v>61</v>
      </c>
      <c r="F89" s="47">
        <v>0</v>
      </c>
      <c r="G89" s="47">
        <v>0</v>
      </c>
      <c r="H89" s="47">
        <v>0</v>
      </c>
      <c r="I89" s="47">
        <v>0</v>
      </c>
      <c r="J89" s="47">
        <v>0</v>
      </c>
      <c r="K89" s="47">
        <v>0</v>
      </c>
      <c r="L89" s="47">
        <v>0</v>
      </c>
      <c r="M89" s="47">
        <v>0</v>
      </c>
      <c r="N89" s="47">
        <v>0</v>
      </c>
      <c r="O89" s="47">
        <v>0</v>
      </c>
      <c r="P89" s="47">
        <v>0</v>
      </c>
      <c r="Q89" s="47">
        <v>0</v>
      </c>
      <c r="R89" s="47">
        <v>0</v>
      </c>
      <c r="S89" s="47">
        <v>0</v>
      </c>
      <c r="T89" s="47">
        <v>0</v>
      </c>
      <c r="U89" s="47">
        <v>0</v>
      </c>
      <c r="V89" s="47">
        <v>0</v>
      </c>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row>
    <row r="90" spans="1:51">
      <c r="A90" s="135"/>
      <c r="B90" s="53" t="s">
        <v>61</v>
      </c>
      <c r="C90" s="60" t="s">
        <v>61</v>
      </c>
      <c r="D90" s="53" t="s">
        <v>72</v>
      </c>
      <c r="E90" s="51" t="s">
        <v>61</v>
      </c>
      <c r="F90" s="47">
        <v>0</v>
      </c>
      <c r="G90" s="47">
        <v>0</v>
      </c>
      <c r="H90" s="47">
        <v>0</v>
      </c>
      <c r="I90" s="47">
        <v>0</v>
      </c>
      <c r="J90" s="47">
        <v>0</v>
      </c>
      <c r="K90" s="47">
        <v>0</v>
      </c>
      <c r="L90" s="47">
        <v>0</v>
      </c>
      <c r="M90" s="47">
        <v>0</v>
      </c>
      <c r="N90" s="47">
        <v>0</v>
      </c>
      <c r="O90" s="47">
        <v>0</v>
      </c>
      <c r="P90" s="47">
        <v>0</v>
      </c>
      <c r="Q90" s="47">
        <v>0</v>
      </c>
      <c r="R90" s="47">
        <v>0</v>
      </c>
      <c r="S90" s="47">
        <v>0</v>
      </c>
      <c r="T90" s="47">
        <v>0</v>
      </c>
      <c r="U90" s="47">
        <v>0</v>
      </c>
      <c r="V90" s="47">
        <v>0</v>
      </c>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row>
    <row r="91" spans="1:51">
      <c r="A91" s="135"/>
      <c r="B91" s="57" t="s">
        <v>61</v>
      </c>
      <c r="C91" s="59" t="s">
        <v>61</v>
      </c>
      <c r="D91" s="53" t="s">
        <v>74</v>
      </c>
      <c r="E91" s="51" t="s">
        <v>61</v>
      </c>
      <c r="F91" s="47">
        <v>0</v>
      </c>
      <c r="G91" s="47">
        <v>0</v>
      </c>
      <c r="H91" s="47">
        <v>0</v>
      </c>
      <c r="I91" s="47">
        <v>0</v>
      </c>
      <c r="J91" s="47">
        <v>0</v>
      </c>
      <c r="K91" s="47">
        <v>0</v>
      </c>
      <c r="L91" s="47">
        <v>0</v>
      </c>
      <c r="M91" s="47">
        <v>0</v>
      </c>
      <c r="N91" s="47">
        <v>0</v>
      </c>
      <c r="O91" s="47">
        <v>0</v>
      </c>
      <c r="P91" s="47">
        <v>0</v>
      </c>
      <c r="Q91" s="47">
        <v>0</v>
      </c>
      <c r="R91" s="47">
        <v>0</v>
      </c>
      <c r="S91" s="47">
        <v>0</v>
      </c>
      <c r="T91" s="47">
        <v>0</v>
      </c>
      <c r="U91" s="47">
        <v>0</v>
      </c>
      <c r="V91" s="47">
        <v>0</v>
      </c>
      <c r="W91" s="43" t="s">
        <v>61</v>
      </c>
      <c r="X91" s="43" t="s">
        <v>61</v>
      </c>
      <c r="Y91" s="43" t="s">
        <v>61</v>
      </c>
      <c r="Z91" s="43" t="s">
        <v>61</v>
      </c>
      <c r="AA91" s="43" t="s">
        <v>61</v>
      </c>
      <c r="AB91" s="43" t="s">
        <v>61</v>
      </c>
      <c r="AC91" s="43" t="s">
        <v>61</v>
      </c>
      <c r="AD91" s="43" t="s">
        <v>61</v>
      </c>
      <c r="AE91" s="43" t="s">
        <v>61</v>
      </c>
      <c r="AF91" s="43" t="s">
        <v>61</v>
      </c>
      <c r="AG91" s="43" t="s">
        <v>61</v>
      </c>
      <c r="AH91" s="43" t="s">
        <v>61</v>
      </c>
      <c r="AI91" s="43" t="s">
        <v>61</v>
      </c>
      <c r="AJ91" s="43" t="s">
        <v>61</v>
      </c>
      <c r="AK91" s="43" t="s">
        <v>61</v>
      </c>
      <c r="AL91" s="43" t="s">
        <v>61</v>
      </c>
      <c r="AM91" s="43" t="s">
        <v>61</v>
      </c>
      <c r="AN91" s="43" t="s">
        <v>61</v>
      </c>
      <c r="AO91" s="43" t="s">
        <v>61</v>
      </c>
      <c r="AP91" s="43" t="s">
        <v>61</v>
      </c>
      <c r="AQ91" s="43" t="s">
        <v>61</v>
      </c>
      <c r="AR91" s="43" t="s">
        <v>61</v>
      </c>
      <c r="AS91" s="43" t="s">
        <v>61</v>
      </c>
      <c r="AT91" s="43" t="s">
        <v>61</v>
      </c>
      <c r="AU91" s="43" t="s">
        <v>61</v>
      </c>
      <c r="AV91" s="43" t="s">
        <v>61</v>
      </c>
      <c r="AW91" s="43" t="s">
        <v>61</v>
      </c>
      <c r="AX91" s="43"/>
      <c r="AY91" s="43"/>
    </row>
    <row r="92" spans="1:51">
      <c r="A92" s="135"/>
      <c r="B92" s="57" t="s">
        <v>61</v>
      </c>
      <c r="C92" s="59" t="s">
        <v>61</v>
      </c>
      <c r="D92" s="53" t="s">
        <v>76</v>
      </c>
      <c r="E92" s="51" t="s">
        <v>61</v>
      </c>
      <c r="F92" s="47">
        <v>0</v>
      </c>
      <c r="G92" s="47">
        <v>0</v>
      </c>
      <c r="H92" s="47">
        <v>0</v>
      </c>
      <c r="I92" s="47">
        <v>0</v>
      </c>
      <c r="J92" s="47">
        <v>0</v>
      </c>
      <c r="K92" s="47">
        <v>0</v>
      </c>
      <c r="L92" s="47">
        <v>0</v>
      </c>
      <c r="M92" s="47">
        <v>0</v>
      </c>
      <c r="N92" s="47">
        <v>0</v>
      </c>
      <c r="O92" s="47">
        <v>0</v>
      </c>
      <c r="P92" s="47">
        <v>0</v>
      </c>
      <c r="Q92" s="47">
        <v>0</v>
      </c>
      <c r="R92" s="47">
        <v>0</v>
      </c>
      <c r="S92" s="47">
        <v>0</v>
      </c>
      <c r="T92" s="47">
        <v>0</v>
      </c>
      <c r="U92" s="47">
        <v>0</v>
      </c>
      <c r="V92" s="47">
        <v>0</v>
      </c>
      <c r="W92" s="43" t="s">
        <v>61</v>
      </c>
      <c r="X92" s="43" t="s">
        <v>61</v>
      </c>
      <c r="Y92" s="43" t="s">
        <v>61</v>
      </c>
      <c r="Z92" s="43" t="s">
        <v>61</v>
      </c>
      <c r="AA92" s="43" t="s">
        <v>61</v>
      </c>
      <c r="AB92" s="43" t="s">
        <v>61</v>
      </c>
      <c r="AC92" s="43" t="s">
        <v>61</v>
      </c>
      <c r="AD92" s="43" t="s">
        <v>61</v>
      </c>
      <c r="AE92" s="43" t="s">
        <v>61</v>
      </c>
      <c r="AF92" s="43" t="s">
        <v>61</v>
      </c>
      <c r="AG92" s="43" t="s">
        <v>61</v>
      </c>
      <c r="AH92" s="43" t="s">
        <v>61</v>
      </c>
      <c r="AI92" s="43" t="s">
        <v>61</v>
      </c>
      <c r="AJ92" s="43" t="s">
        <v>61</v>
      </c>
      <c r="AK92" s="43" t="s">
        <v>61</v>
      </c>
      <c r="AL92" s="43" t="s">
        <v>61</v>
      </c>
      <c r="AM92" s="43" t="s">
        <v>61</v>
      </c>
      <c r="AN92" s="43" t="s">
        <v>61</v>
      </c>
      <c r="AO92" s="43" t="s">
        <v>61</v>
      </c>
      <c r="AP92" s="43" t="s">
        <v>61</v>
      </c>
      <c r="AQ92" s="43" t="s">
        <v>61</v>
      </c>
      <c r="AR92" s="43" t="s">
        <v>61</v>
      </c>
      <c r="AS92" s="43" t="s">
        <v>61</v>
      </c>
      <c r="AT92" s="43" t="s">
        <v>61</v>
      </c>
      <c r="AU92" s="43" t="s">
        <v>61</v>
      </c>
      <c r="AV92" s="43" t="s">
        <v>61</v>
      </c>
      <c r="AW92" s="43" t="s">
        <v>61</v>
      </c>
      <c r="AX92" s="43"/>
      <c r="AY92" s="43"/>
    </row>
    <row r="93" spans="1:51">
      <c r="A93" s="135"/>
      <c r="B93" s="57" t="s">
        <v>61</v>
      </c>
      <c r="C93" s="93" t="s">
        <v>61</v>
      </c>
      <c r="D93" s="53" t="s">
        <v>78</v>
      </c>
      <c r="E93" s="51" t="s">
        <v>61</v>
      </c>
      <c r="F93" s="47">
        <v>0</v>
      </c>
      <c r="G93" s="47">
        <v>0</v>
      </c>
      <c r="H93" s="47">
        <v>0</v>
      </c>
      <c r="I93" s="47">
        <v>0</v>
      </c>
      <c r="J93" s="47">
        <v>0</v>
      </c>
      <c r="K93" s="47">
        <v>0</v>
      </c>
      <c r="L93" s="47">
        <v>0</v>
      </c>
      <c r="M93" s="47">
        <v>0</v>
      </c>
      <c r="N93" s="47">
        <v>0</v>
      </c>
      <c r="O93" s="47">
        <v>0</v>
      </c>
      <c r="P93" s="47">
        <v>0</v>
      </c>
      <c r="Q93" s="47">
        <v>0</v>
      </c>
      <c r="R93" s="47">
        <v>0</v>
      </c>
      <c r="S93" s="47">
        <v>0</v>
      </c>
      <c r="T93" s="47">
        <v>0</v>
      </c>
      <c r="U93" s="47">
        <v>0</v>
      </c>
      <c r="V93" s="47">
        <v>0</v>
      </c>
      <c r="W93" s="43" t="s">
        <v>61</v>
      </c>
      <c r="X93" s="43" t="s">
        <v>61</v>
      </c>
      <c r="Y93" s="43" t="s">
        <v>61</v>
      </c>
      <c r="Z93" s="43" t="s">
        <v>61</v>
      </c>
      <c r="AA93" s="43" t="s">
        <v>61</v>
      </c>
      <c r="AB93" s="43" t="s">
        <v>61</v>
      </c>
      <c r="AC93" s="43" t="s">
        <v>61</v>
      </c>
      <c r="AD93" s="43" t="s">
        <v>61</v>
      </c>
      <c r="AE93" s="43" t="s">
        <v>61</v>
      </c>
      <c r="AF93" s="43" t="s">
        <v>61</v>
      </c>
      <c r="AG93" s="43" t="s">
        <v>61</v>
      </c>
      <c r="AH93" s="43" t="s">
        <v>61</v>
      </c>
      <c r="AI93" s="43" t="s">
        <v>61</v>
      </c>
      <c r="AJ93" s="43" t="s">
        <v>61</v>
      </c>
      <c r="AK93" s="43" t="s">
        <v>61</v>
      </c>
      <c r="AL93" s="43" t="s">
        <v>61</v>
      </c>
      <c r="AM93" s="43" t="s">
        <v>61</v>
      </c>
      <c r="AN93" s="43" t="s">
        <v>61</v>
      </c>
      <c r="AO93" s="43" t="s">
        <v>61</v>
      </c>
      <c r="AP93" s="43" t="s">
        <v>61</v>
      </c>
      <c r="AQ93" s="43" t="s">
        <v>61</v>
      </c>
      <c r="AR93" s="43" t="s">
        <v>61</v>
      </c>
      <c r="AS93" s="43" t="s">
        <v>61</v>
      </c>
      <c r="AT93" s="43" t="s">
        <v>61</v>
      </c>
      <c r="AU93" s="43" t="s">
        <v>61</v>
      </c>
      <c r="AV93" s="43" t="s">
        <v>61</v>
      </c>
      <c r="AW93" s="43" t="s">
        <v>61</v>
      </c>
      <c r="AX93" s="43"/>
      <c r="AY93" s="43"/>
    </row>
    <row r="94" spans="1:51">
      <c r="A94" s="135"/>
      <c r="B94" s="57"/>
      <c r="C94" s="92"/>
      <c r="D94" s="53" t="s">
        <v>80</v>
      </c>
      <c r="E94" s="51"/>
      <c r="F94" s="47">
        <v>0</v>
      </c>
      <c r="G94" s="47">
        <v>0</v>
      </c>
      <c r="H94" s="47">
        <v>0</v>
      </c>
      <c r="I94" s="47">
        <v>0</v>
      </c>
      <c r="J94" s="47">
        <v>0</v>
      </c>
      <c r="K94" s="47">
        <v>0</v>
      </c>
      <c r="L94" s="47">
        <v>0</v>
      </c>
      <c r="M94" s="47">
        <v>0</v>
      </c>
      <c r="N94" s="47">
        <v>0</v>
      </c>
      <c r="O94" s="47">
        <v>0</v>
      </c>
      <c r="P94" s="47">
        <v>0</v>
      </c>
      <c r="Q94" s="47">
        <v>0</v>
      </c>
      <c r="R94" s="47">
        <v>0</v>
      </c>
      <c r="S94" s="47">
        <v>0</v>
      </c>
      <c r="T94" s="47">
        <v>0</v>
      </c>
      <c r="U94" s="47">
        <v>0</v>
      </c>
      <c r="V94" s="47">
        <v>0</v>
      </c>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row>
    <row r="95" spans="1:51">
      <c r="A95" s="136"/>
      <c r="B95" s="57"/>
      <c r="C95" s="92"/>
      <c r="D95" s="53" t="s">
        <v>82</v>
      </c>
      <c r="E95" s="51"/>
      <c r="F95" s="47">
        <v>0</v>
      </c>
      <c r="G95" s="47">
        <v>0</v>
      </c>
      <c r="H95" s="47">
        <v>0</v>
      </c>
      <c r="I95" s="47">
        <v>0</v>
      </c>
      <c r="J95" s="47">
        <v>0</v>
      </c>
      <c r="K95" s="47">
        <v>0</v>
      </c>
      <c r="L95" s="47">
        <v>0</v>
      </c>
      <c r="M95" s="47">
        <v>0</v>
      </c>
      <c r="N95" s="47">
        <v>0</v>
      </c>
      <c r="O95" s="47">
        <v>0</v>
      </c>
      <c r="P95" s="47">
        <v>0</v>
      </c>
      <c r="Q95" s="47">
        <v>0</v>
      </c>
      <c r="R95" s="47">
        <v>0</v>
      </c>
      <c r="S95" s="47">
        <v>0</v>
      </c>
      <c r="T95" s="47">
        <v>0</v>
      </c>
      <c r="U95" s="47">
        <v>0</v>
      </c>
      <c r="V95" s="47">
        <v>0</v>
      </c>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row>
    <row r="96" spans="1:51">
      <c r="A96" s="48"/>
      <c r="B96" s="57"/>
      <c r="C96" s="94" t="s">
        <v>93</v>
      </c>
      <c r="D96" s="53" t="s">
        <v>64</v>
      </c>
      <c r="E96" s="51"/>
      <c r="F96" s="47">
        <v>0</v>
      </c>
      <c r="G96" s="47">
        <v>0</v>
      </c>
      <c r="H96" s="47">
        <v>0</v>
      </c>
      <c r="I96" s="47">
        <v>0</v>
      </c>
      <c r="J96" s="47">
        <v>0</v>
      </c>
      <c r="K96" s="47">
        <v>0</v>
      </c>
      <c r="L96" s="47">
        <v>0</v>
      </c>
      <c r="M96" s="47">
        <v>0</v>
      </c>
      <c r="N96" s="47">
        <v>0</v>
      </c>
      <c r="O96" s="47">
        <v>0</v>
      </c>
      <c r="P96" s="47">
        <v>0</v>
      </c>
      <c r="Q96" s="47">
        <v>0</v>
      </c>
      <c r="R96" s="47">
        <v>0</v>
      </c>
      <c r="S96" s="47">
        <v>0</v>
      </c>
      <c r="T96" s="47">
        <v>0</v>
      </c>
      <c r="U96" s="47">
        <v>0</v>
      </c>
      <c r="V96" s="47">
        <v>0</v>
      </c>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row>
    <row r="97" spans="1:51">
      <c r="A97" s="48"/>
      <c r="B97" s="57"/>
      <c r="C97" s="59" t="s">
        <v>61</v>
      </c>
      <c r="D97" s="53" t="s">
        <v>67</v>
      </c>
      <c r="E97" s="51"/>
      <c r="F97" s="31">
        <v>59</v>
      </c>
      <c r="G97" s="84">
        <v>63</v>
      </c>
      <c r="H97" s="84">
        <v>53</v>
      </c>
      <c r="I97" s="84">
        <v>49</v>
      </c>
      <c r="J97" s="84">
        <v>40</v>
      </c>
      <c r="K97" s="84">
        <v>34</v>
      </c>
      <c r="L97" s="84">
        <v>67</v>
      </c>
      <c r="M97" s="84">
        <v>31</v>
      </c>
      <c r="N97" s="84">
        <v>28</v>
      </c>
      <c r="O97" s="84">
        <v>55</v>
      </c>
      <c r="P97" s="84">
        <v>32</v>
      </c>
      <c r="Q97" s="84">
        <v>45</v>
      </c>
      <c r="R97" s="84">
        <v>29</v>
      </c>
      <c r="S97" s="84">
        <v>27</v>
      </c>
      <c r="T97" s="84">
        <v>39</v>
      </c>
      <c r="U97" s="84">
        <v>55</v>
      </c>
      <c r="V97" s="84">
        <v>35</v>
      </c>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row>
    <row r="98" spans="1:51">
      <c r="A98" s="48"/>
      <c r="B98" s="57"/>
      <c r="C98" s="60" t="s">
        <v>61</v>
      </c>
      <c r="D98" s="53" t="s">
        <v>70</v>
      </c>
      <c r="E98" s="51"/>
      <c r="F98" s="47">
        <v>0</v>
      </c>
      <c r="G98" s="47">
        <v>0</v>
      </c>
      <c r="H98" s="47">
        <v>0</v>
      </c>
      <c r="I98" s="47">
        <v>0</v>
      </c>
      <c r="J98" s="47">
        <v>0</v>
      </c>
      <c r="K98" s="47">
        <v>0</v>
      </c>
      <c r="L98" s="47">
        <v>0</v>
      </c>
      <c r="M98" s="47">
        <v>0</v>
      </c>
      <c r="N98" s="47">
        <v>0</v>
      </c>
      <c r="O98" s="47">
        <v>0</v>
      </c>
      <c r="P98" s="47">
        <v>0</v>
      </c>
      <c r="Q98" s="47">
        <v>0</v>
      </c>
      <c r="R98" s="47">
        <v>0</v>
      </c>
      <c r="S98" s="47">
        <v>0</v>
      </c>
      <c r="T98" s="47">
        <v>0</v>
      </c>
      <c r="U98" s="47">
        <v>0</v>
      </c>
      <c r="V98" s="47">
        <v>0</v>
      </c>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row>
    <row r="99" spans="1:51">
      <c r="A99" s="48"/>
      <c r="B99" s="57"/>
      <c r="C99" s="60" t="s">
        <v>61</v>
      </c>
      <c r="D99" s="53" t="s">
        <v>72</v>
      </c>
      <c r="E99" s="51"/>
      <c r="F99" s="47">
        <v>0</v>
      </c>
      <c r="G99" s="47">
        <v>0</v>
      </c>
      <c r="H99" s="47">
        <v>0</v>
      </c>
      <c r="I99" s="47">
        <v>0</v>
      </c>
      <c r="J99" s="47">
        <v>0</v>
      </c>
      <c r="K99" s="47">
        <v>0</v>
      </c>
      <c r="L99" s="47">
        <v>0</v>
      </c>
      <c r="M99" s="47">
        <v>0</v>
      </c>
      <c r="N99" s="47">
        <v>0</v>
      </c>
      <c r="O99" s="47">
        <v>0</v>
      </c>
      <c r="P99" s="47">
        <v>0</v>
      </c>
      <c r="Q99" s="47">
        <v>0</v>
      </c>
      <c r="R99" s="47">
        <v>0</v>
      </c>
      <c r="S99" s="47">
        <v>0</v>
      </c>
      <c r="T99" s="47">
        <v>0</v>
      </c>
      <c r="U99" s="47">
        <v>0</v>
      </c>
      <c r="V99" s="47">
        <v>0</v>
      </c>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row>
    <row r="100" spans="1:51">
      <c r="A100" s="48"/>
      <c r="B100" s="57"/>
      <c r="C100" s="59" t="s">
        <v>61</v>
      </c>
      <c r="D100" s="53" t="s">
        <v>74</v>
      </c>
      <c r="E100" s="51"/>
      <c r="F100" s="47">
        <v>0</v>
      </c>
      <c r="G100" s="47">
        <v>0</v>
      </c>
      <c r="H100" s="47">
        <v>0</v>
      </c>
      <c r="I100" s="47">
        <v>0</v>
      </c>
      <c r="J100" s="47">
        <v>0</v>
      </c>
      <c r="K100" s="47">
        <v>0</v>
      </c>
      <c r="L100" s="47">
        <v>0</v>
      </c>
      <c r="M100" s="47">
        <v>0</v>
      </c>
      <c r="N100" s="47">
        <v>0</v>
      </c>
      <c r="O100" s="47">
        <v>0</v>
      </c>
      <c r="P100" s="47">
        <v>0</v>
      </c>
      <c r="Q100" s="47">
        <v>0</v>
      </c>
      <c r="R100" s="47">
        <v>0</v>
      </c>
      <c r="S100" s="47">
        <v>0</v>
      </c>
      <c r="T100" s="47">
        <v>0</v>
      </c>
      <c r="U100" s="47">
        <v>0</v>
      </c>
      <c r="V100" s="47">
        <v>0</v>
      </c>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row>
    <row r="101" spans="1:51">
      <c r="A101" s="48"/>
      <c r="B101" s="57"/>
      <c r="C101" s="59" t="s">
        <v>61</v>
      </c>
      <c r="D101" s="53" t="s">
        <v>76</v>
      </c>
      <c r="E101" s="51"/>
      <c r="F101" s="47">
        <v>0</v>
      </c>
      <c r="G101" s="47">
        <v>0</v>
      </c>
      <c r="H101" s="47">
        <v>0</v>
      </c>
      <c r="I101" s="47">
        <v>0</v>
      </c>
      <c r="J101" s="47">
        <v>0</v>
      </c>
      <c r="K101" s="47">
        <v>0</v>
      </c>
      <c r="L101" s="47">
        <v>0</v>
      </c>
      <c r="M101" s="47">
        <v>0</v>
      </c>
      <c r="N101" s="47">
        <v>0</v>
      </c>
      <c r="O101" s="47">
        <v>0</v>
      </c>
      <c r="P101" s="47">
        <v>0</v>
      </c>
      <c r="Q101" s="47">
        <v>0</v>
      </c>
      <c r="R101" s="47">
        <v>0</v>
      </c>
      <c r="S101" s="47">
        <v>0</v>
      </c>
      <c r="T101" s="47">
        <v>0</v>
      </c>
      <c r="U101" s="47">
        <v>0</v>
      </c>
      <c r="V101" s="47">
        <v>0</v>
      </c>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row>
    <row r="102" spans="1:51">
      <c r="A102" s="48"/>
      <c r="B102" s="57"/>
      <c r="C102" s="93" t="s">
        <v>61</v>
      </c>
      <c r="D102" s="53" t="s">
        <v>78</v>
      </c>
      <c r="E102" s="51"/>
      <c r="F102" s="47">
        <v>0</v>
      </c>
      <c r="G102" s="47">
        <v>0</v>
      </c>
      <c r="H102" s="47">
        <v>0</v>
      </c>
      <c r="I102" s="47">
        <v>0</v>
      </c>
      <c r="J102" s="47">
        <v>0</v>
      </c>
      <c r="K102" s="47">
        <v>0</v>
      </c>
      <c r="L102" s="47">
        <v>0</v>
      </c>
      <c r="M102" s="47">
        <v>0</v>
      </c>
      <c r="N102" s="47">
        <v>0</v>
      </c>
      <c r="O102" s="47">
        <v>0</v>
      </c>
      <c r="P102" s="47">
        <v>0</v>
      </c>
      <c r="Q102" s="47">
        <v>0</v>
      </c>
      <c r="R102" s="47">
        <v>0</v>
      </c>
      <c r="S102" s="47">
        <v>0</v>
      </c>
      <c r="T102" s="47">
        <v>0</v>
      </c>
      <c r="U102" s="47">
        <v>0</v>
      </c>
      <c r="V102" s="47">
        <v>0</v>
      </c>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row>
    <row r="103" spans="1:51">
      <c r="A103" s="48"/>
      <c r="B103" s="57"/>
      <c r="C103" s="92"/>
      <c r="D103" s="53" t="s">
        <v>80</v>
      </c>
      <c r="E103" s="51"/>
      <c r="F103" s="47">
        <v>0</v>
      </c>
      <c r="G103" s="47">
        <v>0</v>
      </c>
      <c r="H103" s="47">
        <v>0</v>
      </c>
      <c r="I103" s="47">
        <v>0</v>
      </c>
      <c r="J103" s="47">
        <v>0</v>
      </c>
      <c r="K103" s="47">
        <v>0</v>
      </c>
      <c r="L103" s="47">
        <v>0</v>
      </c>
      <c r="M103" s="47">
        <v>0</v>
      </c>
      <c r="N103" s="47">
        <v>0</v>
      </c>
      <c r="O103" s="47">
        <v>0</v>
      </c>
      <c r="P103" s="47">
        <v>0</v>
      </c>
      <c r="Q103" s="47">
        <v>0</v>
      </c>
      <c r="R103" s="47">
        <v>0</v>
      </c>
      <c r="S103" s="47">
        <v>0</v>
      </c>
      <c r="T103" s="47">
        <v>0</v>
      </c>
      <c r="U103" s="47">
        <v>0</v>
      </c>
      <c r="V103" s="47">
        <v>0</v>
      </c>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row>
    <row r="104" spans="1:51">
      <c r="A104" s="48"/>
      <c r="B104" s="57"/>
      <c r="C104" s="92"/>
      <c r="D104" s="53" t="s">
        <v>82</v>
      </c>
      <c r="E104" s="51"/>
      <c r="F104" s="47">
        <v>0</v>
      </c>
      <c r="G104" s="47">
        <v>0</v>
      </c>
      <c r="H104" s="47">
        <v>0</v>
      </c>
      <c r="I104" s="47">
        <v>0</v>
      </c>
      <c r="J104" s="47">
        <v>0</v>
      </c>
      <c r="K104" s="47">
        <v>0</v>
      </c>
      <c r="L104" s="47">
        <v>0</v>
      </c>
      <c r="M104" s="47">
        <v>0</v>
      </c>
      <c r="N104" s="47">
        <v>0</v>
      </c>
      <c r="O104" s="47">
        <v>0</v>
      </c>
      <c r="P104" s="47">
        <v>0</v>
      </c>
      <c r="Q104" s="47">
        <v>0</v>
      </c>
      <c r="R104" s="47">
        <v>0</v>
      </c>
      <c r="S104" s="47">
        <v>0</v>
      </c>
      <c r="T104" s="47">
        <v>0</v>
      </c>
      <c r="U104" s="47">
        <v>0</v>
      </c>
      <c r="V104" s="47">
        <v>0</v>
      </c>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row>
    <row r="105" spans="1:51" ht="128.25" customHeight="1">
      <c r="A105" s="134">
        <v>5</v>
      </c>
      <c r="B105" s="146" t="s">
        <v>94</v>
      </c>
      <c r="C105" s="147"/>
      <c r="D105" s="146"/>
      <c r="E105" s="51" t="s">
        <v>95</v>
      </c>
      <c r="F105" s="47" t="s">
        <v>61</v>
      </c>
      <c r="G105" s="61" t="s">
        <v>61</v>
      </c>
      <c r="H105" s="62" t="s">
        <v>61</v>
      </c>
      <c r="I105" s="63" t="s">
        <v>61</v>
      </c>
      <c r="J105" s="47" t="s">
        <v>61</v>
      </c>
      <c r="K105" s="61" t="s">
        <v>61</v>
      </c>
      <c r="L105" s="47" t="s">
        <v>61</v>
      </c>
      <c r="M105" s="47" t="s">
        <v>61</v>
      </c>
      <c r="N105" s="61" t="s">
        <v>61</v>
      </c>
      <c r="O105" s="61" t="s">
        <v>61</v>
      </c>
      <c r="P105" s="61" t="s">
        <v>61</v>
      </c>
      <c r="Q105" s="61" t="s">
        <v>61</v>
      </c>
      <c r="R105" s="61" t="s">
        <v>61</v>
      </c>
      <c r="S105" s="61" t="s">
        <v>61</v>
      </c>
      <c r="T105" s="61" t="s">
        <v>61</v>
      </c>
      <c r="U105" s="62" t="s">
        <v>61</v>
      </c>
      <c r="V105" s="86" t="s">
        <v>61</v>
      </c>
      <c r="W105" s="99" t="s">
        <v>96</v>
      </c>
      <c r="X105" s="64"/>
      <c r="Y105" s="64"/>
      <c r="Z105" s="64"/>
      <c r="AA105" s="64"/>
      <c r="AB105" s="64"/>
      <c r="AC105" s="64"/>
      <c r="AD105" s="64"/>
      <c r="AE105" s="64"/>
      <c r="AF105" s="64"/>
      <c r="AG105" s="64"/>
      <c r="AH105" s="64"/>
      <c r="AI105" s="64"/>
      <c r="AJ105" s="64"/>
      <c r="AK105" s="64" t="s">
        <v>61</v>
      </c>
      <c r="AL105" s="64" t="s">
        <v>61</v>
      </c>
      <c r="AM105" s="64" t="s">
        <v>61</v>
      </c>
      <c r="AN105" s="64" t="s">
        <v>61</v>
      </c>
      <c r="AO105" s="64" t="s">
        <v>61</v>
      </c>
      <c r="AP105" s="64" t="s">
        <v>61</v>
      </c>
      <c r="AQ105" s="64" t="s">
        <v>61</v>
      </c>
      <c r="AR105" s="64" t="s">
        <v>61</v>
      </c>
      <c r="AS105" s="64" t="s">
        <v>61</v>
      </c>
      <c r="AT105" s="64" t="s">
        <v>61</v>
      </c>
      <c r="AU105" s="64" t="s">
        <v>61</v>
      </c>
      <c r="AV105" s="64" t="s">
        <v>61</v>
      </c>
      <c r="AW105" s="64" t="s">
        <v>61</v>
      </c>
      <c r="AX105" s="43"/>
      <c r="AY105" s="43"/>
    </row>
    <row r="106" spans="1:51" ht="39.6">
      <c r="A106" s="135"/>
      <c r="B106" s="47" t="s">
        <v>63</v>
      </c>
      <c r="C106" s="139" t="s">
        <v>97</v>
      </c>
      <c r="D106" s="139"/>
      <c r="E106" s="65" t="s">
        <v>98</v>
      </c>
      <c r="F106" s="47" t="s">
        <v>61</v>
      </c>
      <c r="G106" s="61" t="s">
        <v>61</v>
      </c>
      <c r="H106" s="62" t="s">
        <v>61</v>
      </c>
      <c r="I106" s="63" t="s">
        <v>61</v>
      </c>
      <c r="J106" s="47" t="s">
        <v>61</v>
      </c>
      <c r="K106" s="61" t="s">
        <v>61</v>
      </c>
      <c r="L106" s="47" t="s">
        <v>61</v>
      </c>
      <c r="M106" s="47" t="s">
        <v>61</v>
      </c>
      <c r="N106" s="61" t="s">
        <v>61</v>
      </c>
      <c r="O106" s="61" t="s">
        <v>61</v>
      </c>
      <c r="P106" s="61" t="s">
        <v>61</v>
      </c>
      <c r="Q106" s="61" t="s">
        <v>61</v>
      </c>
      <c r="R106" s="61" t="s">
        <v>61</v>
      </c>
      <c r="S106" s="61" t="s">
        <v>61</v>
      </c>
      <c r="T106" s="61" t="s">
        <v>61</v>
      </c>
      <c r="U106" s="62" t="s">
        <v>61</v>
      </c>
      <c r="V106" s="86" t="s">
        <v>61</v>
      </c>
      <c r="X106" s="64"/>
      <c r="Y106" s="64"/>
      <c r="Z106" s="64"/>
      <c r="AA106" s="64"/>
      <c r="AB106" s="64"/>
      <c r="AC106" s="64"/>
      <c r="AD106" s="64"/>
      <c r="AE106" s="64"/>
      <c r="AF106" s="64"/>
      <c r="AG106" s="64"/>
      <c r="AH106" s="64"/>
      <c r="AI106" s="64"/>
      <c r="AJ106" s="64"/>
      <c r="AK106" s="64" t="s">
        <v>61</v>
      </c>
      <c r="AL106" s="64" t="s">
        <v>61</v>
      </c>
      <c r="AM106" s="64" t="s">
        <v>61</v>
      </c>
      <c r="AN106" s="64" t="s">
        <v>61</v>
      </c>
      <c r="AO106" s="64" t="s">
        <v>61</v>
      </c>
      <c r="AP106" s="64" t="s">
        <v>61</v>
      </c>
      <c r="AQ106" s="64" t="s">
        <v>61</v>
      </c>
      <c r="AR106" s="64" t="s">
        <v>61</v>
      </c>
      <c r="AS106" s="64" t="s">
        <v>61</v>
      </c>
      <c r="AT106" s="64" t="s">
        <v>61</v>
      </c>
      <c r="AU106" s="64" t="s">
        <v>61</v>
      </c>
      <c r="AV106" s="64" t="s">
        <v>61</v>
      </c>
      <c r="AW106" s="64" t="s">
        <v>61</v>
      </c>
      <c r="AX106" s="43"/>
      <c r="AY106" s="43"/>
    </row>
    <row r="107" spans="1:51">
      <c r="A107" s="135"/>
      <c r="B107" s="50" t="s">
        <v>66</v>
      </c>
      <c r="C107" s="66" t="s">
        <v>99</v>
      </c>
      <c r="D107" s="67" t="s">
        <v>61</v>
      </c>
      <c r="E107" s="65" t="s">
        <v>61</v>
      </c>
      <c r="F107" s="47" t="s">
        <v>61</v>
      </c>
      <c r="G107" s="61" t="s">
        <v>61</v>
      </c>
      <c r="H107" s="62" t="s">
        <v>61</v>
      </c>
      <c r="I107" s="63" t="s">
        <v>61</v>
      </c>
      <c r="J107" s="47" t="s">
        <v>61</v>
      </c>
      <c r="K107" s="61" t="s">
        <v>61</v>
      </c>
      <c r="L107" s="47" t="s">
        <v>61</v>
      </c>
      <c r="M107" s="47" t="s">
        <v>61</v>
      </c>
      <c r="N107" s="61" t="s">
        <v>61</v>
      </c>
      <c r="O107" s="61" t="s">
        <v>61</v>
      </c>
      <c r="P107" s="61" t="s">
        <v>61</v>
      </c>
      <c r="Q107" s="61" t="s">
        <v>61</v>
      </c>
      <c r="R107" s="61" t="s">
        <v>61</v>
      </c>
      <c r="S107" s="61" t="s">
        <v>61</v>
      </c>
      <c r="T107" s="61" t="s">
        <v>61</v>
      </c>
      <c r="U107" s="62" t="s">
        <v>61</v>
      </c>
      <c r="V107" s="86" t="s">
        <v>61</v>
      </c>
      <c r="W107" s="98"/>
      <c r="X107" s="64"/>
      <c r="Y107" s="64"/>
      <c r="Z107" s="64"/>
      <c r="AA107" s="64"/>
      <c r="AB107" s="64"/>
      <c r="AC107" s="64"/>
      <c r="AD107" s="64"/>
      <c r="AE107" s="64"/>
      <c r="AF107" s="64"/>
      <c r="AG107" s="64"/>
      <c r="AH107" s="64"/>
      <c r="AI107" s="64"/>
      <c r="AJ107" s="64"/>
      <c r="AK107" s="64" t="s">
        <v>61</v>
      </c>
      <c r="AL107" s="64" t="s">
        <v>61</v>
      </c>
      <c r="AM107" s="64" t="s">
        <v>61</v>
      </c>
      <c r="AN107" s="64" t="s">
        <v>61</v>
      </c>
      <c r="AO107" s="64" t="s">
        <v>61</v>
      </c>
      <c r="AP107" s="64" t="s">
        <v>61</v>
      </c>
      <c r="AQ107" s="64" t="s">
        <v>61</v>
      </c>
      <c r="AR107" s="64" t="s">
        <v>61</v>
      </c>
      <c r="AS107" s="64" t="s">
        <v>61</v>
      </c>
      <c r="AT107" s="64" t="s">
        <v>61</v>
      </c>
      <c r="AU107" s="64" t="s">
        <v>61</v>
      </c>
      <c r="AV107" s="64" t="s">
        <v>61</v>
      </c>
      <c r="AW107" s="64" t="s">
        <v>61</v>
      </c>
      <c r="AX107" s="43"/>
      <c r="AY107" s="43"/>
    </row>
    <row r="108" spans="1:51">
      <c r="A108" s="135"/>
      <c r="B108" s="50" t="s">
        <v>69</v>
      </c>
      <c r="C108" s="139" t="s">
        <v>100</v>
      </c>
      <c r="D108" s="139"/>
      <c r="E108" s="68" t="s">
        <v>61</v>
      </c>
      <c r="F108" s="61" t="s">
        <v>61</v>
      </c>
      <c r="G108" s="61" t="s">
        <v>61</v>
      </c>
      <c r="H108" s="62" t="s">
        <v>61</v>
      </c>
      <c r="I108" s="63" t="s">
        <v>61</v>
      </c>
      <c r="J108" s="47" t="s">
        <v>61</v>
      </c>
      <c r="K108" s="61" t="s">
        <v>61</v>
      </c>
      <c r="L108" s="47" t="s">
        <v>61</v>
      </c>
      <c r="M108" s="61" t="s">
        <v>61</v>
      </c>
      <c r="N108" s="61" t="s">
        <v>61</v>
      </c>
      <c r="O108" s="61" t="s">
        <v>61</v>
      </c>
      <c r="P108" s="61" t="s">
        <v>61</v>
      </c>
      <c r="Q108" s="61" t="s">
        <v>61</v>
      </c>
      <c r="R108" s="61" t="s">
        <v>61</v>
      </c>
      <c r="S108" s="61" t="s">
        <v>61</v>
      </c>
      <c r="T108" s="61" t="s">
        <v>61</v>
      </c>
      <c r="U108" s="62" t="s">
        <v>61</v>
      </c>
      <c r="V108" s="86" t="s">
        <v>61</v>
      </c>
      <c r="X108" s="64"/>
      <c r="Y108" s="64"/>
      <c r="Z108" s="64"/>
      <c r="AA108" s="64"/>
      <c r="AB108" s="64"/>
      <c r="AC108" s="64"/>
      <c r="AD108" s="64"/>
      <c r="AE108" s="64"/>
      <c r="AF108" s="64"/>
      <c r="AG108" s="64"/>
      <c r="AH108" s="64"/>
      <c r="AI108" s="64"/>
      <c r="AJ108" s="64"/>
      <c r="AK108" s="64" t="s">
        <v>61</v>
      </c>
      <c r="AL108" s="64" t="s">
        <v>61</v>
      </c>
      <c r="AM108" s="64" t="s">
        <v>61</v>
      </c>
      <c r="AN108" s="64" t="s">
        <v>61</v>
      </c>
      <c r="AO108" s="64" t="s">
        <v>61</v>
      </c>
      <c r="AP108" s="64" t="s">
        <v>61</v>
      </c>
      <c r="AQ108" s="64" t="s">
        <v>61</v>
      </c>
      <c r="AR108" s="64" t="s">
        <v>61</v>
      </c>
      <c r="AS108" s="64" t="s">
        <v>61</v>
      </c>
      <c r="AT108" s="64" t="s">
        <v>61</v>
      </c>
      <c r="AU108" s="64" t="s">
        <v>61</v>
      </c>
      <c r="AV108" s="64" t="s">
        <v>61</v>
      </c>
      <c r="AW108" s="64" t="s">
        <v>61</v>
      </c>
      <c r="AX108" s="43"/>
      <c r="AY108" s="43"/>
    </row>
    <row r="109" spans="1:51">
      <c r="A109" s="135"/>
      <c r="B109" s="50" t="s">
        <v>71</v>
      </c>
      <c r="C109" s="139" t="s">
        <v>101</v>
      </c>
      <c r="D109" s="139"/>
      <c r="E109" s="68" t="s">
        <v>61</v>
      </c>
      <c r="F109" s="47" t="s">
        <v>61</v>
      </c>
      <c r="G109" s="47" t="s">
        <v>61</v>
      </c>
      <c r="H109" s="47" t="s">
        <v>61</v>
      </c>
      <c r="I109" s="47" t="s">
        <v>61</v>
      </c>
      <c r="J109" s="47" t="s">
        <v>61</v>
      </c>
      <c r="K109" s="47" t="s">
        <v>61</v>
      </c>
      <c r="L109" s="47" t="s">
        <v>61</v>
      </c>
      <c r="M109" s="47" t="s">
        <v>61</v>
      </c>
      <c r="N109" s="47" t="s">
        <v>61</v>
      </c>
      <c r="O109" s="47" t="s">
        <v>61</v>
      </c>
      <c r="P109" s="47" t="s">
        <v>61</v>
      </c>
      <c r="Q109" s="47" t="s">
        <v>61</v>
      </c>
      <c r="R109" s="47" t="s">
        <v>61</v>
      </c>
      <c r="S109" s="47" t="s">
        <v>61</v>
      </c>
      <c r="T109" s="47" t="s">
        <v>61</v>
      </c>
      <c r="U109" s="53" t="s">
        <v>61</v>
      </c>
      <c r="V109" s="85"/>
      <c r="W109" s="98"/>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row>
    <row r="110" spans="1:51">
      <c r="A110" s="135"/>
      <c r="B110" s="69" t="s">
        <v>73</v>
      </c>
      <c r="C110" s="148" t="s">
        <v>102</v>
      </c>
      <c r="D110" s="148"/>
      <c r="E110" s="70" t="s">
        <v>61</v>
      </c>
      <c r="F110" s="47" t="s">
        <v>61</v>
      </c>
      <c r="G110" s="47" t="s">
        <v>61</v>
      </c>
      <c r="H110" s="47" t="s">
        <v>61</v>
      </c>
      <c r="I110" s="47" t="s">
        <v>61</v>
      </c>
      <c r="J110" s="47" t="s">
        <v>61</v>
      </c>
      <c r="K110" s="47" t="s">
        <v>61</v>
      </c>
      <c r="L110" s="47" t="s">
        <v>61</v>
      </c>
      <c r="M110" s="47" t="s">
        <v>61</v>
      </c>
      <c r="N110" s="47" t="s">
        <v>61</v>
      </c>
      <c r="O110" s="47" t="s">
        <v>61</v>
      </c>
      <c r="P110" s="47" t="s">
        <v>61</v>
      </c>
      <c r="Q110" s="47" t="s">
        <v>61</v>
      </c>
      <c r="R110" s="47" t="s">
        <v>61</v>
      </c>
      <c r="S110" s="47" t="s">
        <v>61</v>
      </c>
      <c r="T110" s="47" t="s">
        <v>61</v>
      </c>
      <c r="U110" s="53" t="s">
        <v>61</v>
      </c>
      <c r="V110" s="85"/>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row>
    <row r="111" spans="1:51" ht="27">
      <c r="A111" s="129">
        <v>6</v>
      </c>
      <c r="B111" s="149" t="s">
        <v>103</v>
      </c>
      <c r="C111" s="149"/>
      <c r="D111" s="150"/>
      <c r="E111" s="71" t="s">
        <v>104</v>
      </c>
      <c r="F111" s="100" t="s">
        <v>61</v>
      </c>
      <c r="G111" s="100" t="s">
        <v>61</v>
      </c>
      <c r="H111" s="100" t="s">
        <v>61</v>
      </c>
      <c r="I111" s="100" t="s">
        <v>61</v>
      </c>
      <c r="J111" s="100" t="s">
        <v>61</v>
      </c>
      <c r="K111" s="100" t="s">
        <v>61</v>
      </c>
      <c r="L111" s="100" t="s">
        <v>61</v>
      </c>
      <c r="M111" s="100" t="s">
        <v>61</v>
      </c>
      <c r="N111" s="100" t="s">
        <v>61</v>
      </c>
      <c r="O111" s="100" t="s">
        <v>61</v>
      </c>
      <c r="P111" s="100" t="s">
        <v>61</v>
      </c>
      <c r="Q111" s="100" t="s">
        <v>61</v>
      </c>
      <c r="R111" s="100" t="s">
        <v>61</v>
      </c>
      <c r="S111" s="100" t="s">
        <v>61</v>
      </c>
      <c r="T111" s="100" t="s">
        <v>61</v>
      </c>
      <c r="U111" s="43" t="s">
        <v>61</v>
      </c>
      <c r="V111" s="85"/>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row>
    <row r="112" spans="1:51">
      <c r="A112" s="129"/>
      <c r="B112" s="79" t="s">
        <v>63</v>
      </c>
      <c r="C112" s="151" t="s">
        <v>84</v>
      </c>
      <c r="D112" s="152"/>
      <c r="E112" s="130" t="s">
        <v>105</v>
      </c>
      <c r="F112" s="101" t="s">
        <v>61</v>
      </c>
      <c r="G112" s="101" t="s">
        <v>61</v>
      </c>
      <c r="H112" s="101" t="s">
        <v>61</v>
      </c>
      <c r="I112" s="101" t="s">
        <v>61</v>
      </c>
      <c r="J112" s="101" t="s">
        <v>61</v>
      </c>
      <c r="K112" s="101" t="s">
        <v>61</v>
      </c>
      <c r="L112" s="101" t="s">
        <v>61</v>
      </c>
      <c r="M112" s="101" t="s">
        <v>61</v>
      </c>
      <c r="N112" s="101" t="s">
        <v>61</v>
      </c>
      <c r="O112" s="101" t="s">
        <v>61</v>
      </c>
      <c r="P112" s="101" t="s">
        <v>61</v>
      </c>
      <c r="Q112" s="101" t="s">
        <v>61</v>
      </c>
      <c r="R112" s="101" t="s">
        <v>61</v>
      </c>
      <c r="S112" s="101" t="s">
        <v>61</v>
      </c>
      <c r="T112" s="101" t="s">
        <v>61</v>
      </c>
      <c r="U112" s="102" t="s">
        <v>61</v>
      </c>
      <c r="V112" s="85"/>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row>
    <row r="113" spans="1:51">
      <c r="A113" s="129"/>
      <c r="B113" s="79" t="s">
        <v>66</v>
      </c>
      <c r="C113" s="151" t="s">
        <v>85</v>
      </c>
      <c r="D113" s="152"/>
      <c r="E113" s="130"/>
      <c r="F113" s="103" t="s">
        <v>61</v>
      </c>
      <c r="G113" s="103" t="s">
        <v>61</v>
      </c>
      <c r="H113" s="103" t="s">
        <v>61</v>
      </c>
      <c r="I113" s="103" t="s">
        <v>61</v>
      </c>
      <c r="J113" s="103" t="s">
        <v>61</v>
      </c>
      <c r="K113" s="103" t="s">
        <v>61</v>
      </c>
      <c r="L113" s="103" t="s">
        <v>61</v>
      </c>
      <c r="M113" s="103" t="s">
        <v>61</v>
      </c>
      <c r="N113" s="103" t="s">
        <v>61</v>
      </c>
      <c r="O113" s="103" t="s">
        <v>61</v>
      </c>
      <c r="P113" s="103" t="s">
        <v>61</v>
      </c>
      <c r="Q113" s="103" t="s">
        <v>61</v>
      </c>
      <c r="R113" s="103" t="s">
        <v>61</v>
      </c>
      <c r="S113" s="103" t="s">
        <v>61</v>
      </c>
      <c r="T113" s="103" t="s">
        <v>61</v>
      </c>
      <c r="U113" s="104" t="s">
        <v>61</v>
      </c>
      <c r="V113" s="85"/>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row>
    <row r="114" spans="1:51">
      <c r="A114" s="129"/>
      <c r="B114" s="79" t="s">
        <v>69</v>
      </c>
      <c r="C114" s="151" t="s">
        <v>106</v>
      </c>
      <c r="D114" s="152"/>
      <c r="E114" s="130"/>
      <c r="F114" s="103" t="s">
        <v>61</v>
      </c>
      <c r="G114" s="103" t="s">
        <v>61</v>
      </c>
      <c r="H114" s="105" t="s">
        <v>61</v>
      </c>
      <c r="I114" s="103" t="s">
        <v>61</v>
      </c>
      <c r="J114" s="103" t="s">
        <v>61</v>
      </c>
      <c r="K114" s="103" t="s">
        <v>61</v>
      </c>
      <c r="L114" s="103" t="s">
        <v>61</v>
      </c>
      <c r="M114" s="103" t="s">
        <v>61</v>
      </c>
      <c r="N114" s="103" t="s">
        <v>61</v>
      </c>
      <c r="O114" s="103" t="s">
        <v>61</v>
      </c>
      <c r="P114" s="103" t="s">
        <v>61</v>
      </c>
      <c r="Q114" s="103" t="s">
        <v>61</v>
      </c>
      <c r="R114" s="103" t="s">
        <v>61</v>
      </c>
      <c r="S114" s="103" t="s">
        <v>61</v>
      </c>
      <c r="T114" s="103" t="s">
        <v>61</v>
      </c>
      <c r="U114" s="104" t="s">
        <v>61</v>
      </c>
      <c r="V114" s="85"/>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row>
    <row r="115" spans="1:51">
      <c r="A115" s="129"/>
      <c r="B115" s="79" t="s">
        <v>71</v>
      </c>
      <c r="C115" s="151" t="s">
        <v>87</v>
      </c>
      <c r="D115" s="152"/>
      <c r="E115" s="130"/>
      <c r="F115" s="103" t="s">
        <v>61</v>
      </c>
      <c r="G115" s="103" t="s">
        <v>61</v>
      </c>
      <c r="H115" s="103" t="s">
        <v>61</v>
      </c>
      <c r="I115" s="103" t="s">
        <v>61</v>
      </c>
      <c r="J115" s="103" t="s">
        <v>61</v>
      </c>
      <c r="K115" s="103" t="s">
        <v>61</v>
      </c>
      <c r="L115" s="103" t="s">
        <v>61</v>
      </c>
      <c r="M115" s="103" t="s">
        <v>61</v>
      </c>
      <c r="N115" s="103" t="s">
        <v>61</v>
      </c>
      <c r="O115" s="103" t="s">
        <v>61</v>
      </c>
      <c r="P115" s="103" t="s">
        <v>61</v>
      </c>
      <c r="Q115" s="103" t="s">
        <v>61</v>
      </c>
      <c r="R115" s="103" t="s">
        <v>61</v>
      </c>
      <c r="S115" s="103" t="s">
        <v>61</v>
      </c>
      <c r="T115" s="103" t="s">
        <v>61</v>
      </c>
      <c r="U115" s="104" t="s">
        <v>61</v>
      </c>
      <c r="V115" s="85"/>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row>
    <row r="116" spans="1:51">
      <c r="A116" s="129"/>
      <c r="B116" s="79" t="s">
        <v>73</v>
      </c>
      <c r="C116" s="151" t="s">
        <v>88</v>
      </c>
      <c r="D116" s="152"/>
      <c r="E116" s="130"/>
      <c r="F116" s="103" t="s">
        <v>61</v>
      </c>
      <c r="G116" s="103" t="s">
        <v>61</v>
      </c>
      <c r="H116" s="103" t="s">
        <v>61</v>
      </c>
      <c r="I116" s="103" t="s">
        <v>61</v>
      </c>
      <c r="J116" s="103" t="s">
        <v>61</v>
      </c>
      <c r="K116" s="103" t="s">
        <v>61</v>
      </c>
      <c r="L116" s="103" t="s">
        <v>61</v>
      </c>
      <c r="M116" s="103" t="s">
        <v>61</v>
      </c>
      <c r="N116" s="103" t="s">
        <v>61</v>
      </c>
      <c r="O116" s="103" t="s">
        <v>61</v>
      </c>
      <c r="P116" s="103" t="s">
        <v>61</v>
      </c>
      <c r="Q116" s="103" t="s">
        <v>61</v>
      </c>
      <c r="R116" s="103" t="s">
        <v>61</v>
      </c>
      <c r="S116" s="103" t="s">
        <v>61</v>
      </c>
      <c r="T116" s="103" t="s">
        <v>61</v>
      </c>
      <c r="U116" s="104" t="s">
        <v>61</v>
      </c>
      <c r="V116" s="85"/>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row>
    <row r="117" spans="1:51">
      <c r="A117" s="129"/>
      <c r="B117" s="79" t="s">
        <v>75</v>
      </c>
      <c r="C117" s="151" t="s">
        <v>89</v>
      </c>
      <c r="D117" s="152"/>
      <c r="E117" s="130"/>
      <c r="F117" s="103" t="s">
        <v>61</v>
      </c>
      <c r="G117" s="103" t="s">
        <v>61</v>
      </c>
      <c r="H117" s="103" t="s">
        <v>61</v>
      </c>
      <c r="I117" s="103" t="s">
        <v>61</v>
      </c>
      <c r="J117" s="103" t="s">
        <v>61</v>
      </c>
      <c r="K117" s="103" t="s">
        <v>61</v>
      </c>
      <c r="L117" s="103" t="s">
        <v>61</v>
      </c>
      <c r="M117" s="103" t="s">
        <v>61</v>
      </c>
      <c r="N117" s="103" t="s">
        <v>61</v>
      </c>
      <c r="O117" s="103" t="s">
        <v>61</v>
      </c>
      <c r="P117" s="103" t="s">
        <v>61</v>
      </c>
      <c r="Q117" s="103" t="s">
        <v>61</v>
      </c>
      <c r="R117" s="103" t="s">
        <v>61</v>
      </c>
      <c r="S117" s="103" t="s">
        <v>61</v>
      </c>
      <c r="T117" s="103" t="s">
        <v>61</v>
      </c>
      <c r="U117" s="104" t="s">
        <v>61</v>
      </c>
      <c r="V117" s="85"/>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row>
    <row r="118" spans="1:51">
      <c r="A118" s="129"/>
      <c r="B118" s="79" t="s">
        <v>77</v>
      </c>
      <c r="C118" s="151" t="s">
        <v>107</v>
      </c>
      <c r="D118" s="152"/>
      <c r="E118" s="130"/>
      <c r="F118" s="103" t="s">
        <v>61</v>
      </c>
      <c r="G118" s="103" t="s">
        <v>61</v>
      </c>
      <c r="H118" s="103" t="s">
        <v>61</v>
      </c>
      <c r="I118" s="103" t="s">
        <v>61</v>
      </c>
      <c r="J118" s="103" t="s">
        <v>61</v>
      </c>
      <c r="K118" s="103" t="s">
        <v>61</v>
      </c>
      <c r="L118" s="103" t="s">
        <v>61</v>
      </c>
      <c r="M118" s="103" t="s">
        <v>61</v>
      </c>
      <c r="N118" s="103" t="s">
        <v>61</v>
      </c>
      <c r="O118" s="103" t="s">
        <v>61</v>
      </c>
      <c r="P118" s="103" t="s">
        <v>61</v>
      </c>
      <c r="Q118" s="103" t="s">
        <v>61</v>
      </c>
      <c r="R118" s="103" t="s">
        <v>61</v>
      </c>
      <c r="S118" s="103" t="s">
        <v>61</v>
      </c>
      <c r="T118" s="103" t="s">
        <v>61</v>
      </c>
      <c r="U118" s="104" t="s">
        <v>61</v>
      </c>
      <c r="V118" s="85"/>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row>
    <row r="119" spans="1:51">
      <c r="A119" s="129"/>
      <c r="B119" s="79" t="s">
        <v>79</v>
      </c>
      <c r="C119" s="151" t="s">
        <v>91</v>
      </c>
      <c r="D119" s="153"/>
      <c r="E119" s="130"/>
      <c r="F119" s="103" t="s">
        <v>61</v>
      </c>
      <c r="G119" s="103" t="s">
        <v>61</v>
      </c>
      <c r="H119" s="103" t="s">
        <v>61</v>
      </c>
      <c r="I119" s="103" t="s">
        <v>61</v>
      </c>
      <c r="J119" s="103" t="s">
        <v>61</v>
      </c>
      <c r="K119" s="103" t="s">
        <v>61</v>
      </c>
      <c r="L119" s="103" t="s">
        <v>61</v>
      </c>
      <c r="M119" s="103" t="s">
        <v>61</v>
      </c>
      <c r="N119" s="103" t="s">
        <v>61</v>
      </c>
      <c r="O119" s="103" t="s">
        <v>61</v>
      </c>
      <c r="P119" s="103" t="s">
        <v>61</v>
      </c>
      <c r="Q119" s="103" t="s">
        <v>61</v>
      </c>
      <c r="R119" s="103" t="s">
        <v>61</v>
      </c>
      <c r="S119" s="103" t="s">
        <v>61</v>
      </c>
      <c r="T119" s="103" t="s">
        <v>61</v>
      </c>
      <c r="U119" s="104" t="s">
        <v>61</v>
      </c>
      <c r="V119" s="85"/>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row>
    <row r="120" spans="1:51">
      <c r="A120" s="129"/>
      <c r="B120" s="79" t="s">
        <v>81</v>
      </c>
      <c r="C120" s="151" t="s">
        <v>92</v>
      </c>
      <c r="D120" s="153"/>
      <c r="E120" s="131"/>
      <c r="F120" s="103" t="s">
        <v>61</v>
      </c>
      <c r="G120" s="103" t="s">
        <v>61</v>
      </c>
      <c r="H120" s="103" t="s">
        <v>61</v>
      </c>
      <c r="I120" s="103" t="s">
        <v>61</v>
      </c>
      <c r="J120" s="103" t="s">
        <v>61</v>
      </c>
      <c r="K120" s="103" t="s">
        <v>61</v>
      </c>
      <c r="L120" s="103" t="s">
        <v>61</v>
      </c>
      <c r="M120" s="103" t="s">
        <v>61</v>
      </c>
      <c r="N120" s="103" t="s">
        <v>61</v>
      </c>
      <c r="O120" s="103" t="s">
        <v>61</v>
      </c>
      <c r="P120" s="103" t="s">
        <v>61</v>
      </c>
      <c r="Q120" s="103" t="s">
        <v>61</v>
      </c>
      <c r="R120" s="103" t="s">
        <v>61</v>
      </c>
      <c r="S120" s="103" t="s">
        <v>61</v>
      </c>
      <c r="T120" s="103" t="s">
        <v>61</v>
      </c>
      <c r="U120" s="104" t="s">
        <v>61</v>
      </c>
      <c r="V120" s="85"/>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row>
    <row r="121" spans="1:51">
      <c r="A121" s="72"/>
      <c r="C121" s="73" t="s">
        <v>108</v>
      </c>
      <c r="D121" s="74" t="s">
        <v>109</v>
      </c>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row>
    <row r="122" spans="1:51">
      <c r="A122" s="72"/>
      <c r="B122" s="43"/>
      <c r="C122" s="73"/>
      <c r="D122" s="74" t="s">
        <v>110</v>
      </c>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row>
    <row r="123" spans="1:51">
      <c r="A123" s="72"/>
      <c r="B123" s="43"/>
      <c r="C123" s="73"/>
      <c r="D123" s="74" t="s">
        <v>111</v>
      </c>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row>
    <row r="124" spans="1:51">
      <c r="A124" s="72"/>
      <c r="B124" s="43"/>
      <c r="C124" s="75" t="s">
        <v>112</v>
      </c>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row>
    <row r="125" spans="1:51">
      <c r="A125" s="72"/>
      <c r="B125" s="43"/>
      <c r="C125" s="76" t="s">
        <v>64</v>
      </c>
      <c r="D125" s="154" t="s">
        <v>113</v>
      </c>
      <c r="E125" s="154"/>
      <c r="F125" s="154"/>
      <c r="G125" s="154"/>
      <c r="H125" s="154"/>
      <c r="I125" s="154"/>
      <c r="J125" s="154"/>
      <c r="K125" s="154"/>
      <c r="L125" s="154"/>
      <c r="M125" s="154"/>
      <c r="N125" s="154"/>
      <c r="O125" s="155"/>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row>
    <row r="126" spans="1:51">
      <c r="A126" s="72"/>
      <c r="B126" s="43"/>
      <c r="C126" s="60" t="s">
        <v>67</v>
      </c>
      <c r="D126" s="154" t="s">
        <v>114</v>
      </c>
      <c r="E126" s="154"/>
      <c r="F126" s="154"/>
      <c r="G126" s="154"/>
      <c r="H126" s="154"/>
      <c r="I126" s="154"/>
      <c r="J126" s="154"/>
      <c r="K126" s="154"/>
      <c r="L126" s="154"/>
      <c r="M126" s="154"/>
      <c r="N126" s="154"/>
      <c r="O126" s="155"/>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row>
    <row r="127" spans="1:51">
      <c r="A127" s="72"/>
      <c r="B127" s="43"/>
      <c r="C127" s="60" t="s">
        <v>70</v>
      </c>
      <c r="D127" s="154" t="s">
        <v>115</v>
      </c>
      <c r="E127" s="154"/>
      <c r="F127" s="154"/>
      <c r="G127" s="154"/>
      <c r="H127" s="154"/>
      <c r="I127" s="154"/>
      <c r="J127" s="154"/>
      <c r="K127" s="154"/>
      <c r="L127" s="154"/>
      <c r="M127" s="154"/>
      <c r="N127" s="154"/>
      <c r="O127" s="155"/>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row>
    <row r="128" spans="1:51">
      <c r="A128" s="72"/>
      <c r="B128" s="43"/>
      <c r="C128" s="60" t="s">
        <v>72</v>
      </c>
      <c r="D128" s="156" t="s">
        <v>116</v>
      </c>
      <c r="E128" s="156"/>
      <c r="F128" s="156"/>
      <c r="G128" s="156"/>
      <c r="H128" s="156"/>
      <c r="I128" s="156"/>
      <c r="J128" s="156"/>
      <c r="K128" s="156"/>
      <c r="L128" s="156"/>
      <c r="M128" s="156"/>
      <c r="N128" s="156"/>
      <c r="O128" s="157"/>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row>
    <row r="129" spans="1:51">
      <c r="A129" s="72"/>
      <c r="B129" s="43"/>
      <c r="C129" s="60" t="s">
        <v>74</v>
      </c>
      <c r="D129" s="126" t="s">
        <v>117</v>
      </c>
      <c r="E129" s="154"/>
      <c r="F129" s="154"/>
      <c r="G129" s="154"/>
      <c r="H129" s="154"/>
      <c r="I129" s="154"/>
      <c r="J129" s="154"/>
      <c r="K129" s="154"/>
      <c r="L129" s="154"/>
      <c r="M129" s="154"/>
      <c r="N129" s="154"/>
      <c r="O129" s="155"/>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row>
    <row r="130" spans="1:51">
      <c r="A130" s="72"/>
      <c r="B130" s="43"/>
      <c r="C130" s="77" t="s">
        <v>76</v>
      </c>
      <c r="D130" s="127" t="s">
        <v>118</v>
      </c>
      <c r="E130" s="127"/>
      <c r="F130" s="127"/>
      <c r="G130" s="127"/>
      <c r="H130" s="127"/>
      <c r="I130" s="127"/>
      <c r="J130" s="127"/>
      <c r="K130" s="127"/>
      <c r="L130" s="127"/>
      <c r="M130" s="127"/>
      <c r="N130" s="127"/>
      <c r="O130" s="128"/>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row>
    <row r="131" spans="1:51">
      <c r="A131" s="72"/>
      <c r="B131" s="43"/>
      <c r="C131" s="77" t="s">
        <v>78</v>
      </c>
      <c r="D131" s="127" t="s">
        <v>119</v>
      </c>
      <c r="E131" s="127"/>
      <c r="F131" s="127"/>
      <c r="G131" s="127"/>
      <c r="H131" s="127"/>
      <c r="I131" s="127"/>
      <c r="J131" s="127"/>
      <c r="K131" s="127"/>
      <c r="L131" s="127"/>
      <c r="M131" s="127"/>
      <c r="N131" s="127"/>
      <c r="O131" s="128"/>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row>
    <row r="132" spans="1:51">
      <c r="A132" s="72"/>
      <c r="B132" s="43"/>
      <c r="C132" s="77" t="s">
        <v>120</v>
      </c>
      <c r="D132" s="156" t="s">
        <v>121</v>
      </c>
      <c r="E132" s="156"/>
      <c r="F132" s="156"/>
      <c r="G132" s="156"/>
      <c r="H132" s="156"/>
      <c r="I132" s="156"/>
      <c r="J132" s="156"/>
      <c r="K132" s="156"/>
      <c r="L132" s="156"/>
      <c r="M132" s="156"/>
      <c r="N132" s="156"/>
      <c r="O132" s="157"/>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row>
    <row r="133" spans="1:51">
      <c r="A133" s="72"/>
      <c r="B133" s="43"/>
      <c r="C133" s="77" t="s">
        <v>122</v>
      </c>
      <c r="D133" s="156" t="s">
        <v>123</v>
      </c>
      <c r="E133" s="156"/>
      <c r="F133" s="156"/>
      <c r="G133" s="156"/>
      <c r="H133" s="156"/>
      <c r="I133" s="156"/>
      <c r="J133" s="156"/>
      <c r="K133" s="156"/>
      <c r="L133" s="156"/>
      <c r="M133" s="156"/>
      <c r="N133" s="156"/>
      <c r="O133" s="157"/>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row>
    <row r="134" spans="1:51">
      <c r="A134" s="72"/>
      <c r="B134" s="43"/>
      <c r="C134" s="77" t="s">
        <v>124</v>
      </c>
      <c r="D134" s="156" t="s">
        <v>125</v>
      </c>
      <c r="E134" s="156"/>
      <c r="F134" s="156"/>
      <c r="G134" s="156"/>
      <c r="H134" s="156"/>
      <c r="I134" s="156"/>
      <c r="J134" s="156"/>
      <c r="K134" s="156"/>
      <c r="L134" s="156"/>
      <c r="M134" s="156"/>
      <c r="N134" s="156"/>
      <c r="O134" s="157"/>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row>
    <row r="135" spans="1:51" ht="27">
      <c r="A135" s="72"/>
      <c r="B135" s="43"/>
      <c r="C135" s="78" t="s">
        <v>126</v>
      </c>
      <c r="D135" s="156" t="s">
        <v>127</v>
      </c>
      <c r="E135" s="156"/>
      <c r="F135" s="156"/>
      <c r="G135" s="156"/>
      <c r="H135" s="156"/>
      <c r="I135" s="156"/>
      <c r="J135" s="156"/>
      <c r="K135" s="156"/>
      <c r="L135" s="156"/>
      <c r="M135" s="156"/>
      <c r="N135" s="156"/>
      <c r="O135" s="157"/>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row>
    <row r="136" spans="1:51">
      <c r="A136" s="72"/>
      <c r="B136" s="43"/>
      <c r="C136" s="77" t="s">
        <v>128</v>
      </c>
      <c r="D136" s="156" t="s">
        <v>129</v>
      </c>
      <c r="E136" s="156"/>
      <c r="F136" s="156"/>
      <c r="G136" s="156"/>
      <c r="H136" s="156"/>
      <c r="I136" s="156"/>
      <c r="J136" s="156"/>
      <c r="K136" s="156"/>
      <c r="L136" s="156"/>
      <c r="M136" s="156"/>
      <c r="N136" s="156"/>
      <c r="O136" s="157"/>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row>
    <row r="137" spans="1:51">
      <c r="A137" s="72"/>
      <c r="B137" s="43"/>
      <c r="C137" s="77" t="s">
        <v>130</v>
      </c>
      <c r="D137" s="156" t="s">
        <v>131</v>
      </c>
      <c r="E137" s="156"/>
      <c r="F137" s="156"/>
      <c r="G137" s="156"/>
      <c r="H137" s="156"/>
      <c r="I137" s="156"/>
      <c r="J137" s="156"/>
      <c r="K137" s="156"/>
      <c r="L137" s="156"/>
      <c r="M137" s="156"/>
      <c r="N137" s="156"/>
      <c r="O137" s="157"/>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row>
    <row r="138" spans="1:51">
      <c r="A138" s="72"/>
      <c r="B138" s="43"/>
      <c r="C138" s="77" t="s">
        <v>132</v>
      </c>
      <c r="D138" s="156" t="s">
        <v>133</v>
      </c>
      <c r="E138" s="156"/>
      <c r="F138" s="156"/>
      <c r="G138" s="156"/>
      <c r="H138" s="156"/>
      <c r="I138" s="156"/>
      <c r="J138" s="156"/>
      <c r="K138" s="156"/>
      <c r="L138" s="156"/>
      <c r="M138" s="156"/>
      <c r="N138" s="156"/>
      <c r="O138" s="157"/>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row>
  </sheetData>
  <mergeCells count="49">
    <mergeCell ref="B1:D1"/>
    <mergeCell ref="B2:D2"/>
    <mergeCell ref="B3:D3"/>
    <mergeCell ref="A4:A9"/>
    <mergeCell ref="B4:D4"/>
    <mergeCell ref="C5:D5"/>
    <mergeCell ref="C6:D6"/>
    <mergeCell ref="C7:D7"/>
    <mergeCell ref="C8:D8"/>
    <mergeCell ref="C9:D9"/>
    <mergeCell ref="E5:E11"/>
    <mergeCell ref="C10:D10"/>
    <mergeCell ref="C11:D11"/>
    <mergeCell ref="B14:D14"/>
    <mergeCell ref="A105:A110"/>
    <mergeCell ref="B105:D105"/>
    <mergeCell ref="C106:D106"/>
    <mergeCell ref="C108:D108"/>
    <mergeCell ref="C109:D109"/>
    <mergeCell ref="C110:D110"/>
    <mergeCell ref="C12:D12"/>
    <mergeCell ref="C13:D13"/>
    <mergeCell ref="A14:A95"/>
    <mergeCell ref="D128:O128"/>
    <mergeCell ref="A111:A120"/>
    <mergeCell ref="B111:D111"/>
    <mergeCell ref="C112:D112"/>
    <mergeCell ref="E112:E120"/>
    <mergeCell ref="C113:D113"/>
    <mergeCell ref="C114:D114"/>
    <mergeCell ref="C115:D115"/>
    <mergeCell ref="C116:D116"/>
    <mergeCell ref="C117:D117"/>
    <mergeCell ref="C118:D118"/>
    <mergeCell ref="C119:D119"/>
    <mergeCell ref="C120:D120"/>
    <mergeCell ref="D125:O125"/>
    <mergeCell ref="D126:O126"/>
    <mergeCell ref="D127:O127"/>
    <mergeCell ref="D135:O135"/>
    <mergeCell ref="D136:O136"/>
    <mergeCell ref="D137:O137"/>
    <mergeCell ref="D138:O138"/>
    <mergeCell ref="D129:O129"/>
    <mergeCell ref="D130:O130"/>
    <mergeCell ref="D131:O131"/>
    <mergeCell ref="D132:O132"/>
    <mergeCell ref="D133:O133"/>
    <mergeCell ref="D134:O1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Fachri Nasution</dc:creator>
  <cp:keywords/>
  <dc:description/>
  <cp:lastModifiedBy/>
  <cp:revision/>
  <dcterms:created xsi:type="dcterms:W3CDTF">2026-04-17T07:59:35Z</dcterms:created>
  <dcterms:modified xsi:type="dcterms:W3CDTF">2026-07-14T07:00:00Z</dcterms:modified>
  <cp:category/>
  <cp:contentStatus/>
</cp:coreProperties>
</file>