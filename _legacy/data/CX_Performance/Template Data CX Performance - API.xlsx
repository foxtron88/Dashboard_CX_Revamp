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erwanramadhani/Documents/Dashboard_CX/data/CX_Performance/"/>
    </mc:Choice>
  </mc:AlternateContent>
  <xr:revisionPtr revIDLastSave="0" documentId="13_ncr:1_{C6FF41FA-09D7-1847-97A7-FC78110299C0}" xr6:coauthVersionLast="47" xr6:coauthVersionMax="47" xr10:uidLastSave="{00000000-0000-0000-0000-000000000000}"/>
  <bookViews>
    <workbookView xWindow="0" yWindow="660" windowWidth="23260" windowHeight="13900" activeTab="1" xr2:uid="{735144F5-399D-4BF2-89F0-C9B34A197EDE}"/>
  </bookViews>
  <sheets>
    <sheet name="Data Performance" sheetId="1" r:id="rId1"/>
    <sheet name="Statistik API"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 i="1" l="1"/>
  <c r="X15" i="1" s="1"/>
  <c r="R4" i="4"/>
  <c r="S4" i="4"/>
  <c r="T4" i="4"/>
  <c r="U4" i="4"/>
  <c r="V4" i="4"/>
  <c r="W4" i="4"/>
  <c r="W24" i="1"/>
  <c r="X24" i="1"/>
  <c r="V24" i="1"/>
  <c r="G3" i="4"/>
  <c r="H3" i="4"/>
  <c r="I3" i="4"/>
  <c r="J3" i="4"/>
  <c r="K3" i="4"/>
  <c r="L3" i="4"/>
  <c r="M3" i="4"/>
  <c r="N3" i="4"/>
  <c r="O3" i="4"/>
  <c r="P3" i="4"/>
  <c r="Q3" i="4"/>
  <c r="F3" i="4"/>
  <c r="X35" i="1"/>
  <c r="D17" i="4"/>
  <c r="W17" i="1"/>
  <c r="W15" i="1" s="1"/>
  <c r="W16" i="1"/>
  <c r="V17" i="1"/>
  <c r="V15" i="1" s="1"/>
  <c r="V16" i="1"/>
  <c r="R22" i="1"/>
  <c r="R27" i="1"/>
  <c r="R28" i="1"/>
  <c r="R23" i="1"/>
  <c r="R24" i="1"/>
  <c r="R29" i="1"/>
  <c r="R21" i="1"/>
  <c r="R26" i="1"/>
  <c r="U17" i="1"/>
  <c r="U16" i="1"/>
  <c r="T17" i="1"/>
  <c r="T16" i="1"/>
  <c r="T15" i="1" s="1"/>
  <c r="S17" i="1"/>
  <c r="S16" i="1"/>
  <c r="S15" i="1" s="1"/>
  <c r="Q17" i="1"/>
  <c r="Q16" i="1"/>
  <c r="P17" i="1"/>
  <c r="P15" i="1" s="1"/>
  <c r="P16" i="1"/>
  <c r="O17" i="1"/>
  <c r="O16" i="1"/>
  <c r="N17" i="1"/>
  <c r="N16" i="1"/>
  <c r="N15" i="1" s="1"/>
  <c r="M17" i="1"/>
  <c r="M15" i="1" s="1"/>
  <c r="M16" i="1"/>
  <c r="L17" i="1"/>
  <c r="L16" i="1"/>
  <c r="K17" i="1"/>
  <c r="K16" i="1"/>
  <c r="J17" i="1"/>
  <c r="J16" i="1"/>
  <c r="I17" i="1"/>
  <c r="I16" i="1"/>
  <c r="I15" i="1" s="1"/>
  <c r="H17" i="1"/>
  <c r="H16" i="1"/>
  <c r="H15" i="1" s="1"/>
  <c r="F17" i="1"/>
  <c r="G17" i="1"/>
  <c r="G16" i="1"/>
  <c r="G15" i="1" s="1"/>
  <c r="J15" i="1"/>
  <c r="K15" i="1"/>
  <c r="L15" i="1"/>
  <c r="O15" i="1"/>
  <c r="Q15" i="1"/>
  <c r="U15" i="1"/>
  <c r="F16" i="1"/>
  <c r="F15" i="1"/>
  <c r="R20" i="1"/>
  <c r="R32" i="1"/>
  <c r="R33" i="1"/>
  <c r="R34" i="1"/>
  <c r="R31" i="1"/>
  <c r="S34" i="1" l="1"/>
  <c r="V34" i="1" s="1"/>
  <c r="T34" i="1"/>
  <c r="U34" i="1"/>
  <c r="S33" i="1"/>
  <c r="T33" i="1" s="1"/>
  <c r="R15" i="1"/>
  <c r="U33" i="1" l="1"/>
  <c r="V33" i="1"/>
  <c r="W33" i="1"/>
  <c r="W34" i="1"/>
  <c r="X34" i="1" s="1"/>
</calcChain>
</file>

<file path=xl/sharedStrings.xml><?xml version="1.0" encoding="utf-8"?>
<sst xmlns="http://schemas.openxmlformats.org/spreadsheetml/2006/main" count="1083" uniqueCount="164">
  <si>
    <t>CUSTOMER EXPERIENCE PERFORMANCE DATA</t>
  </si>
  <si>
    <t>2025 - 2026</t>
  </si>
  <si>
    <t>API</t>
  </si>
  <si>
    <t>No</t>
  </si>
  <si>
    <t>Parameters</t>
  </si>
  <si>
    <t>Unit</t>
  </si>
  <si>
    <t>Target</t>
  </si>
  <si>
    <t>JAN</t>
  </si>
  <si>
    <t>FEB</t>
  </si>
  <si>
    <t>MAR</t>
  </si>
  <si>
    <t>APR</t>
  </si>
  <si>
    <t>MAY</t>
  </si>
  <si>
    <t>JUN</t>
  </si>
  <si>
    <t>JUL</t>
  </si>
  <si>
    <t>AUG</t>
  </si>
  <si>
    <t>SEP</t>
  </si>
  <si>
    <t>OCT</t>
  </si>
  <si>
    <t>NOV</t>
  </si>
  <si>
    <t>DEC</t>
  </si>
  <si>
    <t>TOTAL</t>
  </si>
  <si>
    <t>MEI</t>
  </si>
  <si>
    <t>JUNI</t>
  </si>
  <si>
    <t>Customer Satisfaction (SurveySensum)</t>
  </si>
  <si>
    <t>a.</t>
  </si>
  <si>
    <t>Overall Satisfaction</t>
  </si>
  <si>
    <t>Scale 1-5</t>
  </si>
  <si>
    <t>N/A</t>
  </si>
  <si>
    <t>4,31</t>
  </si>
  <si>
    <t>4,28</t>
  </si>
  <si>
    <t>4,52</t>
  </si>
  <si>
    <t>4,72</t>
  </si>
  <si>
    <t>b.</t>
  </si>
  <si>
    <t>CSAT - People</t>
  </si>
  <si>
    <t>4,51</t>
  </si>
  <si>
    <t>4,50</t>
  </si>
  <si>
    <t>4,66</t>
  </si>
  <si>
    <t>4,78</t>
  </si>
  <si>
    <t>4,71</t>
  </si>
  <si>
    <t>c.</t>
  </si>
  <si>
    <t>CSAT - Process</t>
  </si>
  <si>
    <t>4,67</t>
  </si>
  <si>
    <t>4,32</t>
  </si>
  <si>
    <t>4,58</t>
  </si>
  <si>
    <t>4,61</t>
  </si>
  <si>
    <t>d.</t>
  </si>
  <si>
    <t>CSAT - Premises</t>
  </si>
  <si>
    <t>4,30</t>
  </si>
  <si>
    <t>4,34</t>
  </si>
  <si>
    <t>4,60</t>
  </si>
  <si>
    <t>4,73</t>
  </si>
  <si>
    <t>4,62</t>
  </si>
  <si>
    <t>Customer Satisfaction (ACI)</t>
  </si>
  <si>
    <t>*Q2 TBC (est. 17 Juli rilis ACI)</t>
  </si>
  <si>
    <t xml:space="preserve">Branch Service Performance </t>
  </si>
  <si>
    <t>Service Performance - Overall</t>
  </si>
  <si>
    <t>Percentage (%)</t>
  </si>
  <si>
    <t>Service Performance - People</t>
  </si>
  <si>
    <t>Service Performance - Process</t>
  </si>
  <si>
    <t>Service Performance - Premises</t>
  </si>
  <si>
    <t>Call Center Performance</t>
  </si>
  <si>
    <t>Volume of Call</t>
  </si>
  <si>
    <t>Numbers</t>
  </si>
  <si>
    <t>First Call Resolution</t>
  </si>
  <si>
    <t>Service Level</t>
  </si>
  <si>
    <t>Call Waiting Time</t>
  </si>
  <si>
    <t>Avg. Time Duration</t>
  </si>
  <si>
    <t>00:00:14</t>
  </si>
  <si>
    <t>00:00:15</t>
  </si>
  <si>
    <t>e.</t>
  </si>
  <si>
    <t>Abandoned Call Rate</t>
  </si>
  <si>
    <t>Social Media Performance</t>
  </si>
  <si>
    <t>Volume of Interaction</t>
  </si>
  <si>
    <t>Net Sentiment Score</t>
  </si>
  <si>
    <t>Average Response Time</t>
  </si>
  <si>
    <t>Hours</t>
  </si>
  <si>
    <t>Respons to Sentiment Ratio</t>
  </si>
  <si>
    <t>0,00 - 1,00</t>
  </si>
  <si>
    <t>Complaint Handling Performance</t>
  </si>
  <si>
    <t>Total Complaint</t>
  </si>
  <si>
    <t>Completed</t>
  </si>
  <si>
    <t>Progress</t>
  </si>
  <si>
    <t>Untouch</t>
  </si>
  <si>
    <t>Complaint Resolution Rate</t>
  </si>
  <si>
    <t>f.</t>
  </si>
  <si>
    <t>Average Time Resolution</t>
  </si>
  <si>
    <t>Day</t>
  </si>
  <si>
    <t>Item Data</t>
  </si>
  <si>
    <t>Keterangan Pengisian</t>
  </si>
  <si>
    <t>Jumlah Pengunjung</t>
  </si>
  <si>
    <t>Data Total Pengunjung (Per Cabang / Line of Business)</t>
  </si>
  <si>
    <t>Total Interaksi</t>
  </si>
  <si>
    <t>Total Interaksi (Per Cabang / Line of Business) dari Voice of Customer (pengaduan, permintaan, pertanyaan, informasi dan apresiasi).</t>
  </si>
  <si>
    <t>Jumlah interaksi per-kategory</t>
  </si>
  <si>
    <t> </t>
  </si>
  <si>
    <t>a</t>
  </si>
  <si>
    <t>Pengaduan</t>
  </si>
  <si>
    <t>Bersumber dari Telepon, Customer Service/tatap muka, Email, Kotak Saran, Live Chat, Whatsapp, Instagram dan Twitter</t>
  </si>
  <si>
    <t>b</t>
  </si>
  <si>
    <t>Permintaan/Permohonan</t>
  </si>
  <si>
    <t>d</t>
  </si>
  <si>
    <t>Informasi</t>
  </si>
  <si>
    <t>e</t>
  </si>
  <si>
    <t>Apresiasi</t>
  </si>
  <si>
    <t>g</t>
  </si>
  <si>
    <t>Laporan</t>
  </si>
  <si>
    <t>h</t>
  </si>
  <si>
    <t>Saran</t>
  </si>
  <si>
    <t>Interaksi per channel</t>
  </si>
  <si>
    <t>Telepon/Dial</t>
  </si>
  <si>
    <t>Keluhan</t>
  </si>
  <si>
    <t>Customer Sevice/tatap muka</t>
  </si>
  <si>
    <t>c</t>
  </si>
  <si>
    <t>Email</t>
  </si>
  <si>
    <t>Kotak Saran</t>
  </si>
  <si>
    <t>Live Chat</t>
  </si>
  <si>
    <t>f</t>
  </si>
  <si>
    <t>SP4N Lapor!</t>
  </si>
  <si>
    <t>Whtasapp</t>
  </si>
  <si>
    <t>Instagram</t>
  </si>
  <si>
    <t>i</t>
  </si>
  <si>
    <t>Twitter</t>
  </si>
  <si>
    <t>j</t>
  </si>
  <si>
    <t>Contact Us</t>
  </si>
  <si>
    <t>Jumlah Customer Resolution per Service Level Agreement (SLA)</t>
  </si>
  <si>
    <t>Kategorisasi SLA disesuaikan dengan SLA yang di terapkan di masing-masing member (Per Cabang / Line of Business)</t>
  </si>
  <si>
    <t>FCR (First Contact Resolution)</t>
  </si>
  <si>
    <t>Jumlah kasus yang selesai pada kontak pertama/Total Kasus yang Diterima x 100%</t>
  </si>
  <si>
    <t>&lt; 3 hari</t>
  </si>
  <si>
    <t>&lt; 4 - 14 hari</t>
  </si>
  <si>
    <t>&lt; 30 hari</t>
  </si>
  <si>
    <t>Lainnya (silahkan ditambahkan)</t>
  </si>
  <si>
    <t>Average Handling Time (Call/Contact Center)</t>
  </si>
  <si>
    <t>(Total Talk Time+Total Hold Time+Total ACW)/Jumlah Interaksi yang Ditangani</t>
  </si>
  <si>
    <t>Untuk daftar channel dapat di tambahkan sesuai dengan channel yang ada di member (Per Cabang / Line of Business)</t>
  </si>
  <si>
    <t>CP CX Injourney Group</t>
  </si>
  <si>
    <t>(Erwan) 08213354446</t>
  </si>
  <si>
    <t>(Rumiris) 081807882087</t>
  </si>
  <si>
    <t>(Rikza) 081539393436</t>
  </si>
  <si>
    <t>Definisi</t>
  </si>
  <si>
    <t>Bentuk ketidakpuasan Pelanggan terhadap produk, jasa, atau pelayanan yang diterima, baik terkait kualitas, proses, maupun hasil, yang disampaikan dengan harapan adanya perbaikan atau penyelesaian.</t>
  </si>
  <si>
    <t>Permintaan/Reservasi/Product Inquiry</t>
  </si>
  <si>
    <t>Bentuk kebutuhan atau keinginan pelanggan terhadap suatu layanan, informasi, atau tindakan tertentu dari perusahaan yang belum tentu berkaitan dengan masalah atau ketidakpuasan.</t>
  </si>
  <si>
    <t>Pertanyaan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</si>
  <si>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</si>
  <si>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</si>
  <si>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</si>
  <si>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Lost and Found</t>
  </si>
  <si>
    <t>Layanan pengelolaan barang hilang atau tertinggal yang mencakup proses penerimaan laporan, identifikasi, penyimpanan, penelusuran, verifikasi kepemilikan, hingga pengembalian barang kepada pemilik sesuai dengan prosedur yang berlaku</t>
  </si>
  <si>
    <t>Priority Service</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</si>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</sst>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3" x14ac:knownFonts="1">
    <font>
      <sz val="11"/>
      <color theme="1"/>
      <name val="Segoe UI"/>
      <family val="2"/>
    </font>
    <font>
      <b/>
      <sz val="11"/>
      <color theme="1"/>
      <name val="Segoe UI"/>
      <family val="2"/>
    </font>
    <font>
      <b/>
      <sz val="14"/>
      <color theme="1"/>
      <name val="Segoe UI"/>
      <family val="2"/>
    </font>
    <font>
      <sz val="10"/>
      <color theme="1"/>
      <name val="Arial"/>
      <family val="2"/>
    </font>
    <font>
      <i/>
      <sz val="10"/>
      <color theme="1"/>
      <name val="Arial"/>
      <family val="2"/>
    </font>
    <font>
      <b/>
      <sz val="10"/>
      <color rgb="FF000000"/>
      <name val="Arial"/>
      <family val="2"/>
    </font>
    <font>
      <sz val="10"/>
      <color rgb="FF000000"/>
      <name val="Arial"/>
      <family val="2"/>
    </font>
    <font>
      <i/>
      <sz val="10"/>
      <color rgb="FF000000"/>
      <name val="Arial"/>
      <family val="2"/>
    </font>
    <font>
      <sz val="10"/>
      <name val="Arial"/>
      <family val="2"/>
    </font>
    <font>
      <sz val="12"/>
      <color rgb="FF000000"/>
      <name val="Calibri"/>
      <family val="2"/>
    </font>
    <font>
      <sz val="11"/>
      <color rgb="FF000000"/>
      <name val="Cambria"/>
      <family val="1"/>
    </font>
    <font>
      <sz val="11"/>
      <color rgb="FF000000"/>
      <name val="Calibri"/>
      <family val="2"/>
    </font>
    <font>
      <sz val="11"/>
      <color rgb="FF000000"/>
      <name val="Calibri"/>
      <family val="2"/>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CCCCCC"/>
      </left>
      <right/>
      <top style="thin">
        <color rgb="FF000000"/>
      </top>
      <bottom style="thin">
        <color rgb="FF000000"/>
      </bottom>
      <diagonal/>
    </border>
    <border>
      <left/>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s>
  <cellStyleXfs count="1">
    <xf numFmtId="0" fontId="0" fillId="0" borderId="0"/>
  </cellStyleXfs>
  <cellXfs count="165">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0" fillId="0" borderId="2" xfId="0" applyBorder="1" applyAlignment="1">
      <alignment horizontal="center"/>
    </xf>
    <xf numFmtId="0" fontId="1" fillId="0" borderId="5" xfId="0" applyFont="1" applyBorder="1"/>
    <xf numFmtId="0" fontId="0" fillId="0" borderId="1" xfId="0" applyBorder="1"/>
    <xf numFmtId="0" fontId="0" fillId="0" borderId="1"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1" xfId="0" applyBorder="1" applyAlignment="1">
      <alignment horizontal="right"/>
    </xf>
    <xf numFmtId="21" fontId="0" fillId="0" borderId="1" xfId="0" applyNumberFormat="1" applyBorder="1"/>
    <xf numFmtId="2" fontId="0" fillId="0" borderId="1" xfId="0" applyNumberFormat="1" applyBorder="1" applyAlignment="1">
      <alignment horizontal="center"/>
    </xf>
    <xf numFmtId="0" fontId="0" fillId="0" borderId="0" xfId="0" quotePrefix="1"/>
    <xf numFmtId="0" fontId="0" fillId="0" borderId="2" xfId="0" applyBorder="1" applyAlignment="1">
      <alignment horizontal="right"/>
    </xf>
    <xf numFmtId="0" fontId="0" fillId="0" borderId="6" xfId="0" applyBorder="1"/>
    <xf numFmtId="0" fontId="0" fillId="0" borderId="8" xfId="0" quotePrefix="1" applyBorder="1" applyAlignment="1">
      <alignment horizontal="center"/>
    </xf>
    <xf numFmtId="21" fontId="0" fillId="3" borderId="3" xfId="0" applyNumberFormat="1" applyFill="1" applyBorder="1" applyAlignment="1">
      <alignment horizontal="center"/>
    </xf>
    <xf numFmtId="0" fontId="1" fillId="0" borderId="3" xfId="0" applyFont="1" applyBorder="1" applyAlignment="1">
      <alignment horizontal="center"/>
    </xf>
    <xf numFmtId="0" fontId="0" fillId="0" borderId="8" xfId="0" applyBorder="1"/>
    <xf numFmtId="0" fontId="0" fillId="0" borderId="8" xfId="0" applyBorder="1" applyAlignment="1">
      <alignment horizontal="center"/>
    </xf>
    <xf numFmtId="2" fontId="0" fillId="0" borderId="8" xfId="0" applyNumberFormat="1" applyBorder="1" applyAlignment="1">
      <alignment horizontal="center"/>
    </xf>
    <xf numFmtId="0" fontId="0" fillId="0" borderId="8" xfId="0" applyBorder="1" applyAlignment="1">
      <alignment horizontal="right"/>
    </xf>
    <xf numFmtId="21" fontId="0" fillId="0" borderId="8" xfId="0" applyNumberFormat="1" applyBorder="1"/>
    <xf numFmtId="0" fontId="0" fillId="2" borderId="3" xfId="0" applyFill="1" applyBorder="1"/>
    <xf numFmtId="0" fontId="0" fillId="2" borderId="3" xfId="0" applyFill="1" applyBorder="1" applyAlignment="1">
      <alignment horizontal="center"/>
    </xf>
    <xf numFmtId="2" fontId="0" fillId="2" borderId="3" xfId="0" applyNumberFormat="1" applyFill="1" applyBorder="1" applyAlignment="1">
      <alignment horizontal="center" vertical="center"/>
    </xf>
    <xf numFmtId="2" fontId="0" fillId="2" borderId="3" xfId="0" applyNumberFormat="1" applyFill="1" applyBorder="1" applyAlignment="1">
      <alignment horizontal="center"/>
    </xf>
    <xf numFmtId="0" fontId="0" fillId="2" borderId="3" xfId="0" applyFill="1" applyBorder="1" applyAlignment="1">
      <alignment horizontal="right"/>
    </xf>
    <xf numFmtId="0" fontId="0" fillId="0" borderId="0" xfId="0" applyAlignment="1">
      <alignment horizontal="center" vertical="center"/>
    </xf>
    <xf numFmtId="0" fontId="1" fillId="0" borderId="14" xfId="0" applyFont="1" applyBorder="1" applyAlignment="1">
      <alignment horizontal="center"/>
    </xf>
    <xf numFmtId="0" fontId="0" fillId="0" borderId="9" xfId="0" applyBorder="1"/>
    <xf numFmtId="0" fontId="1" fillId="0" borderId="13" xfId="0" applyFont="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8" xfId="0" applyFill="1" applyBorder="1"/>
    <xf numFmtId="0" fontId="0" fillId="4" borderId="9" xfId="0" applyFill="1" applyBorder="1"/>
    <xf numFmtId="2" fontId="0" fillId="4" borderId="8" xfId="0" applyNumberFormat="1" applyFill="1" applyBorder="1" applyAlignment="1">
      <alignment horizontal="center"/>
    </xf>
    <xf numFmtId="2" fontId="0" fillId="4" borderId="9" xfId="0" applyNumberFormat="1" applyFill="1" applyBorder="1" applyAlignment="1">
      <alignment horizontal="center"/>
    </xf>
    <xf numFmtId="0" fontId="3" fillId="0" borderId="8" xfId="0" applyFont="1" applyBorder="1" applyAlignment="1">
      <alignment readingOrder="1"/>
    </xf>
    <xf numFmtId="0" fontId="5" fillId="0" borderId="10" xfId="0" applyFont="1" applyBorder="1"/>
    <xf numFmtId="0" fontId="6" fillId="0" borderId="0" xfId="0" applyFont="1"/>
    <xf numFmtId="0" fontId="6" fillId="0" borderId="17" xfId="0" applyFont="1" applyBorder="1" applyAlignment="1">
      <alignment wrapText="1"/>
    </xf>
    <xf numFmtId="0" fontId="6" fillId="0" borderId="16" xfId="0" applyFont="1" applyBorder="1"/>
    <xf numFmtId="0" fontId="6" fillId="0" borderId="6" xfId="0" applyFont="1" applyBorder="1" applyAlignment="1">
      <alignment wrapText="1"/>
    </xf>
    <xf numFmtId="0" fontId="7" fillId="0" borderId="16" xfId="0" applyFont="1" applyBorder="1"/>
    <xf numFmtId="0" fontId="6" fillId="0" borderId="20" xfId="0" applyFont="1" applyBorder="1"/>
    <xf numFmtId="0" fontId="7" fillId="0" borderId="16" xfId="0" applyFont="1" applyBorder="1" applyAlignment="1">
      <alignment wrapText="1"/>
    </xf>
    <xf numFmtId="0" fontId="6" fillId="5" borderId="16" xfId="0" applyFont="1" applyFill="1" applyBorder="1"/>
    <xf numFmtId="0" fontId="7" fillId="5" borderId="16" xfId="0" applyFont="1" applyFill="1" applyBorder="1"/>
    <xf numFmtId="0" fontId="6" fillId="5" borderId="20" xfId="0" applyFont="1" applyFill="1" applyBorder="1"/>
    <xf numFmtId="0" fontId="6" fillId="5" borderId="6" xfId="0" applyFont="1" applyFill="1" applyBorder="1"/>
    <xf numFmtId="0" fontId="6" fillId="0" borderId="6" xfId="0" applyFont="1" applyBorder="1"/>
    <xf numFmtId="0" fontId="9" fillId="0" borderId="0" xfId="0" applyFont="1"/>
    <xf numFmtId="0" fontId="8" fillId="0" borderId="20" xfId="0" applyFont="1" applyBorder="1"/>
    <xf numFmtId="0" fontId="8" fillId="0" borderId="6" xfId="0" applyFont="1" applyBorder="1"/>
    <xf numFmtId="0" fontId="8" fillId="0" borderId="7" xfId="0" applyFont="1" applyBorder="1"/>
    <xf numFmtId="0" fontId="6" fillId="0" borderId="17" xfId="0" applyFont="1" applyBorder="1"/>
    <xf numFmtId="0" fontId="6" fillId="0" borderId="1" xfId="0" applyFont="1" applyBorder="1"/>
    <xf numFmtId="0" fontId="6" fillId="0" borderId="2" xfId="0" applyFont="1" applyBorder="1" applyAlignment="1">
      <alignment wrapText="1"/>
    </xf>
    <xf numFmtId="0" fontId="5" fillId="0" borderId="0" xfId="0" applyFont="1"/>
    <xf numFmtId="1" fontId="5" fillId="0" borderId="0" xfId="0" applyNumberFormat="1" applyFont="1"/>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5" fillId="0" borderId="8" xfId="0" applyFont="1" applyBorder="1" applyAlignment="1">
      <alignment horizontal="center" vertical="center"/>
    </xf>
    <xf numFmtId="0" fontId="6" fillId="0" borderId="0" xfId="0" applyFont="1" applyAlignment="1">
      <alignment horizontal="center" vertical="center"/>
    </xf>
    <xf numFmtId="0" fontId="6" fillId="0" borderId="18" xfId="0" applyFont="1" applyBorder="1"/>
    <xf numFmtId="0" fontId="0" fillId="4" borderId="0" xfId="0" applyFill="1"/>
    <xf numFmtId="0" fontId="0" fillId="4" borderId="6" xfId="0" applyFill="1" applyBorder="1" applyAlignment="1">
      <alignment horizontal="center"/>
    </xf>
    <xf numFmtId="0" fontId="0" fillId="4" borderId="5" xfId="0" applyFill="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 xfId="0" applyFill="1" applyBorder="1" applyAlignment="1">
      <alignment horizontal="right"/>
    </xf>
    <xf numFmtId="2" fontId="0" fillId="4" borderId="3" xfId="0" applyNumberFormat="1" applyFill="1" applyBorder="1" applyAlignment="1">
      <alignment horizontal="right"/>
    </xf>
    <xf numFmtId="0" fontId="0" fillId="4" borderId="8" xfId="0" applyFill="1" applyBorder="1" applyAlignment="1">
      <alignment horizontal="right"/>
    </xf>
    <xf numFmtId="0" fontId="7" fillId="0" borderId="8" xfId="0" applyFont="1" applyBorder="1"/>
    <xf numFmtId="0" fontId="6" fillId="0" borderId="8" xfId="0" applyFont="1" applyBorder="1"/>
    <xf numFmtId="0" fontId="7" fillId="0" borderId="17" xfId="0" applyFont="1" applyBorder="1"/>
    <xf numFmtId="0" fontId="6" fillId="5" borderId="8" xfId="0" applyFont="1" applyFill="1" applyBorder="1"/>
    <xf numFmtId="0" fontId="7" fillId="0" borderId="6" xfId="0" applyFont="1" applyBorder="1"/>
    <xf numFmtId="0" fontId="4" fillId="0" borderId="8" xfId="0" applyFont="1" applyBorder="1" applyAlignment="1">
      <alignment readingOrder="1"/>
    </xf>
    <xf numFmtId="0" fontId="6" fillId="5" borderId="19" xfId="0" applyFont="1" applyFill="1" applyBorder="1"/>
    <xf numFmtId="0" fontId="6" fillId="0" borderId="24" xfId="0" applyFont="1" applyBorder="1"/>
    <xf numFmtId="21" fontId="3" fillId="0" borderId="10" xfId="0" applyNumberFormat="1" applyFont="1" applyBorder="1" applyAlignment="1">
      <alignment readingOrder="1"/>
    </xf>
    <xf numFmtId="21" fontId="3" fillId="0" borderId="11" xfId="0" applyNumberFormat="1" applyFont="1" applyBorder="1" applyAlignment="1">
      <alignment readingOrder="1"/>
    </xf>
    <xf numFmtId="21" fontId="3" fillId="0" borderId="8" xfId="0" applyNumberFormat="1" applyFont="1" applyBorder="1" applyAlignment="1">
      <alignment readingOrder="1"/>
    </xf>
    <xf numFmtId="0" fontId="6" fillId="0" borderId="14" xfId="0" applyFont="1" applyBorder="1"/>
    <xf numFmtId="0" fontId="9" fillId="0" borderId="16" xfId="0" applyFont="1" applyBorder="1"/>
    <xf numFmtId="0" fontId="9" fillId="0" borderId="20" xfId="0" applyFont="1" applyBorder="1"/>
    <xf numFmtId="0" fontId="9" fillId="0" borderId="8" xfId="0" applyFont="1" applyBorder="1"/>
    <xf numFmtId="0" fontId="10" fillId="0" borderId="0" xfId="0" applyFont="1"/>
    <xf numFmtId="0" fontId="6" fillId="0" borderId="20" xfId="0" applyFont="1" applyBorder="1" applyAlignment="1">
      <alignment wrapText="1"/>
    </xf>
    <xf numFmtId="17" fontId="5" fillId="0" borderId="25" xfId="0" applyNumberFormat="1" applyFont="1" applyBorder="1"/>
    <xf numFmtId="17" fontId="5" fillId="0" borderId="15" xfId="0" applyNumberFormat="1" applyFont="1" applyBorder="1"/>
    <xf numFmtId="0" fontId="7" fillId="0" borderId="12" xfId="0" applyFont="1" applyBorder="1"/>
    <xf numFmtId="164" fontId="6" fillId="0" borderId="8" xfId="0" applyNumberFormat="1" applyFont="1" applyBorder="1"/>
    <xf numFmtId="0" fontId="11" fillId="0" borderId="0" xfId="0" applyFont="1"/>
    <xf numFmtId="0" fontId="8" fillId="0" borderId="6" xfId="0" applyFont="1" applyBorder="1" applyAlignment="1">
      <alignment wrapText="1"/>
    </xf>
    <xf numFmtId="0" fontId="7" fillId="0" borderId="20" xfId="0" applyFont="1" applyBorder="1"/>
    <xf numFmtId="0" fontId="6" fillId="0" borderId="23" xfId="0" applyFont="1" applyBorder="1" applyAlignment="1">
      <alignment wrapText="1"/>
    </xf>
    <xf numFmtId="17" fontId="5" fillId="0" borderId="8" xfId="0" applyNumberFormat="1" applyFont="1" applyBorder="1"/>
    <xf numFmtId="0" fontId="11" fillId="0" borderId="8" xfId="0" applyFont="1" applyBorder="1"/>
    <xf numFmtId="164" fontId="6" fillId="0" borderId="9" xfId="0" applyNumberFormat="1" applyFont="1" applyBorder="1"/>
    <xf numFmtId="21" fontId="3" fillId="0" borderId="27" xfId="0" applyNumberFormat="1" applyFont="1" applyBorder="1" applyAlignment="1">
      <alignment readingOrder="1"/>
    </xf>
    <xf numFmtId="0" fontId="6" fillId="0" borderId="28" xfId="0" applyFont="1" applyBorder="1"/>
    <xf numFmtId="0" fontId="6" fillId="0" borderId="19" xfId="0" applyFont="1" applyBorder="1"/>
    <xf numFmtId="0" fontId="11" fillId="0" borderId="19" xfId="0" applyFont="1" applyBorder="1"/>
    <xf numFmtId="0" fontId="0" fillId="0" borderId="19" xfId="0" applyBorder="1"/>
    <xf numFmtId="0" fontId="11" fillId="0" borderId="14" xfId="0" applyFont="1" applyBorder="1"/>
    <xf numFmtId="0" fontId="12" fillId="0" borderId="0" xfId="0" applyFont="1"/>
    <xf numFmtId="0" fontId="12" fillId="0" borderId="8" xfId="0" applyFont="1" applyBorder="1"/>
    <xf numFmtId="0" fontId="9" fillId="0" borderId="14" xfId="0" applyFont="1" applyBorder="1"/>
    <xf numFmtId="0" fontId="9" fillId="0" borderId="13" xfId="0" applyFont="1" applyBorder="1"/>
    <xf numFmtId="0" fontId="11" fillId="0" borderId="10" xfId="0" applyFont="1" applyBorder="1"/>
    <xf numFmtId="0" fontId="6" fillId="0" borderId="29" xfId="0" applyFont="1" applyBorder="1" applyAlignment="1">
      <alignment wrapText="1"/>
    </xf>
    <xf numFmtId="0" fontId="6" fillId="0" borderId="25" xfId="0" applyFont="1" applyBorder="1"/>
    <xf numFmtId="0" fontId="6" fillId="0" borderId="10" xfId="0" applyFont="1" applyBorder="1"/>
    <xf numFmtId="0" fontId="11" fillId="0" borderId="16" xfId="0" applyFont="1" applyBorder="1"/>
    <xf numFmtId="0" fontId="11" fillId="0" borderId="25" xfId="0" applyFont="1" applyBorder="1"/>
    <xf numFmtId="0" fontId="12" fillId="0" borderId="10" xfId="0" applyFont="1" applyBorder="1"/>
    <xf numFmtId="0" fontId="12" fillId="0" borderId="19" xfId="0" applyFont="1" applyBorder="1"/>
    <xf numFmtId="10" fontId="0" fillId="0" borderId="8" xfId="0" applyNumberFormat="1" applyBorder="1" applyAlignment="1">
      <alignment horizontal="right"/>
    </xf>
    <xf numFmtId="10" fontId="0" fillId="0" borderId="1" xfId="0" applyNumberFormat="1" applyBorder="1" applyAlignment="1">
      <alignment horizontal="right"/>
    </xf>
    <xf numFmtId="10" fontId="0" fillId="4" borderId="8" xfId="0" applyNumberFormat="1" applyFill="1" applyBorder="1"/>
    <xf numFmtId="10" fontId="0" fillId="4" borderId="9" xfId="0" applyNumberFormat="1" applyFill="1" applyBorder="1"/>
    <xf numFmtId="0" fontId="0" fillId="4" borderId="8" xfId="0" applyFill="1" applyBorder="1" applyAlignment="1">
      <alignment horizontal="center" vertical="center"/>
    </xf>
    <xf numFmtId="2" fontId="0" fillId="4" borderId="8" xfId="0" applyNumberFormat="1" applyFill="1" applyBorder="1" applyAlignment="1">
      <alignment horizontal="center" vertical="center"/>
    </xf>
    <xf numFmtId="0" fontId="0" fillId="4" borderId="9" xfId="0" applyFill="1" applyBorder="1" applyAlignment="1">
      <alignment horizontal="center"/>
    </xf>
    <xf numFmtId="0" fontId="0" fillId="4" borderId="12" xfId="0" applyFill="1" applyBorder="1" applyAlignment="1">
      <alignment horizontal="center"/>
    </xf>
    <xf numFmtId="0" fontId="0" fillId="4" borderId="10" xfId="0" applyFill="1" applyBorder="1" applyAlignment="1">
      <alignment horizontal="center"/>
    </xf>
    <xf numFmtId="0" fontId="1" fillId="0" borderId="8"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6" fillId="0" borderId="4" xfId="0" applyFont="1" applyBorder="1"/>
    <xf numFmtId="0" fontId="6" fillId="0" borderId="5" xfId="0" applyFont="1" applyBorder="1"/>
    <xf numFmtId="0" fontId="7" fillId="0" borderId="4" xfId="0" applyFont="1" applyBorder="1"/>
    <xf numFmtId="0" fontId="6" fillId="0" borderId="4" xfId="0" applyFont="1" applyBorder="1" applyAlignment="1">
      <alignment wrapText="1"/>
    </xf>
    <xf numFmtId="0" fontId="6" fillId="0" borderId="21" xfId="0" applyFont="1" applyBorder="1" applyAlignment="1">
      <alignment wrapText="1"/>
    </xf>
    <xf numFmtId="0" fontId="6" fillId="0" borderId="19" xfId="0" applyFont="1" applyBorder="1" applyAlignment="1">
      <alignment horizontal="center" vertical="center"/>
    </xf>
    <xf numFmtId="0" fontId="6" fillId="0" borderId="13" xfId="0" applyFont="1" applyBorder="1" applyAlignment="1">
      <alignment horizontal="center" vertical="center"/>
    </xf>
    <xf numFmtId="0" fontId="6" fillId="0" borderId="26" xfId="0" applyFont="1" applyBorder="1" applyAlignment="1">
      <alignment horizontal="center" vertical="center"/>
    </xf>
    <xf numFmtId="0" fontId="5" fillId="0" borderId="4" xfId="0" applyFont="1" applyBorder="1"/>
    <xf numFmtId="0" fontId="5" fillId="0" borderId="5" xfId="0" applyFont="1" applyBorder="1"/>
    <xf numFmtId="0" fontId="6" fillId="0" borderId="8" xfId="0" applyFont="1" applyBorder="1" applyAlignment="1">
      <alignment horizontal="center" vertical="center" wrapText="1"/>
    </xf>
    <xf numFmtId="0" fontId="5" fillId="0" borderId="12" xfId="0" applyFont="1" applyBorder="1"/>
    <xf numFmtId="0" fontId="5" fillId="0" borderId="20" xfId="0" applyFont="1" applyBorder="1"/>
    <xf numFmtId="0" fontId="7" fillId="0" borderId="12" xfId="0" applyFont="1" applyBorder="1"/>
    <xf numFmtId="0" fontId="6" fillId="0" borderId="15" xfId="0" applyFont="1" applyBorder="1"/>
    <xf numFmtId="0" fontId="6" fillId="0" borderId="25" xfId="0" applyFont="1" applyBorder="1" applyAlignment="1">
      <alignment horizontal="center" wrapText="1"/>
    </xf>
    <xf numFmtId="0" fontId="6" fillId="0" borderId="17" xfId="0" applyFont="1" applyBorder="1" applyAlignment="1">
      <alignment horizontal="center" wrapText="1"/>
    </xf>
    <xf numFmtId="0" fontId="6" fillId="0" borderId="30" xfId="0" applyFont="1" applyBorder="1" applyAlignment="1">
      <alignment horizontal="center" wrapText="1"/>
    </xf>
    <xf numFmtId="0" fontId="7" fillId="0" borderId="22" xfId="0" applyFont="1" applyBorder="1"/>
    <xf numFmtId="0" fontId="7" fillId="0" borderId="8" xfId="0" applyFont="1" applyBorder="1"/>
    <xf numFmtId="0" fontId="7" fillId="0" borderId="15" xfId="0" applyFont="1" applyBorder="1"/>
    <xf numFmtId="0" fontId="0" fillId="0" borderId="3" xfId="0" applyBorder="1" applyAlignment="1"/>
    <xf numFmtId="2" fontId="0" fillId="0" borderId="3" xfId="0" applyNumberFormat="1" applyBorder="1" applyAlignment="1"/>
    <xf numFmtId="2" fontId="0" fillId="0" borderId="8"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94A17-E960-457A-83A3-88303FE5EA78}">
  <dimension ref="A2:AE36"/>
  <sheetViews>
    <sheetView showGridLines="0" zoomScale="70" zoomScaleNormal="70" workbookViewId="0">
      <selection activeCell="A14" sqref="A14:XFD14"/>
    </sheetView>
  </sheetViews>
  <sheetFormatPr baseColWidth="10" defaultColWidth="8.6640625" defaultRowHeight="16" x14ac:dyDescent="0.25"/>
  <cols>
    <col min="1" max="1" width="5.1640625" style="4" customWidth="1"/>
    <col min="2" max="2" width="5" customWidth="1"/>
    <col min="3" max="3" width="27.1640625" customWidth="1"/>
    <col min="4" max="4" width="17.5" customWidth="1"/>
    <col min="5" max="5" width="14.6640625" customWidth="1"/>
    <col min="6" max="17" width="9" bestFit="1" customWidth="1"/>
    <col min="19" max="20" width="9" bestFit="1" customWidth="1"/>
    <col min="22" max="22" width="9.1640625" bestFit="1" customWidth="1"/>
  </cols>
  <sheetData>
    <row r="2" spans="1:24" x14ac:dyDescent="0.25">
      <c r="A2" s="1" t="s">
        <v>0</v>
      </c>
    </row>
    <row r="3" spans="1:24" x14ac:dyDescent="0.25">
      <c r="A3" s="2" t="s">
        <v>1</v>
      </c>
    </row>
    <row r="4" spans="1:24" ht="21" x14ac:dyDescent="0.3">
      <c r="A4" s="3" t="s">
        <v>2</v>
      </c>
    </row>
    <row r="5" spans="1:24" x14ac:dyDescent="0.25">
      <c r="B5" s="5"/>
    </row>
    <row r="6" spans="1:24" s="5" customFormat="1" ht="17" customHeight="1" x14ac:dyDescent="0.25">
      <c r="A6" s="136" t="s">
        <v>3</v>
      </c>
      <c r="B6" s="136" t="s">
        <v>4</v>
      </c>
      <c r="C6" s="136"/>
      <c r="D6" s="136" t="s">
        <v>5</v>
      </c>
      <c r="E6" s="137" t="s">
        <v>6</v>
      </c>
      <c r="F6" s="139">
        <v>2025</v>
      </c>
      <c r="G6" s="140"/>
      <c r="H6" s="140"/>
      <c r="I6" s="140"/>
      <c r="J6" s="140"/>
      <c r="K6" s="140"/>
      <c r="L6" s="140"/>
      <c r="M6" s="140"/>
      <c r="N6" s="140"/>
      <c r="O6" s="140"/>
      <c r="P6" s="140"/>
      <c r="Q6" s="140"/>
      <c r="R6" s="140"/>
      <c r="S6" s="135">
        <v>2026</v>
      </c>
      <c r="T6" s="135"/>
      <c r="U6" s="135"/>
      <c r="V6" s="135"/>
      <c r="W6" s="135"/>
      <c r="X6" s="135"/>
    </row>
    <row r="7" spans="1:24" s="5" customFormat="1" x14ac:dyDescent="0.25">
      <c r="A7" s="137"/>
      <c r="B7" s="136"/>
      <c r="C7" s="136"/>
      <c r="D7" s="136"/>
      <c r="E7" s="138"/>
      <c r="F7" s="6" t="s">
        <v>7</v>
      </c>
      <c r="G7" s="6" t="s">
        <v>8</v>
      </c>
      <c r="H7" s="6" t="s">
        <v>9</v>
      </c>
      <c r="I7" s="6" t="s">
        <v>10</v>
      </c>
      <c r="J7" s="6" t="s">
        <v>11</v>
      </c>
      <c r="K7" s="6" t="s">
        <v>12</v>
      </c>
      <c r="L7" s="6" t="s">
        <v>13</v>
      </c>
      <c r="M7" s="6" t="s">
        <v>14</v>
      </c>
      <c r="N7" s="6" t="s">
        <v>15</v>
      </c>
      <c r="O7" s="6" t="s">
        <v>16</v>
      </c>
      <c r="P7" s="6" t="s">
        <v>17</v>
      </c>
      <c r="Q7" s="6" t="s">
        <v>18</v>
      </c>
      <c r="R7" s="23" t="s">
        <v>19</v>
      </c>
      <c r="S7" s="35" t="s">
        <v>7</v>
      </c>
      <c r="T7" s="35" t="s">
        <v>8</v>
      </c>
      <c r="U7" s="35" t="s">
        <v>9</v>
      </c>
      <c r="V7" s="35" t="s">
        <v>10</v>
      </c>
      <c r="W7" s="35" t="s">
        <v>20</v>
      </c>
      <c r="X7" s="37" t="s">
        <v>21</v>
      </c>
    </row>
    <row r="8" spans="1:24" x14ac:dyDescent="0.25">
      <c r="A8" s="7">
        <v>1</v>
      </c>
      <c r="B8" s="8" t="s">
        <v>22</v>
      </c>
      <c r="C8" s="9"/>
      <c r="D8" s="10"/>
      <c r="E8" s="10"/>
      <c r="F8" s="9"/>
      <c r="G8" s="9"/>
      <c r="H8" s="9"/>
      <c r="I8" s="9"/>
      <c r="J8" s="9"/>
      <c r="K8" s="9"/>
      <c r="L8" s="9"/>
      <c r="M8" s="9"/>
      <c r="N8" s="9"/>
      <c r="O8" s="9"/>
      <c r="P8" s="9"/>
      <c r="Q8" s="9"/>
      <c r="R8" s="29"/>
      <c r="S8" s="24"/>
      <c r="T8" s="24"/>
      <c r="U8" s="24"/>
      <c r="V8" s="24"/>
      <c r="W8" s="36"/>
      <c r="X8" s="24"/>
    </row>
    <row r="9" spans="1:24" ht="17" customHeight="1" x14ac:dyDescent="0.25">
      <c r="A9" s="11"/>
      <c r="B9" s="12" t="s">
        <v>23</v>
      </c>
      <c r="C9" s="9" t="s">
        <v>24</v>
      </c>
      <c r="D9" s="10" t="s">
        <v>25</v>
      </c>
      <c r="E9" s="10"/>
      <c r="F9" s="10" t="s">
        <v>26</v>
      </c>
      <c r="G9" s="10" t="s">
        <v>26</v>
      </c>
      <c r="H9" s="10" t="s">
        <v>26</v>
      </c>
      <c r="I9" s="10" t="s">
        <v>26</v>
      </c>
      <c r="J9" s="10" t="s">
        <v>26</v>
      </c>
      <c r="K9" s="10" t="s">
        <v>26</v>
      </c>
      <c r="L9" s="10" t="s">
        <v>26</v>
      </c>
      <c r="M9" s="10" t="s">
        <v>26</v>
      </c>
      <c r="N9" s="10" t="s">
        <v>27</v>
      </c>
      <c r="O9" s="10" t="s">
        <v>28</v>
      </c>
      <c r="P9" s="10" t="s">
        <v>29</v>
      </c>
      <c r="Q9" s="10" t="s">
        <v>30</v>
      </c>
      <c r="R9" s="30"/>
      <c r="S9" s="25">
        <v>4.49</v>
      </c>
      <c r="T9" s="25">
        <v>4.3600000000000003</v>
      </c>
      <c r="U9" s="25">
        <v>4.42</v>
      </c>
      <c r="V9" s="38">
        <v>4.54</v>
      </c>
      <c r="W9" s="39">
        <v>4.5199999999999996</v>
      </c>
      <c r="X9" s="130">
        <v>4.4800000000000004</v>
      </c>
    </row>
    <row r="10" spans="1:24" ht="17" customHeight="1" x14ac:dyDescent="0.25">
      <c r="A10" s="11"/>
      <c r="B10" s="12" t="s">
        <v>31</v>
      </c>
      <c r="C10" s="9" t="s">
        <v>32</v>
      </c>
      <c r="D10" s="10" t="s">
        <v>25</v>
      </c>
      <c r="E10" s="10"/>
      <c r="F10" s="10" t="s">
        <v>26</v>
      </c>
      <c r="G10" s="10" t="s">
        <v>26</v>
      </c>
      <c r="H10" s="10" t="s">
        <v>26</v>
      </c>
      <c r="I10" s="10" t="s">
        <v>26</v>
      </c>
      <c r="J10" s="10" t="s">
        <v>26</v>
      </c>
      <c r="K10" s="10" t="s">
        <v>26</v>
      </c>
      <c r="L10" s="10" t="s">
        <v>26</v>
      </c>
      <c r="M10" s="10" t="s">
        <v>26</v>
      </c>
      <c r="N10" s="10" t="s">
        <v>33</v>
      </c>
      <c r="O10" s="10" t="s">
        <v>34</v>
      </c>
      <c r="P10" s="10" t="s">
        <v>35</v>
      </c>
      <c r="Q10" s="10" t="s">
        <v>36</v>
      </c>
      <c r="R10" s="30"/>
      <c r="S10" s="25">
        <v>4.6500000000000004</v>
      </c>
      <c r="T10" s="25">
        <v>4.58</v>
      </c>
      <c r="U10" s="25">
        <v>4.63</v>
      </c>
      <c r="V10" s="38">
        <v>4.75</v>
      </c>
      <c r="W10" s="39">
        <v>4.68</v>
      </c>
      <c r="X10" s="130" t="s">
        <v>37</v>
      </c>
    </row>
    <row r="11" spans="1:24" ht="17" customHeight="1" x14ac:dyDescent="0.25">
      <c r="A11" s="11"/>
      <c r="B11" s="12" t="s">
        <v>38</v>
      </c>
      <c r="C11" s="9" t="s">
        <v>39</v>
      </c>
      <c r="D11" s="10" t="s">
        <v>25</v>
      </c>
      <c r="E11" s="10"/>
      <c r="F11" s="10" t="s">
        <v>26</v>
      </c>
      <c r="G11" s="10" t="s">
        <v>26</v>
      </c>
      <c r="H11" s="10" t="s">
        <v>26</v>
      </c>
      <c r="I11" s="10" t="s">
        <v>26</v>
      </c>
      <c r="J11" s="10" t="s">
        <v>26</v>
      </c>
      <c r="K11" s="10" t="s">
        <v>26</v>
      </c>
      <c r="L11" s="10" t="s">
        <v>26</v>
      </c>
      <c r="M11" s="10" t="s">
        <v>26</v>
      </c>
      <c r="N11" s="10" t="s">
        <v>40</v>
      </c>
      <c r="O11" s="10" t="s">
        <v>41</v>
      </c>
      <c r="P11" s="10" t="s">
        <v>42</v>
      </c>
      <c r="Q11" s="10" t="s">
        <v>30</v>
      </c>
      <c r="R11" s="30"/>
      <c r="S11" s="25">
        <v>4.54</v>
      </c>
      <c r="T11" s="25">
        <v>4.49</v>
      </c>
      <c r="U11" s="26">
        <v>4.5</v>
      </c>
      <c r="V11" s="38">
        <v>4.67</v>
      </c>
      <c r="W11" s="39">
        <v>4.58</v>
      </c>
      <c r="X11" s="130" t="s">
        <v>43</v>
      </c>
    </row>
    <row r="12" spans="1:24" ht="17" customHeight="1" x14ac:dyDescent="0.25">
      <c r="A12" s="13"/>
      <c r="B12" s="12" t="s">
        <v>44</v>
      </c>
      <c r="C12" s="9" t="s">
        <v>45</v>
      </c>
      <c r="D12" s="10" t="s">
        <v>25</v>
      </c>
      <c r="E12" s="10"/>
      <c r="F12" s="10" t="s">
        <v>26</v>
      </c>
      <c r="G12" s="10" t="s">
        <v>26</v>
      </c>
      <c r="H12" s="10" t="s">
        <v>26</v>
      </c>
      <c r="I12" s="10" t="s">
        <v>26</v>
      </c>
      <c r="J12" s="10" t="s">
        <v>26</v>
      </c>
      <c r="K12" s="10" t="s">
        <v>26</v>
      </c>
      <c r="L12" s="10" t="s">
        <v>26</v>
      </c>
      <c r="M12" s="10" t="s">
        <v>26</v>
      </c>
      <c r="N12" s="10" t="s">
        <v>46</v>
      </c>
      <c r="O12" s="10" t="s">
        <v>47</v>
      </c>
      <c r="P12" s="10" t="s">
        <v>48</v>
      </c>
      <c r="Q12" s="10" t="s">
        <v>49</v>
      </c>
      <c r="R12" s="30"/>
      <c r="S12" s="25">
        <v>4.57</v>
      </c>
      <c r="T12" s="25">
        <v>4.43</v>
      </c>
      <c r="U12" s="25">
        <v>4.55</v>
      </c>
      <c r="V12" s="38">
        <v>4.71</v>
      </c>
      <c r="W12" s="39">
        <v>4.62</v>
      </c>
      <c r="X12" s="130" t="s">
        <v>50</v>
      </c>
    </row>
    <row r="13" spans="1:24" ht="17" customHeight="1" x14ac:dyDescent="0.25">
      <c r="A13" s="10">
        <v>2</v>
      </c>
      <c r="B13" s="8" t="s">
        <v>51</v>
      </c>
      <c r="C13" s="9"/>
      <c r="D13" s="10" t="s">
        <v>25</v>
      </c>
      <c r="E13" s="10">
        <v>4.7699999999999996</v>
      </c>
      <c r="F13" s="162">
        <v>4.97</v>
      </c>
      <c r="G13" s="162">
        <v>4.97</v>
      </c>
      <c r="H13" s="162">
        <v>4.97</v>
      </c>
      <c r="I13" s="162">
        <v>4.9800000000000004</v>
      </c>
      <c r="J13" s="162">
        <v>4.9800000000000004</v>
      </c>
      <c r="K13" s="162">
        <v>4.9800000000000004</v>
      </c>
      <c r="L13" s="162">
        <v>4.99</v>
      </c>
      <c r="M13" s="162">
        <v>4.99</v>
      </c>
      <c r="N13" s="162">
        <v>4.99</v>
      </c>
      <c r="O13" s="163">
        <v>5</v>
      </c>
      <c r="P13" s="163">
        <v>5</v>
      </c>
      <c r="Q13" s="163">
        <v>5</v>
      </c>
      <c r="R13" s="31">
        <v>5</v>
      </c>
      <c r="S13" s="164">
        <v>5</v>
      </c>
      <c r="T13" s="164">
        <v>5</v>
      </c>
      <c r="U13" s="164">
        <v>5</v>
      </c>
      <c r="V13" s="132" t="s">
        <v>52</v>
      </c>
      <c r="W13" s="133"/>
      <c r="X13" s="134"/>
    </row>
    <row r="14" spans="1:24" x14ac:dyDescent="0.25">
      <c r="A14" s="7">
        <v>4</v>
      </c>
      <c r="B14" s="8" t="s">
        <v>53</v>
      </c>
      <c r="C14" s="9"/>
      <c r="D14" s="9"/>
      <c r="E14" s="14"/>
      <c r="F14" s="9"/>
      <c r="G14" s="9"/>
      <c r="H14" s="9"/>
      <c r="I14" s="9"/>
      <c r="J14" s="9"/>
      <c r="K14" s="9"/>
      <c r="L14" s="9"/>
      <c r="M14" s="9"/>
      <c r="N14" s="9"/>
      <c r="O14" s="9"/>
      <c r="P14" s="9"/>
      <c r="Q14" s="9"/>
      <c r="R14" s="29"/>
      <c r="S14" s="24"/>
      <c r="T14" s="24"/>
      <c r="U14" s="24"/>
      <c r="V14" s="40"/>
      <c r="W14" s="41"/>
      <c r="X14" s="40"/>
    </row>
    <row r="15" spans="1:24" x14ac:dyDescent="0.25">
      <c r="A15" s="11"/>
      <c r="B15" s="12" t="s">
        <v>23</v>
      </c>
      <c r="C15" s="9" t="s">
        <v>54</v>
      </c>
      <c r="D15" s="10" t="s">
        <v>55</v>
      </c>
      <c r="E15" s="10">
        <v>90</v>
      </c>
      <c r="F15" s="17">
        <f t="shared" ref="F15:Q15" si="0">AVERAGE(F16:F18)</f>
        <v>95.522222222222226</v>
      </c>
      <c r="G15" s="17">
        <f t="shared" si="0"/>
        <v>91.241111111111124</v>
      </c>
      <c r="H15" s="17">
        <f t="shared" si="0"/>
        <v>96.674444444444433</v>
      </c>
      <c r="I15" s="17">
        <f t="shared" si="0"/>
        <v>98.972222222222214</v>
      </c>
      <c r="J15" s="17">
        <f t="shared" si="0"/>
        <v>99.494444444444454</v>
      </c>
      <c r="K15" s="17">
        <f t="shared" si="0"/>
        <v>99.573333333333323</v>
      </c>
      <c r="L15" s="17">
        <f t="shared" si="0"/>
        <v>98.905555555555566</v>
      </c>
      <c r="M15" s="17">
        <f t="shared" si="0"/>
        <v>99.628888888888881</v>
      </c>
      <c r="N15" s="17">
        <f t="shared" si="0"/>
        <v>94.812222222222218</v>
      </c>
      <c r="O15" s="17">
        <f t="shared" si="0"/>
        <v>99.696666666666673</v>
      </c>
      <c r="P15" s="17">
        <f t="shared" si="0"/>
        <v>95.407777777777767</v>
      </c>
      <c r="Q15" s="17">
        <f t="shared" si="0"/>
        <v>99.391111111111115</v>
      </c>
      <c r="R15" s="32">
        <f>AVERAGE(F15:Q15)</f>
        <v>97.443333333333342</v>
      </c>
      <c r="S15" s="26">
        <f>AVERAGE(S16:S18)</f>
        <v>98.917777777777772</v>
      </c>
      <c r="T15" s="26">
        <f>AVERAGE(T16:T18)</f>
        <v>98.811111111111117</v>
      </c>
      <c r="U15" s="26">
        <f>AVERAGE(U16:U18)</f>
        <v>98.887777777777771</v>
      </c>
      <c r="V15" s="42">
        <f t="shared" ref="V15" si="1">AVERAGE(V16:V18)</f>
        <v>99.733333333333334</v>
      </c>
      <c r="W15" s="43">
        <f>AVERAGE(W16:W18)</f>
        <v>97.908888888888896</v>
      </c>
      <c r="X15" s="130">
        <f>AVERAGE(X16:X18)</f>
        <v>98.48</v>
      </c>
    </row>
    <row r="16" spans="1:24" x14ac:dyDescent="0.25">
      <c r="A16" s="11"/>
      <c r="B16" s="12" t="s">
        <v>31</v>
      </c>
      <c r="C16" s="9" t="s">
        <v>56</v>
      </c>
      <c r="D16" s="10" t="s">
        <v>55</v>
      </c>
      <c r="E16" s="10">
        <v>90</v>
      </c>
      <c r="F16" s="17">
        <f>(99.74+99.82+99.56)/3</f>
        <v>99.706666666666663</v>
      </c>
      <c r="G16" s="17">
        <f>(99.68+99.63+99.68)/3</f>
        <v>99.663333333333341</v>
      </c>
      <c r="H16" s="17">
        <f>(99.75+99.7+99.84)/3</f>
        <v>99.763333333333321</v>
      </c>
      <c r="I16" s="17">
        <f>(99.92+99.88+99.68)/3</f>
        <v>99.826666666666668</v>
      </c>
      <c r="J16" s="17">
        <f>(99.13+99.59+99.46)/3</f>
        <v>99.393333333333331</v>
      </c>
      <c r="K16" s="10">
        <f>(99.64+99.47+99.66)/3</f>
        <v>99.589999999999989</v>
      </c>
      <c r="L16" s="17">
        <f>(99.8+99.67+99.71)/3</f>
        <v>99.726666666666674</v>
      </c>
      <c r="M16" s="17">
        <f>(99.9+99.94+100)/3</f>
        <v>99.946666666666673</v>
      </c>
      <c r="N16" s="17">
        <f>(99.94+99.94+99.75)/3</f>
        <v>99.876666666666665</v>
      </c>
      <c r="O16" s="10">
        <f>(99.94+99.95+99.93)/3</f>
        <v>99.94</v>
      </c>
      <c r="P16" s="17">
        <f>(99.51+99.93+99.67)/3</f>
        <v>99.703333333333333</v>
      </c>
      <c r="Q16" s="17">
        <f>(99.23+99.03+99.26)/3</f>
        <v>99.173333333333332</v>
      </c>
      <c r="R16" s="30"/>
      <c r="S16" s="26">
        <f>(99.51+99.35+99.5)/3</f>
        <v>99.453333333333333</v>
      </c>
      <c r="T16" s="26">
        <f>(99.48+99.31+98.58)/3</f>
        <v>99.123333333333335</v>
      </c>
      <c r="U16" s="26">
        <f>(99.65+99.35+99.54)/3</f>
        <v>99.513333333333335</v>
      </c>
      <c r="V16" s="38">
        <f>(99.74+99.75+99.28)/3</f>
        <v>99.589999999999989</v>
      </c>
      <c r="W16" s="43">
        <f>(99.64+99.83+99.53)/3</f>
        <v>99.666666666666671</v>
      </c>
      <c r="X16" s="130">
        <v>99.39</v>
      </c>
    </row>
    <row r="17" spans="1:31" x14ac:dyDescent="0.25">
      <c r="A17" s="11"/>
      <c r="B17" s="12" t="s">
        <v>38</v>
      </c>
      <c r="C17" s="9" t="s">
        <v>57</v>
      </c>
      <c r="D17" s="10" t="s">
        <v>55</v>
      </c>
      <c r="E17" s="10">
        <v>90</v>
      </c>
      <c r="F17" s="17">
        <f>(100+75+75+100)/4</f>
        <v>87.5</v>
      </c>
      <c r="G17" s="17">
        <f>(100+100+50+50)/4</f>
        <v>75</v>
      </c>
      <c r="H17" s="10">
        <f>(100+100+75+90)/4</f>
        <v>91.25</v>
      </c>
      <c r="I17" s="17">
        <f>(90+100+100+100)/4</f>
        <v>97.5</v>
      </c>
      <c r="J17" s="10">
        <f>(100+100+100+100)/4</f>
        <v>100</v>
      </c>
      <c r="K17" s="10">
        <f>(100+100+100+100)/4</f>
        <v>100</v>
      </c>
      <c r="L17" s="17">
        <f>(90+100+100+100)/4</f>
        <v>97.5</v>
      </c>
      <c r="M17" s="10">
        <f>(100+100+100+100)/4</f>
        <v>100</v>
      </c>
      <c r="N17" s="17">
        <f>(90+75+75+100)/4</f>
        <v>85</v>
      </c>
      <c r="O17" s="10">
        <f>(100+100+100+100)/4</f>
        <v>100</v>
      </c>
      <c r="P17" s="17">
        <f>(100+75+75+100)/4</f>
        <v>87.5</v>
      </c>
      <c r="Q17" s="10">
        <f>(100+100+100+100)/4</f>
        <v>100</v>
      </c>
      <c r="R17" s="30"/>
      <c r="S17" s="26">
        <f>(90+100+100+100)/4</f>
        <v>97.5</v>
      </c>
      <c r="T17" s="26">
        <f>(90+100+100+100)/4</f>
        <v>97.5</v>
      </c>
      <c r="U17" s="26">
        <f>(90+100+100+100)/4</f>
        <v>97.5</v>
      </c>
      <c r="V17" s="38">
        <f>(100+100+100+100)/4</f>
        <v>100</v>
      </c>
      <c r="W17" s="39">
        <f>(90+90+100+100)/4</f>
        <v>95</v>
      </c>
      <c r="X17" s="130">
        <f>(90+100+95+100)/4</f>
        <v>96.25</v>
      </c>
    </row>
    <row r="18" spans="1:31" x14ac:dyDescent="0.25">
      <c r="A18" s="11"/>
      <c r="B18" s="12" t="s">
        <v>44</v>
      </c>
      <c r="C18" s="9" t="s">
        <v>58</v>
      </c>
      <c r="D18" s="10" t="s">
        <v>55</v>
      </c>
      <c r="E18" s="10">
        <v>90</v>
      </c>
      <c r="F18" s="17">
        <v>99.36</v>
      </c>
      <c r="G18" s="10">
        <v>99.06</v>
      </c>
      <c r="H18" s="10">
        <v>99.01</v>
      </c>
      <c r="I18" s="10">
        <v>99.59</v>
      </c>
      <c r="J18" s="10">
        <v>99.09</v>
      </c>
      <c r="K18" s="10">
        <v>99.13</v>
      </c>
      <c r="L18" s="10">
        <v>99.49</v>
      </c>
      <c r="M18" s="10">
        <v>98.94</v>
      </c>
      <c r="N18" s="10">
        <v>99.56</v>
      </c>
      <c r="O18" s="10">
        <v>99.15</v>
      </c>
      <c r="P18" s="10">
        <v>99.02</v>
      </c>
      <c r="Q18" s="17">
        <v>99</v>
      </c>
      <c r="R18" s="30"/>
      <c r="S18" s="26">
        <v>99.8</v>
      </c>
      <c r="T18" s="25">
        <v>99.81</v>
      </c>
      <c r="U18" s="25">
        <v>99.65</v>
      </c>
      <c r="V18" s="38">
        <v>99.61</v>
      </c>
      <c r="W18" s="39">
        <v>99.06</v>
      </c>
      <c r="X18" s="131">
        <v>99.8</v>
      </c>
    </row>
    <row r="19" spans="1:31" x14ac:dyDescent="0.25">
      <c r="A19" s="7">
        <v>5</v>
      </c>
      <c r="B19" s="8" t="s">
        <v>59</v>
      </c>
      <c r="C19" s="9"/>
      <c r="D19" s="10"/>
      <c r="E19" s="10"/>
      <c r="F19" s="9"/>
      <c r="G19" s="9"/>
      <c r="H19" s="9"/>
      <c r="I19" s="9"/>
      <c r="J19" s="15"/>
      <c r="K19" s="15"/>
      <c r="L19" s="15"/>
      <c r="M19" s="15"/>
      <c r="N19" s="15"/>
      <c r="O19" s="15"/>
      <c r="P19" s="15"/>
      <c r="Q19" s="15"/>
      <c r="R19" s="33"/>
      <c r="S19" s="27"/>
      <c r="T19" s="27"/>
      <c r="U19" s="27"/>
      <c r="V19" s="40"/>
      <c r="W19" s="41"/>
      <c r="X19" s="40"/>
    </row>
    <row r="20" spans="1:31" x14ac:dyDescent="0.25">
      <c r="A20" s="11"/>
      <c r="B20" s="12" t="s">
        <v>23</v>
      </c>
      <c r="C20" s="9" t="s">
        <v>60</v>
      </c>
      <c r="D20" s="10" t="s">
        <v>61</v>
      </c>
      <c r="E20" s="10"/>
      <c r="F20" s="9">
        <v>2946</v>
      </c>
      <c r="G20" s="9">
        <v>2233</v>
      </c>
      <c r="H20" s="9">
        <v>2204</v>
      </c>
      <c r="I20" s="9">
        <v>1996</v>
      </c>
      <c r="J20" s="9">
        <v>1348</v>
      </c>
      <c r="K20" s="9">
        <v>1002</v>
      </c>
      <c r="L20" s="9">
        <v>1649</v>
      </c>
      <c r="M20" s="9">
        <v>1741</v>
      </c>
      <c r="N20" s="9">
        <v>1909</v>
      </c>
      <c r="O20" s="9">
        <v>2008</v>
      </c>
      <c r="P20" s="9">
        <v>2052</v>
      </c>
      <c r="Q20" s="9">
        <v>2439</v>
      </c>
      <c r="R20" s="29">
        <f>SUM(F20:Q20)</f>
        <v>23527</v>
      </c>
      <c r="S20" s="24">
        <v>2782</v>
      </c>
      <c r="T20" s="24">
        <v>2028</v>
      </c>
      <c r="U20" s="24">
        <v>2497</v>
      </c>
      <c r="V20" s="24">
        <v>1701</v>
      </c>
      <c r="W20" s="24">
        <v>1571</v>
      </c>
      <c r="X20" s="24">
        <v>1664</v>
      </c>
      <c r="Z20" s="114"/>
      <c r="AA20" s="114"/>
      <c r="AB20" s="114"/>
      <c r="AC20" s="114"/>
      <c r="AD20" s="114"/>
      <c r="AE20" s="114"/>
    </row>
    <row r="21" spans="1:31" x14ac:dyDescent="0.25">
      <c r="A21" s="11"/>
      <c r="B21" s="12" t="s">
        <v>31</v>
      </c>
      <c r="C21" s="9" t="s">
        <v>62</v>
      </c>
      <c r="D21" s="10" t="s">
        <v>55</v>
      </c>
      <c r="E21" s="10">
        <v>70</v>
      </c>
      <c r="F21" s="15">
        <v>89</v>
      </c>
      <c r="G21" s="15">
        <v>87.81</v>
      </c>
      <c r="H21" s="15">
        <v>88.74</v>
      </c>
      <c r="I21" s="15">
        <v>81.319999999999993</v>
      </c>
      <c r="J21" s="15">
        <v>74.099999999999994</v>
      </c>
      <c r="K21" s="15">
        <v>76.91</v>
      </c>
      <c r="L21" s="15">
        <v>71.06</v>
      </c>
      <c r="M21" s="15">
        <v>71.28</v>
      </c>
      <c r="N21" s="15">
        <v>71.81</v>
      </c>
      <c r="O21" s="15">
        <v>71.930000000000007</v>
      </c>
      <c r="P21" s="15">
        <v>69.33</v>
      </c>
      <c r="Q21" s="15">
        <v>69.989999999999995</v>
      </c>
      <c r="R21" s="33">
        <f>AVERAGE(F21:Q21)</f>
        <v>76.940000000000012</v>
      </c>
      <c r="S21" s="27">
        <v>72.59</v>
      </c>
      <c r="T21" s="27">
        <v>73.28</v>
      </c>
      <c r="U21" s="27">
        <v>74.17</v>
      </c>
      <c r="V21" s="40"/>
      <c r="W21" s="41"/>
      <c r="X21" s="40"/>
    </row>
    <row r="22" spans="1:31" x14ac:dyDescent="0.25">
      <c r="A22" s="11"/>
      <c r="B22" s="12" t="s">
        <v>38</v>
      </c>
      <c r="C22" s="9" t="s">
        <v>63</v>
      </c>
      <c r="D22" s="10" t="s">
        <v>55</v>
      </c>
      <c r="E22" s="10">
        <v>90</v>
      </c>
      <c r="F22" s="19">
        <v>98.67</v>
      </c>
      <c r="G22" s="19">
        <v>97.58</v>
      </c>
      <c r="H22" s="19">
        <v>98.05</v>
      </c>
      <c r="I22" s="19">
        <v>98.6</v>
      </c>
      <c r="J22" s="19">
        <v>99.55</v>
      </c>
      <c r="K22" s="19">
        <v>99.74</v>
      </c>
      <c r="L22" s="19">
        <v>99.58</v>
      </c>
      <c r="M22" s="19">
        <v>99.31</v>
      </c>
      <c r="N22" s="19">
        <v>99.06</v>
      </c>
      <c r="O22" s="15">
        <v>99.15</v>
      </c>
      <c r="P22" s="15">
        <v>98.98</v>
      </c>
      <c r="Q22" s="15">
        <v>99.26</v>
      </c>
      <c r="R22" s="33">
        <f>AVERAGE(F22:Q22)</f>
        <v>98.960833333333312</v>
      </c>
      <c r="S22" s="27">
        <v>97.51</v>
      </c>
      <c r="T22" s="27">
        <v>98.46</v>
      </c>
      <c r="U22" s="27">
        <v>98.44</v>
      </c>
      <c r="V22" s="40">
        <v>99</v>
      </c>
      <c r="W22" s="41">
        <v>98.59</v>
      </c>
      <c r="X22" s="40">
        <v>97.29</v>
      </c>
    </row>
    <row r="23" spans="1:31" x14ac:dyDescent="0.25">
      <c r="A23" s="11"/>
      <c r="B23" s="12" t="s">
        <v>44</v>
      </c>
      <c r="C23" s="9" t="s">
        <v>64</v>
      </c>
      <c r="D23" s="10" t="s">
        <v>65</v>
      </c>
      <c r="E23" s="22">
        <v>3.4722222222222224E-4</v>
      </c>
      <c r="F23" s="21" t="s">
        <v>66</v>
      </c>
      <c r="G23" s="21" t="s">
        <v>66</v>
      </c>
      <c r="H23" s="21" t="s">
        <v>66</v>
      </c>
      <c r="I23" s="21" t="s">
        <v>66</v>
      </c>
      <c r="J23" s="21" t="s">
        <v>66</v>
      </c>
      <c r="K23" s="21" t="s">
        <v>66</v>
      </c>
      <c r="L23" s="21" t="s">
        <v>66</v>
      </c>
      <c r="M23" s="21" t="s">
        <v>66</v>
      </c>
      <c r="N23" s="21" t="s">
        <v>66</v>
      </c>
      <c r="O23" s="21" t="s">
        <v>67</v>
      </c>
      <c r="P23" s="16">
        <v>1.6203703703703703E-4</v>
      </c>
      <c r="Q23" s="21" t="s">
        <v>67</v>
      </c>
      <c r="R23" s="33">
        <f>AVERAGE(F23:Q23)</f>
        <v>1.6203703703703703E-4</v>
      </c>
      <c r="S23" s="28">
        <v>1.6203703703703703E-4</v>
      </c>
      <c r="T23" s="28">
        <v>1.6203703703703703E-4</v>
      </c>
      <c r="U23" s="28">
        <v>1.6203703703703703E-4</v>
      </c>
      <c r="V23" s="28">
        <v>1.7361111111111112E-4</v>
      </c>
      <c r="W23" s="28">
        <v>1.9675925925925926E-4</v>
      </c>
      <c r="X23" s="28">
        <v>2.199074074074074E-4</v>
      </c>
    </row>
    <row r="24" spans="1:31" x14ac:dyDescent="0.25">
      <c r="A24" s="13"/>
      <c r="B24" s="12" t="s">
        <v>68</v>
      </c>
      <c r="C24" s="9" t="s">
        <v>69</v>
      </c>
      <c r="D24" s="10" t="s">
        <v>55</v>
      </c>
      <c r="E24" s="10">
        <v>5</v>
      </c>
      <c r="F24" s="20">
        <v>2.34</v>
      </c>
      <c r="G24" s="20">
        <v>2.42</v>
      </c>
      <c r="H24" s="20">
        <v>1.95</v>
      </c>
      <c r="I24" s="20">
        <v>1.4</v>
      </c>
      <c r="J24" s="20">
        <v>0.45</v>
      </c>
      <c r="K24" s="20">
        <v>0.4</v>
      </c>
      <c r="L24" s="20">
        <v>0.42</v>
      </c>
      <c r="M24" s="20">
        <v>0.69</v>
      </c>
      <c r="N24" s="20">
        <v>0.94</v>
      </c>
      <c r="O24" s="9">
        <v>0.85</v>
      </c>
      <c r="P24" s="9">
        <v>1.02</v>
      </c>
      <c r="Q24" s="9">
        <v>0.74</v>
      </c>
      <c r="R24" s="33">
        <f>AVERAGE(F24:Q24)</f>
        <v>1.1349999999999998</v>
      </c>
      <c r="S24" s="24">
        <v>2.16</v>
      </c>
      <c r="T24" s="24">
        <v>1.38</v>
      </c>
      <c r="U24" s="24">
        <v>1</v>
      </c>
      <c r="V24" s="40">
        <f>100-V22</f>
        <v>1</v>
      </c>
      <c r="W24" s="40">
        <f>100-W22</f>
        <v>1.4099999999999966</v>
      </c>
      <c r="X24" s="40">
        <f>100-X22</f>
        <v>2.7099999999999937</v>
      </c>
    </row>
    <row r="25" spans="1:31" x14ac:dyDescent="0.25">
      <c r="A25" s="11">
        <v>6</v>
      </c>
      <c r="B25" s="8" t="s">
        <v>70</v>
      </c>
      <c r="C25" s="9"/>
      <c r="D25" s="9"/>
      <c r="E25" s="9"/>
      <c r="F25" s="9"/>
      <c r="G25" s="9"/>
      <c r="H25" s="9"/>
      <c r="I25" s="9"/>
      <c r="J25" s="9"/>
      <c r="K25" s="9"/>
      <c r="L25" s="9"/>
      <c r="M25" s="9"/>
      <c r="N25" s="9"/>
      <c r="O25" s="9"/>
      <c r="P25" s="9"/>
      <c r="Q25" s="9"/>
      <c r="R25" s="29"/>
      <c r="S25" s="24"/>
      <c r="T25" s="24"/>
      <c r="U25" s="24"/>
      <c r="V25" s="40"/>
      <c r="W25" s="41"/>
      <c r="X25" s="40"/>
    </row>
    <row r="26" spans="1:31" x14ac:dyDescent="0.25">
      <c r="A26" s="11"/>
      <c r="B26" s="12" t="s">
        <v>23</v>
      </c>
      <c r="C26" s="9" t="s">
        <v>71</v>
      </c>
      <c r="D26" s="10" t="s">
        <v>61</v>
      </c>
      <c r="E26" s="10"/>
      <c r="F26" s="9">
        <v>6763</v>
      </c>
      <c r="G26" s="9">
        <v>8665</v>
      </c>
      <c r="H26" s="9">
        <v>11639</v>
      </c>
      <c r="I26" s="9">
        <v>8707</v>
      </c>
      <c r="J26" s="9">
        <v>8477</v>
      </c>
      <c r="K26" s="9">
        <v>7617</v>
      </c>
      <c r="L26" s="9">
        <v>8417</v>
      </c>
      <c r="M26" s="9">
        <v>5436</v>
      </c>
      <c r="N26" s="9">
        <v>6728</v>
      </c>
      <c r="O26" s="9">
        <v>7558</v>
      </c>
      <c r="P26" s="9">
        <v>9326</v>
      </c>
      <c r="Q26" s="9">
        <v>5476</v>
      </c>
      <c r="R26" s="29">
        <f>SUM(F26:Q26)</f>
        <v>94809</v>
      </c>
      <c r="S26" s="24">
        <v>9364</v>
      </c>
      <c r="T26" s="24">
        <v>8710</v>
      </c>
      <c r="U26" s="24">
        <v>9300</v>
      </c>
      <c r="V26" s="24">
        <v>6944</v>
      </c>
      <c r="W26" s="24">
        <v>5108</v>
      </c>
      <c r="X26" s="24">
        <v>5535</v>
      </c>
      <c r="Y26" s="18"/>
    </row>
    <row r="27" spans="1:31" x14ac:dyDescent="0.25">
      <c r="A27" s="11"/>
      <c r="B27" s="12" t="s">
        <v>31</v>
      </c>
      <c r="C27" s="9" t="s">
        <v>72</v>
      </c>
      <c r="D27" s="10" t="s">
        <v>55</v>
      </c>
      <c r="E27" s="10"/>
      <c r="F27" s="127">
        <v>2.9999999999999997E-4</v>
      </c>
      <c r="G27" s="127">
        <v>8.0999999999999996E-4</v>
      </c>
      <c r="H27" s="127">
        <v>2.15E-3</v>
      </c>
      <c r="I27" s="127">
        <v>1.3799999999999999E-3</v>
      </c>
      <c r="J27" s="127">
        <v>5.3099999999999996E-3</v>
      </c>
      <c r="K27" s="127">
        <v>3.8999999999999999E-4</v>
      </c>
      <c r="L27" s="127">
        <v>8.3000000000000001E-4</v>
      </c>
      <c r="M27" s="127">
        <v>9.0100000000000006E-3</v>
      </c>
      <c r="N27" s="127">
        <v>2.9999999999999997E-4</v>
      </c>
      <c r="O27" s="127">
        <v>9.3000000000000005E-4</v>
      </c>
      <c r="P27" s="127">
        <v>1.95E-2</v>
      </c>
      <c r="Q27" s="127">
        <v>2.9399999999999999E-2</v>
      </c>
      <c r="R27" s="29">
        <f>SUM(F27:Q27)</f>
        <v>7.0309999999999997E-2</v>
      </c>
      <c r="S27" s="126">
        <v>1.15E-2</v>
      </c>
      <c r="T27" s="126">
        <v>1.01E-2</v>
      </c>
      <c r="U27" s="126">
        <v>1.3899999999999999E-2</v>
      </c>
      <c r="V27" s="128">
        <v>9.1999999999999998E-3</v>
      </c>
      <c r="W27" s="129">
        <v>1.5599999999999999E-2</v>
      </c>
      <c r="X27" s="40"/>
    </row>
    <row r="28" spans="1:31" x14ac:dyDescent="0.25">
      <c r="A28" s="11"/>
      <c r="B28" s="12" t="s">
        <v>38</v>
      </c>
      <c r="C28" s="9" t="s">
        <v>73</v>
      </c>
      <c r="D28" s="10" t="s">
        <v>74</v>
      </c>
      <c r="E28" s="10"/>
      <c r="F28" s="9">
        <v>1</v>
      </c>
      <c r="G28" s="9">
        <v>1</v>
      </c>
      <c r="H28" s="9">
        <v>1</v>
      </c>
      <c r="I28" s="9">
        <v>1</v>
      </c>
      <c r="J28" s="9">
        <v>1</v>
      </c>
      <c r="K28" s="9">
        <v>1</v>
      </c>
      <c r="L28" s="9">
        <v>1</v>
      </c>
      <c r="M28" s="9">
        <v>1</v>
      </c>
      <c r="N28" s="9">
        <v>1</v>
      </c>
      <c r="O28" s="9">
        <v>1</v>
      </c>
      <c r="P28" s="9">
        <v>1</v>
      </c>
      <c r="Q28" s="9">
        <v>1</v>
      </c>
      <c r="R28" s="29">
        <f>SUM(F28:Q28)</f>
        <v>12</v>
      </c>
      <c r="S28" s="24">
        <v>1</v>
      </c>
      <c r="T28" s="24">
        <v>1</v>
      </c>
      <c r="U28" s="24">
        <v>1</v>
      </c>
      <c r="V28" s="40">
        <v>1</v>
      </c>
      <c r="W28" s="41">
        <v>1</v>
      </c>
      <c r="X28" s="40"/>
    </row>
    <row r="29" spans="1:31" s="72" customFormat="1" x14ac:dyDescent="0.25">
      <c r="A29" s="73"/>
      <c r="B29" s="74" t="s">
        <v>44</v>
      </c>
      <c r="C29" s="75" t="s">
        <v>75</v>
      </c>
      <c r="D29" s="76" t="s">
        <v>76</v>
      </c>
      <c r="E29" s="76"/>
      <c r="F29" s="77">
        <v>0.57999999999999996</v>
      </c>
      <c r="G29" s="77">
        <v>0.59</v>
      </c>
      <c r="H29" s="77">
        <v>0.71</v>
      </c>
      <c r="I29" s="77">
        <v>0.71</v>
      </c>
      <c r="J29" s="77">
        <v>0.75</v>
      </c>
      <c r="K29" s="77">
        <v>0.76</v>
      </c>
      <c r="L29" s="77">
        <v>0.61</v>
      </c>
      <c r="M29" s="77">
        <v>0.68</v>
      </c>
      <c r="N29" s="77">
        <v>0.69</v>
      </c>
      <c r="O29" s="77">
        <v>0.75</v>
      </c>
      <c r="P29" s="77">
        <v>0.76</v>
      </c>
      <c r="Q29" s="77">
        <v>0.75</v>
      </c>
      <c r="R29" s="78">
        <f>AVERAGE(F29:Q29)</f>
        <v>0.69499999999999995</v>
      </c>
      <c r="S29" s="79">
        <v>0.85</v>
      </c>
      <c r="T29" s="79">
        <v>0.81</v>
      </c>
      <c r="U29" s="79">
        <v>0.88</v>
      </c>
      <c r="V29" s="40">
        <v>0.87</v>
      </c>
      <c r="W29" s="41">
        <v>0.81</v>
      </c>
      <c r="X29" s="40">
        <v>0.87</v>
      </c>
    </row>
    <row r="30" spans="1:31" x14ac:dyDescent="0.25">
      <c r="A30" s="7">
        <v>7</v>
      </c>
      <c r="B30" s="8" t="s">
        <v>77</v>
      </c>
      <c r="C30" s="9"/>
      <c r="D30" s="10"/>
      <c r="E30" s="10"/>
      <c r="F30" s="9"/>
      <c r="G30" s="9"/>
      <c r="H30" s="9"/>
      <c r="I30" s="9"/>
      <c r="J30" s="9"/>
      <c r="K30" s="9"/>
      <c r="L30" s="9"/>
      <c r="M30" s="9"/>
      <c r="N30" s="9"/>
      <c r="O30" s="9"/>
      <c r="P30" s="9"/>
      <c r="Q30" s="9"/>
      <c r="R30" s="29"/>
      <c r="S30" s="24"/>
      <c r="T30" s="24"/>
      <c r="U30" s="24"/>
      <c r="V30" s="40"/>
      <c r="W30" s="41"/>
      <c r="X30" s="40"/>
    </row>
    <row r="31" spans="1:31" x14ac:dyDescent="0.25">
      <c r="A31" s="11"/>
      <c r="B31" s="12" t="s">
        <v>23</v>
      </c>
      <c r="C31" s="9" t="s">
        <v>78</v>
      </c>
      <c r="D31" s="10" t="s">
        <v>61</v>
      </c>
      <c r="E31" s="10"/>
      <c r="F31" s="9">
        <v>126</v>
      </c>
      <c r="G31" s="9">
        <v>129</v>
      </c>
      <c r="H31" s="9">
        <v>140</v>
      </c>
      <c r="I31" s="9">
        <v>185</v>
      </c>
      <c r="J31" s="9">
        <v>177</v>
      </c>
      <c r="K31" s="9">
        <v>150</v>
      </c>
      <c r="L31" s="9">
        <v>123</v>
      </c>
      <c r="M31" s="9">
        <v>111</v>
      </c>
      <c r="N31" s="9">
        <v>111</v>
      </c>
      <c r="O31" s="9">
        <v>111</v>
      </c>
      <c r="P31" s="9">
        <v>123</v>
      </c>
      <c r="Q31" s="9">
        <v>109</v>
      </c>
      <c r="R31" s="29">
        <f>SUM(F31:Q31)</f>
        <v>1595</v>
      </c>
      <c r="S31" s="24">
        <v>101</v>
      </c>
      <c r="T31" s="24">
        <v>84</v>
      </c>
      <c r="U31" s="24">
        <v>87</v>
      </c>
      <c r="V31" s="40">
        <v>89</v>
      </c>
      <c r="W31" s="41">
        <v>75</v>
      </c>
      <c r="X31" s="40">
        <v>65</v>
      </c>
    </row>
    <row r="32" spans="1:31" x14ac:dyDescent="0.25">
      <c r="A32" s="11"/>
      <c r="B32" s="12" t="s">
        <v>31</v>
      </c>
      <c r="C32" s="9" t="s">
        <v>79</v>
      </c>
      <c r="D32" s="10" t="s">
        <v>61</v>
      </c>
      <c r="E32" s="10"/>
      <c r="F32" s="9">
        <v>126</v>
      </c>
      <c r="G32" s="9">
        <v>129</v>
      </c>
      <c r="H32" s="9">
        <v>140</v>
      </c>
      <c r="I32" s="9">
        <v>185</v>
      </c>
      <c r="J32" s="9">
        <v>177</v>
      </c>
      <c r="K32" s="9">
        <v>150</v>
      </c>
      <c r="L32" s="9">
        <v>123</v>
      </c>
      <c r="M32" s="9">
        <v>111</v>
      </c>
      <c r="N32" s="9">
        <v>111</v>
      </c>
      <c r="O32" s="9">
        <v>111</v>
      </c>
      <c r="P32" s="9">
        <v>123</v>
      </c>
      <c r="Q32" s="9">
        <v>109</v>
      </c>
      <c r="R32" s="29">
        <f>SUM(F32:Q32)</f>
        <v>1595</v>
      </c>
      <c r="S32" s="24">
        <v>101</v>
      </c>
      <c r="T32" s="24">
        <v>84</v>
      </c>
      <c r="U32" s="24">
        <v>87</v>
      </c>
      <c r="V32" s="40">
        <v>89</v>
      </c>
      <c r="W32" s="41">
        <v>75</v>
      </c>
      <c r="X32" s="40">
        <v>62</v>
      </c>
    </row>
    <row r="33" spans="1:24" x14ac:dyDescent="0.25">
      <c r="A33" s="11"/>
      <c r="B33" s="12" t="s">
        <v>38</v>
      </c>
      <c r="C33" s="9" t="s">
        <v>80</v>
      </c>
      <c r="D33" s="10" t="s">
        <v>61</v>
      </c>
      <c r="E33" s="10"/>
      <c r="F33" s="9">
        <v>0</v>
      </c>
      <c r="G33" s="9">
        <v>0</v>
      </c>
      <c r="H33" s="9">
        <v>0</v>
      </c>
      <c r="I33" s="9">
        <v>0</v>
      </c>
      <c r="J33" s="9">
        <v>0</v>
      </c>
      <c r="K33" s="9">
        <v>0</v>
      </c>
      <c r="L33" s="9">
        <v>0</v>
      </c>
      <c r="M33" s="9">
        <v>0</v>
      </c>
      <c r="N33" s="9">
        <v>0</v>
      </c>
      <c r="O33" s="9">
        <v>0</v>
      </c>
      <c r="P33" s="9">
        <v>0</v>
      </c>
      <c r="Q33" s="9">
        <v>0</v>
      </c>
      <c r="R33" s="29">
        <f>SUM(F33:Q33)</f>
        <v>0</v>
      </c>
      <c r="S33" s="24">
        <f t="shared" ref="S33:W34" si="2">SUM(G33:R33)</f>
        <v>0</v>
      </c>
      <c r="T33" s="24">
        <f t="shared" si="2"/>
        <v>0</v>
      </c>
      <c r="U33" s="24">
        <f t="shared" si="2"/>
        <v>0</v>
      </c>
      <c r="V33" s="24">
        <f t="shared" si="2"/>
        <v>0</v>
      </c>
      <c r="W33" s="24">
        <f t="shared" si="2"/>
        <v>0</v>
      </c>
      <c r="X33" s="24">
        <v>3</v>
      </c>
    </row>
    <row r="34" spans="1:24" x14ac:dyDescent="0.25">
      <c r="A34" s="11"/>
      <c r="B34" s="12" t="s">
        <v>44</v>
      </c>
      <c r="C34" s="9" t="s">
        <v>81</v>
      </c>
      <c r="D34" s="10" t="s">
        <v>61</v>
      </c>
      <c r="E34" s="10"/>
      <c r="F34" s="9">
        <v>0</v>
      </c>
      <c r="G34" s="9">
        <v>0</v>
      </c>
      <c r="H34" s="9">
        <v>0</v>
      </c>
      <c r="I34" s="9">
        <v>0</v>
      </c>
      <c r="J34" s="9">
        <v>0</v>
      </c>
      <c r="K34" s="9">
        <v>0</v>
      </c>
      <c r="L34" s="9">
        <v>0</v>
      </c>
      <c r="M34" s="9">
        <v>0</v>
      </c>
      <c r="N34" s="9">
        <v>0</v>
      </c>
      <c r="O34" s="9">
        <v>0</v>
      </c>
      <c r="P34" s="9">
        <v>0</v>
      </c>
      <c r="Q34" s="9">
        <v>0</v>
      </c>
      <c r="R34" s="29">
        <f>SUM(F34:Q34)</f>
        <v>0</v>
      </c>
      <c r="S34" s="24">
        <f t="shared" si="2"/>
        <v>0</v>
      </c>
      <c r="T34" s="24">
        <f t="shared" si="2"/>
        <v>0</v>
      </c>
      <c r="U34" s="24">
        <f t="shared" si="2"/>
        <v>0</v>
      </c>
      <c r="V34" s="24">
        <f t="shared" si="2"/>
        <v>0</v>
      </c>
      <c r="W34" s="24">
        <f t="shared" si="2"/>
        <v>0</v>
      </c>
      <c r="X34" s="24">
        <f>SUM(L34:W34)</f>
        <v>0</v>
      </c>
    </row>
    <row r="35" spans="1:24" x14ac:dyDescent="0.25">
      <c r="A35" s="11"/>
      <c r="B35" s="12" t="s">
        <v>68</v>
      </c>
      <c r="C35" s="9" t="s">
        <v>82</v>
      </c>
      <c r="D35" s="10" t="s">
        <v>55</v>
      </c>
      <c r="E35" s="10">
        <v>92</v>
      </c>
      <c r="F35" s="9">
        <v>100</v>
      </c>
      <c r="G35" s="9">
        <v>100</v>
      </c>
      <c r="H35" s="9">
        <v>100</v>
      </c>
      <c r="I35" s="9">
        <v>100</v>
      </c>
      <c r="J35" s="9">
        <v>100</v>
      </c>
      <c r="K35" s="9">
        <v>100</v>
      </c>
      <c r="L35" s="9">
        <v>100</v>
      </c>
      <c r="M35" s="9">
        <v>100</v>
      </c>
      <c r="N35" s="9">
        <v>100</v>
      </c>
      <c r="O35" s="9">
        <v>100</v>
      </c>
      <c r="P35" s="9">
        <v>100</v>
      </c>
      <c r="Q35" s="9">
        <v>100</v>
      </c>
      <c r="R35" s="29">
        <v>100</v>
      </c>
      <c r="S35" s="24">
        <v>100</v>
      </c>
      <c r="T35" s="24">
        <v>100</v>
      </c>
      <c r="U35" s="24">
        <v>100</v>
      </c>
      <c r="V35" s="40">
        <v>100</v>
      </c>
      <c r="W35" s="41">
        <v>100</v>
      </c>
      <c r="X35" s="40">
        <f>(X32/X31)*100</f>
        <v>95.384615384615387</v>
      </c>
    </row>
    <row r="36" spans="1:24" x14ac:dyDescent="0.25">
      <c r="A36" s="13"/>
      <c r="B36" s="12" t="s">
        <v>83</v>
      </c>
      <c r="C36" s="9" t="s">
        <v>84</v>
      </c>
      <c r="D36" s="10" t="s">
        <v>85</v>
      </c>
      <c r="E36" s="10">
        <v>7</v>
      </c>
      <c r="F36" s="9">
        <v>8</v>
      </c>
      <c r="G36" s="9">
        <v>5</v>
      </c>
      <c r="H36" s="9">
        <v>4</v>
      </c>
      <c r="I36" s="9">
        <v>4</v>
      </c>
      <c r="J36" s="9">
        <v>3</v>
      </c>
      <c r="K36" s="9">
        <v>4</v>
      </c>
      <c r="L36" s="9">
        <v>2</v>
      </c>
      <c r="M36" s="9">
        <v>4</v>
      </c>
      <c r="N36" s="9">
        <v>3</v>
      </c>
      <c r="O36" s="9">
        <v>2</v>
      </c>
      <c r="P36" s="9">
        <v>1</v>
      </c>
      <c r="Q36" s="9">
        <v>1</v>
      </c>
      <c r="R36" s="29"/>
      <c r="S36" s="24">
        <v>2</v>
      </c>
      <c r="T36" s="24">
        <v>2</v>
      </c>
      <c r="U36" s="24">
        <v>4</v>
      </c>
      <c r="V36" s="40"/>
      <c r="W36" s="41"/>
      <c r="X36" s="40"/>
    </row>
  </sheetData>
  <mergeCells count="7">
    <mergeCell ref="V13:X13"/>
    <mergeCell ref="S6:X6"/>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C41B9-62F5-4343-A415-3C62F45C0FCE}">
  <dimension ref="A1:BA105"/>
  <sheetViews>
    <sheetView tabSelected="1" workbookViewId="0">
      <selection activeCell="A77" sqref="A77:A87"/>
    </sheetView>
  </sheetViews>
  <sheetFormatPr baseColWidth="10" defaultColWidth="8.83203125" defaultRowHeight="16" x14ac:dyDescent="0.25"/>
  <cols>
    <col min="1" max="1" width="3.1640625" style="34" bestFit="1" customWidth="1"/>
    <col min="2" max="2" width="1.83203125" bestFit="1" customWidth="1"/>
    <col min="3" max="3" width="26.1640625" customWidth="1"/>
    <col min="4" max="4" width="30.1640625" customWidth="1"/>
    <col min="5" max="5" width="30.6640625" customWidth="1"/>
    <col min="6" max="21" width="12.33203125" bestFit="1" customWidth="1"/>
    <col min="22" max="23" width="12.33203125" customWidth="1"/>
  </cols>
  <sheetData>
    <row r="1" spans="1:53" x14ac:dyDescent="0.25">
      <c r="A1" s="69" t="s">
        <v>3</v>
      </c>
      <c r="B1" s="152" t="s">
        <v>86</v>
      </c>
      <c r="C1" s="152"/>
      <c r="D1" s="152"/>
      <c r="E1" s="45" t="s">
        <v>87</v>
      </c>
      <c r="F1" s="97">
        <v>45658</v>
      </c>
      <c r="G1" s="97">
        <v>45689</v>
      </c>
      <c r="H1" s="97">
        <v>45717</v>
      </c>
      <c r="I1" s="97">
        <v>45748</v>
      </c>
      <c r="J1" s="97">
        <v>45778</v>
      </c>
      <c r="K1" s="97">
        <v>45809</v>
      </c>
      <c r="L1" s="97">
        <v>45839</v>
      </c>
      <c r="M1" s="97">
        <v>45870</v>
      </c>
      <c r="N1" s="97">
        <v>45901</v>
      </c>
      <c r="O1" s="97">
        <v>45931</v>
      </c>
      <c r="P1" s="97">
        <v>45962</v>
      </c>
      <c r="Q1" s="98">
        <v>45992</v>
      </c>
      <c r="R1" s="105">
        <v>46023</v>
      </c>
      <c r="S1" s="105">
        <v>46054</v>
      </c>
      <c r="T1" s="105">
        <v>46082</v>
      </c>
      <c r="U1" s="105">
        <v>46113</v>
      </c>
      <c r="V1" s="105">
        <v>46143</v>
      </c>
      <c r="W1" s="105">
        <v>46174</v>
      </c>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row>
    <row r="2" spans="1:53" ht="30" x14ac:dyDescent="0.25">
      <c r="A2" s="68">
        <v>1</v>
      </c>
      <c r="B2" s="152" t="s">
        <v>88</v>
      </c>
      <c r="C2" s="152"/>
      <c r="D2" s="152"/>
      <c r="E2" s="96" t="s">
        <v>89</v>
      </c>
      <c r="F2" s="100">
        <v>13528469</v>
      </c>
      <c r="G2" s="100">
        <v>11722798</v>
      </c>
      <c r="H2" s="100">
        <v>11136085</v>
      </c>
      <c r="I2" s="100">
        <v>14017722</v>
      </c>
      <c r="J2" s="100">
        <v>12154809</v>
      </c>
      <c r="K2" s="100">
        <v>13189000</v>
      </c>
      <c r="L2" s="100">
        <v>14437155</v>
      </c>
      <c r="M2" s="100">
        <v>13618034</v>
      </c>
      <c r="N2" s="100">
        <v>12889206</v>
      </c>
      <c r="O2" s="100">
        <v>13841943</v>
      </c>
      <c r="P2" s="100">
        <v>13119320</v>
      </c>
      <c r="Q2" s="107">
        <v>14276626</v>
      </c>
      <c r="R2" s="100">
        <v>13252267</v>
      </c>
      <c r="S2" s="100">
        <v>11047460</v>
      </c>
      <c r="T2" s="100">
        <v>13889374</v>
      </c>
      <c r="U2" s="100">
        <v>12093469</v>
      </c>
      <c r="V2" s="100">
        <v>11258277</v>
      </c>
      <c r="W2" s="100">
        <v>12491380</v>
      </c>
      <c r="X2" s="95"/>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row>
    <row r="3" spans="1:53" ht="58" x14ac:dyDescent="0.25">
      <c r="A3" s="68">
        <v>2</v>
      </c>
      <c r="B3" s="152" t="s">
        <v>90</v>
      </c>
      <c r="C3" s="152"/>
      <c r="D3" s="152"/>
      <c r="E3" s="47" t="s">
        <v>91</v>
      </c>
      <c r="F3" s="48">
        <f>SUM(F5:F10)</f>
        <v>20406</v>
      </c>
      <c r="G3" s="48">
        <f t="shared" ref="G3:Q3" si="0">SUM(G5:G10)</f>
        <v>33976</v>
      </c>
      <c r="H3" s="48">
        <f t="shared" si="0"/>
        <v>37377</v>
      </c>
      <c r="I3" s="48">
        <f t="shared" si="0"/>
        <v>40700</v>
      </c>
      <c r="J3" s="48">
        <f t="shared" si="0"/>
        <v>58228</v>
      </c>
      <c r="K3" s="48">
        <f t="shared" si="0"/>
        <v>76411</v>
      </c>
      <c r="L3" s="48">
        <f t="shared" si="0"/>
        <v>74288</v>
      </c>
      <c r="M3" s="48">
        <f t="shared" si="0"/>
        <v>76740</v>
      </c>
      <c r="N3" s="48">
        <f t="shared" si="0"/>
        <v>75253</v>
      </c>
      <c r="O3" s="48">
        <f t="shared" si="0"/>
        <v>63683</v>
      </c>
      <c r="P3" s="48">
        <f t="shared" si="0"/>
        <v>72957</v>
      </c>
      <c r="Q3" s="48">
        <f t="shared" si="0"/>
        <v>70141</v>
      </c>
      <c r="R3" s="106">
        <v>61744</v>
      </c>
      <c r="S3" s="106">
        <v>52557</v>
      </c>
      <c r="T3" s="106">
        <v>52375</v>
      </c>
      <c r="U3" s="106">
        <v>49638</v>
      </c>
      <c r="V3" s="106">
        <v>55167</v>
      </c>
      <c r="W3" s="106">
        <v>43715</v>
      </c>
      <c r="X3" s="101"/>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row>
    <row r="4" spans="1:53" x14ac:dyDescent="0.25">
      <c r="A4" s="147">
        <v>3</v>
      </c>
      <c r="B4" s="152" t="s">
        <v>92</v>
      </c>
      <c r="C4" s="152"/>
      <c r="D4" s="152"/>
      <c r="E4" s="64" t="s">
        <v>93</v>
      </c>
      <c r="F4" s="62" t="s">
        <v>93</v>
      </c>
      <c r="G4" s="62" t="s">
        <v>93</v>
      </c>
      <c r="H4" s="62" t="s">
        <v>93</v>
      </c>
      <c r="I4" s="62" t="s">
        <v>93</v>
      </c>
      <c r="J4" s="62" t="s">
        <v>93</v>
      </c>
      <c r="K4" s="62" t="s">
        <v>93</v>
      </c>
      <c r="L4" s="62" t="s">
        <v>93</v>
      </c>
      <c r="M4" s="62" t="s">
        <v>93</v>
      </c>
      <c r="N4" s="62" t="s">
        <v>93</v>
      </c>
      <c r="O4" s="62" t="s">
        <v>93</v>
      </c>
      <c r="P4" s="62" t="s">
        <v>93</v>
      </c>
      <c r="Q4" s="46" t="s">
        <v>93</v>
      </c>
      <c r="R4" s="81">
        <f t="shared" ref="R4:W4" si="1">SUM(R5:R10)</f>
        <v>61744</v>
      </c>
      <c r="S4" s="81">
        <f t="shared" si="1"/>
        <v>52557</v>
      </c>
      <c r="T4" s="81">
        <f t="shared" si="1"/>
        <v>52375</v>
      </c>
      <c r="U4" s="81">
        <f t="shared" si="1"/>
        <v>49638</v>
      </c>
      <c r="V4" s="81">
        <f t="shared" si="1"/>
        <v>55167</v>
      </c>
      <c r="W4" s="81">
        <f t="shared" si="1"/>
        <v>43715</v>
      </c>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row>
    <row r="5" spans="1:53" ht="16.5" customHeight="1" x14ac:dyDescent="0.25">
      <c r="A5" s="147"/>
      <c r="B5" s="48" t="s">
        <v>94</v>
      </c>
      <c r="C5" s="154" t="s">
        <v>95</v>
      </c>
      <c r="D5" s="154"/>
      <c r="E5" s="156" t="s">
        <v>96</v>
      </c>
      <c r="F5" s="125">
        <v>126</v>
      </c>
      <c r="G5" s="125">
        <v>129</v>
      </c>
      <c r="H5" s="125">
        <v>140</v>
      </c>
      <c r="I5" s="125">
        <v>185</v>
      </c>
      <c r="J5" s="125">
        <v>176</v>
      </c>
      <c r="K5" s="125">
        <v>150</v>
      </c>
      <c r="L5" s="125">
        <v>123</v>
      </c>
      <c r="M5" s="125">
        <v>111</v>
      </c>
      <c r="N5" s="125">
        <v>111</v>
      </c>
      <c r="O5" s="125">
        <v>111</v>
      </c>
      <c r="P5" s="125">
        <v>123</v>
      </c>
      <c r="Q5" s="125">
        <v>110</v>
      </c>
      <c r="R5" s="118">
        <v>101</v>
      </c>
      <c r="S5" s="106">
        <v>84</v>
      </c>
      <c r="T5" s="106">
        <v>87</v>
      </c>
      <c r="U5" s="106">
        <v>89</v>
      </c>
      <c r="V5" s="106">
        <v>75</v>
      </c>
      <c r="W5" s="106">
        <v>65</v>
      </c>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row>
    <row r="6" spans="1:53" x14ac:dyDescent="0.25">
      <c r="A6" s="147"/>
      <c r="B6" s="48" t="s">
        <v>97</v>
      </c>
      <c r="C6" s="154" t="s">
        <v>98</v>
      </c>
      <c r="D6" s="154"/>
      <c r="E6" s="157"/>
      <c r="F6" s="115">
        <v>1136</v>
      </c>
      <c r="G6" s="115">
        <v>2293</v>
      </c>
      <c r="H6" s="115">
        <v>5467</v>
      </c>
      <c r="I6" s="115">
        <v>6601</v>
      </c>
      <c r="J6" s="115">
        <v>8570</v>
      </c>
      <c r="K6" s="115">
        <v>9458</v>
      </c>
      <c r="L6" s="115">
        <v>9489</v>
      </c>
      <c r="M6" s="115">
        <v>10365</v>
      </c>
      <c r="N6" s="115">
        <v>9773</v>
      </c>
      <c r="O6" s="115">
        <v>7750</v>
      </c>
      <c r="P6" s="115">
        <v>8335</v>
      </c>
      <c r="Q6" s="115">
        <v>9218</v>
      </c>
      <c r="R6" s="118">
        <v>7765</v>
      </c>
      <c r="S6" s="106">
        <v>6786</v>
      </c>
      <c r="T6" s="106">
        <v>7769</v>
      </c>
      <c r="U6" s="106">
        <v>7681</v>
      </c>
      <c r="V6" s="106">
        <v>7446</v>
      </c>
      <c r="W6" s="106">
        <v>6346</v>
      </c>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row>
    <row r="7" spans="1:53" x14ac:dyDescent="0.25">
      <c r="A7" s="147"/>
      <c r="B7" s="48" t="s">
        <v>99</v>
      </c>
      <c r="C7" s="154" t="s">
        <v>100</v>
      </c>
      <c r="D7" s="154"/>
      <c r="E7" s="157"/>
      <c r="F7" s="115">
        <v>17831</v>
      </c>
      <c r="G7" s="115">
        <v>30276</v>
      </c>
      <c r="H7" s="115">
        <v>30571</v>
      </c>
      <c r="I7" s="115">
        <v>32344</v>
      </c>
      <c r="J7" s="115">
        <v>48023</v>
      </c>
      <c r="K7" s="115">
        <v>65434</v>
      </c>
      <c r="L7" s="115">
        <v>63207</v>
      </c>
      <c r="M7" s="115">
        <v>64723</v>
      </c>
      <c r="N7" s="115">
        <v>63854</v>
      </c>
      <c r="O7" s="115">
        <v>54262</v>
      </c>
      <c r="P7" s="115">
        <v>62677</v>
      </c>
      <c r="Q7" s="115">
        <v>58748</v>
      </c>
      <c r="R7" s="118">
        <v>51794</v>
      </c>
      <c r="S7" s="106">
        <v>44180</v>
      </c>
      <c r="T7" s="106">
        <v>42691</v>
      </c>
      <c r="U7" s="106">
        <v>40238</v>
      </c>
      <c r="V7" s="106">
        <v>46081</v>
      </c>
      <c r="W7" s="106">
        <v>35528</v>
      </c>
      <c r="X7" s="101"/>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row>
    <row r="8" spans="1:53" x14ac:dyDescent="0.25">
      <c r="A8" s="147"/>
      <c r="B8" s="48" t="s">
        <v>101</v>
      </c>
      <c r="C8" s="161" t="s">
        <v>102</v>
      </c>
      <c r="D8" s="161"/>
      <c r="E8" s="157"/>
      <c r="F8" s="115">
        <v>82</v>
      </c>
      <c r="G8" s="115">
        <v>77</v>
      </c>
      <c r="H8" s="115">
        <v>51</v>
      </c>
      <c r="I8" s="115">
        <v>111</v>
      </c>
      <c r="J8" s="115">
        <v>107</v>
      </c>
      <c r="K8" s="115">
        <v>38</v>
      </c>
      <c r="L8" s="115">
        <v>58</v>
      </c>
      <c r="M8" s="115">
        <v>96</v>
      </c>
      <c r="N8" s="115">
        <v>64</v>
      </c>
      <c r="O8" s="115">
        <v>84</v>
      </c>
      <c r="P8" s="115">
        <v>290</v>
      </c>
      <c r="Q8" s="115">
        <v>245</v>
      </c>
      <c r="R8" s="118">
        <v>198</v>
      </c>
      <c r="S8" s="106">
        <v>162</v>
      </c>
      <c r="T8" s="106">
        <v>191</v>
      </c>
      <c r="U8" s="106">
        <v>142</v>
      </c>
      <c r="V8" s="106">
        <v>157</v>
      </c>
      <c r="W8" s="106">
        <v>111</v>
      </c>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row>
    <row r="9" spans="1:53" x14ac:dyDescent="0.25">
      <c r="A9" s="67" t="s">
        <v>93</v>
      </c>
      <c r="B9" s="48" t="s">
        <v>103</v>
      </c>
      <c r="C9" s="159" t="s">
        <v>104</v>
      </c>
      <c r="D9" s="159"/>
      <c r="E9" s="157"/>
      <c r="F9" s="115">
        <v>1163</v>
      </c>
      <c r="G9" s="115">
        <v>1155</v>
      </c>
      <c r="H9" s="115">
        <v>1045</v>
      </c>
      <c r="I9" s="115">
        <v>1381</v>
      </c>
      <c r="J9" s="115">
        <v>1291</v>
      </c>
      <c r="K9" s="115">
        <v>1296</v>
      </c>
      <c r="L9" s="115">
        <v>1367</v>
      </c>
      <c r="M9" s="115">
        <v>1393</v>
      </c>
      <c r="N9" s="115">
        <v>1386</v>
      </c>
      <c r="O9" s="115">
        <v>1427</v>
      </c>
      <c r="P9" s="115">
        <v>1470</v>
      </c>
      <c r="Q9" s="115">
        <v>1751</v>
      </c>
      <c r="R9" s="118">
        <v>1791</v>
      </c>
      <c r="S9" s="106">
        <v>1296</v>
      </c>
      <c r="T9" s="106">
        <v>1592</v>
      </c>
      <c r="U9" s="106">
        <v>1457</v>
      </c>
      <c r="V9" s="106">
        <v>1382</v>
      </c>
      <c r="W9" s="106">
        <v>1647</v>
      </c>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row>
    <row r="10" spans="1:53" x14ac:dyDescent="0.25">
      <c r="A10" s="67"/>
      <c r="B10" s="51" t="s">
        <v>105</v>
      </c>
      <c r="C10" s="160" t="s">
        <v>106</v>
      </c>
      <c r="D10" s="160"/>
      <c r="E10" s="158"/>
      <c r="F10" s="115">
        <v>68</v>
      </c>
      <c r="G10" s="115">
        <v>46</v>
      </c>
      <c r="H10" s="115">
        <v>103</v>
      </c>
      <c r="I10" s="115">
        <v>78</v>
      </c>
      <c r="J10" s="115">
        <v>61</v>
      </c>
      <c r="K10" s="115">
        <v>35</v>
      </c>
      <c r="L10" s="115">
        <v>44</v>
      </c>
      <c r="M10" s="115">
        <v>52</v>
      </c>
      <c r="N10" s="115">
        <v>65</v>
      </c>
      <c r="O10" s="115">
        <v>49</v>
      </c>
      <c r="P10" s="115">
        <v>62</v>
      </c>
      <c r="Q10" s="115">
        <v>69</v>
      </c>
      <c r="R10" s="118">
        <v>95</v>
      </c>
      <c r="S10" s="106">
        <v>49</v>
      </c>
      <c r="T10" s="106">
        <v>45</v>
      </c>
      <c r="U10" s="106">
        <v>31</v>
      </c>
      <c r="V10" s="106">
        <v>26</v>
      </c>
      <c r="W10" s="106">
        <v>18</v>
      </c>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row>
    <row r="11" spans="1:53" x14ac:dyDescent="0.25">
      <c r="A11" s="146">
        <v>4</v>
      </c>
      <c r="B11" s="152" t="s">
        <v>107</v>
      </c>
      <c r="C11" s="152"/>
      <c r="D11" s="152"/>
      <c r="E11" s="119" t="s">
        <v>93</v>
      </c>
      <c r="F11" s="81" t="s">
        <v>93</v>
      </c>
      <c r="G11" s="81" t="s">
        <v>93</v>
      </c>
      <c r="H11" s="81" t="s">
        <v>93</v>
      </c>
      <c r="I11" s="81" t="s">
        <v>93</v>
      </c>
      <c r="J11" s="81" t="s">
        <v>93</v>
      </c>
      <c r="K11" s="81" t="s">
        <v>93</v>
      </c>
      <c r="L11" s="81" t="s">
        <v>93</v>
      </c>
      <c r="M11" s="81" t="s">
        <v>93</v>
      </c>
      <c r="N11" s="81" t="s">
        <v>93</v>
      </c>
      <c r="O11" s="81" t="s">
        <v>93</v>
      </c>
      <c r="P11" s="81" t="s">
        <v>93</v>
      </c>
      <c r="Q11" s="81" t="s">
        <v>93</v>
      </c>
      <c r="R11" s="120"/>
      <c r="S11" s="110"/>
      <c r="T11" s="110"/>
      <c r="U11" s="110"/>
      <c r="V11" s="110"/>
      <c r="W11" s="110"/>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row>
    <row r="12" spans="1:53" x14ac:dyDescent="0.25">
      <c r="A12" s="146"/>
      <c r="B12" s="48" t="s">
        <v>94</v>
      </c>
      <c r="C12" s="50" t="s">
        <v>108</v>
      </c>
      <c r="D12" s="51" t="s">
        <v>109</v>
      </c>
      <c r="E12" s="119" t="s">
        <v>93</v>
      </c>
      <c r="F12" s="115">
        <v>17</v>
      </c>
      <c r="G12" s="115">
        <v>10</v>
      </c>
      <c r="H12" s="115">
        <v>21</v>
      </c>
      <c r="I12" s="115">
        <v>14</v>
      </c>
      <c r="J12" s="115">
        <v>25</v>
      </c>
      <c r="K12" s="115">
        <v>42</v>
      </c>
      <c r="L12" s="115">
        <v>29</v>
      </c>
      <c r="M12" s="115">
        <v>21</v>
      </c>
      <c r="N12" s="115">
        <v>3</v>
      </c>
      <c r="O12" s="115">
        <v>4</v>
      </c>
      <c r="P12" s="115">
        <v>5</v>
      </c>
      <c r="Q12" s="115">
        <v>1</v>
      </c>
      <c r="R12" s="118">
        <v>17</v>
      </c>
      <c r="S12" s="106">
        <v>11</v>
      </c>
      <c r="T12" s="106">
        <v>14</v>
      </c>
      <c r="U12" s="106">
        <v>11</v>
      </c>
      <c r="V12" s="106">
        <v>3</v>
      </c>
      <c r="W12" s="106">
        <v>5</v>
      </c>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row>
    <row r="13" spans="1:53" x14ac:dyDescent="0.25">
      <c r="A13" s="146"/>
      <c r="B13" s="48" t="s">
        <v>93</v>
      </c>
      <c r="C13" s="50" t="s">
        <v>93</v>
      </c>
      <c r="D13" s="154" t="s">
        <v>98</v>
      </c>
      <c r="E13" s="154"/>
      <c r="F13" s="115">
        <v>1127</v>
      </c>
      <c r="G13" s="115">
        <v>2289</v>
      </c>
      <c r="H13" s="115">
        <v>5462</v>
      </c>
      <c r="I13" s="115">
        <v>6598</v>
      </c>
      <c r="J13" s="115">
        <v>8568</v>
      </c>
      <c r="K13" s="115">
        <v>9457</v>
      </c>
      <c r="L13" s="115">
        <v>9482</v>
      </c>
      <c r="M13" s="115">
        <v>10361</v>
      </c>
      <c r="N13" s="115">
        <v>9768</v>
      </c>
      <c r="O13" s="115">
        <v>7739</v>
      </c>
      <c r="P13" s="115">
        <v>8332</v>
      </c>
      <c r="Q13" s="115">
        <v>9213</v>
      </c>
      <c r="R13" s="118">
        <v>2</v>
      </c>
      <c r="S13" s="106">
        <v>1</v>
      </c>
      <c r="T13" s="106">
        <v>3</v>
      </c>
      <c r="U13" s="106">
        <v>1</v>
      </c>
      <c r="V13" s="106">
        <v>1</v>
      </c>
      <c r="W13" s="81">
        <v>0</v>
      </c>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row>
    <row r="14" spans="1:53" x14ac:dyDescent="0.25">
      <c r="A14" s="146"/>
      <c r="B14" s="48" t="s">
        <v>93</v>
      </c>
      <c r="C14" s="50" t="s">
        <v>93</v>
      </c>
      <c r="D14" s="51" t="s">
        <v>100</v>
      </c>
      <c r="E14" s="119" t="s">
        <v>93</v>
      </c>
      <c r="F14" s="115">
        <v>13182</v>
      </c>
      <c r="G14" s="115">
        <v>26154</v>
      </c>
      <c r="H14" s="115">
        <v>26239</v>
      </c>
      <c r="I14" s="115">
        <v>27959</v>
      </c>
      <c r="J14" s="115">
        <v>44042</v>
      </c>
      <c r="K14" s="115">
        <v>62257</v>
      </c>
      <c r="L14" s="115">
        <v>60530</v>
      </c>
      <c r="M14" s="115">
        <v>62084</v>
      </c>
      <c r="N14" s="115">
        <v>61069</v>
      </c>
      <c r="O14" s="115">
        <v>51625</v>
      </c>
      <c r="P14" s="115">
        <v>59943</v>
      </c>
      <c r="Q14" s="115">
        <v>55523</v>
      </c>
      <c r="R14" s="118">
        <v>1222</v>
      </c>
      <c r="S14" s="106">
        <v>923</v>
      </c>
      <c r="T14" s="106">
        <v>1270</v>
      </c>
      <c r="U14" s="106">
        <v>710</v>
      </c>
      <c r="V14" s="106">
        <v>663</v>
      </c>
      <c r="W14" s="106">
        <v>620</v>
      </c>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row>
    <row r="15" spans="1:53" x14ac:dyDescent="0.25">
      <c r="A15" s="146"/>
      <c r="B15" s="48" t="s">
        <v>93</v>
      </c>
      <c r="C15" s="50" t="s">
        <v>93</v>
      </c>
      <c r="D15" s="51" t="s">
        <v>102</v>
      </c>
      <c r="E15" s="119" t="s">
        <v>93</v>
      </c>
      <c r="F15" s="115">
        <v>1</v>
      </c>
      <c r="G15" s="115">
        <v>1</v>
      </c>
      <c r="H15" s="115">
        <v>0</v>
      </c>
      <c r="I15" s="115">
        <v>0</v>
      </c>
      <c r="J15" s="115">
        <v>0</v>
      </c>
      <c r="K15" s="115">
        <v>0</v>
      </c>
      <c r="L15" s="115">
        <v>1</v>
      </c>
      <c r="M15" s="115">
        <v>3</v>
      </c>
      <c r="N15" s="115">
        <v>1</v>
      </c>
      <c r="O15" s="115">
        <v>1</v>
      </c>
      <c r="P15" s="115">
        <v>5</v>
      </c>
      <c r="Q15" s="115">
        <v>1</v>
      </c>
      <c r="R15" s="121">
        <v>2</v>
      </c>
      <c r="S15" s="81">
        <v>3</v>
      </c>
      <c r="T15" s="81">
        <v>0</v>
      </c>
      <c r="U15" s="81">
        <v>0</v>
      </c>
      <c r="V15" s="81">
        <v>0</v>
      </c>
      <c r="W15" s="81">
        <v>0</v>
      </c>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row>
    <row r="16" spans="1:53" x14ac:dyDescent="0.25">
      <c r="A16" s="147"/>
      <c r="B16" s="48" t="s">
        <v>93</v>
      </c>
      <c r="C16" s="50" t="s">
        <v>93</v>
      </c>
      <c r="D16" s="51" t="s">
        <v>104</v>
      </c>
      <c r="E16" s="119" t="s">
        <v>93</v>
      </c>
      <c r="F16" s="115">
        <v>33</v>
      </c>
      <c r="G16" s="115">
        <v>99</v>
      </c>
      <c r="H16" s="115">
        <v>51</v>
      </c>
      <c r="I16" s="115">
        <v>76</v>
      </c>
      <c r="J16" s="115">
        <v>96</v>
      </c>
      <c r="K16" s="115">
        <v>188</v>
      </c>
      <c r="L16" s="115">
        <v>114</v>
      </c>
      <c r="M16" s="115">
        <v>92</v>
      </c>
      <c r="N16" s="115">
        <v>88</v>
      </c>
      <c r="O16" s="115">
        <v>70</v>
      </c>
      <c r="P16" s="115">
        <v>57</v>
      </c>
      <c r="Q16" s="115">
        <v>66</v>
      </c>
      <c r="R16" s="118">
        <v>890</v>
      </c>
      <c r="S16" s="106">
        <v>624</v>
      </c>
      <c r="T16" s="106">
        <v>735</v>
      </c>
      <c r="U16" s="106">
        <v>563</v>
      </c>
      <c r="V16" s="106">
        <v>495</v>
      </c>
      <c r="W16" s="106">
        <v>538</v>
      </c>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row>
    <row r="17" spans="1:53" x14ac:dyDescent="0.25">
      <c r="A17" s="146"/>
      <c r="B17" s="48"/>
      <c r="C17" s="50"/>
      <c r="D17" s="51" t="str">
        <f>C10</f>
        <v>Saran</v>
      </c>
      <c r="E17" s="119"/>
      <c r="F17" s="115">
        <v>11</v>
      </c>
      <c r="G17" s="115">
        <v>7</v>
      </c>
      <c r="H17" s="115">
        <v>8</v>
      </c>
      <c r="I17" s="115">
        <v>11</v>
      </c>
      <c r="J17" s="115">
        <v>9</v>
      </c>
      <c r="K17" s="115">
        <v>1</v>
      </c>
      <c r="L17" s="115">
        <v>5</v>
      </c>
      <c r="M17" s="115">
        <v>11</v>
      </c>
      <c r="N17" s="115">
        <v>7</v>
      </c>
      <c r="O17" s="115">
        <v>1</v>
      </c>
      <c r="P17" s="115">
        <v>4</v>
      </c>
      <c r="Q17" s="115">
        <v>2</v>
      </c>
      <c r="R17" s="120">
        <v>0</v>
      </c>
      <c r="S17" s="110">
        <v>1</v>
      </c>
      <c r="T17" s="110">
        <v>3</v>
      </c>
      <c r="U17" s="110">
        <v>0</v>
      </c>
      <c r="V17" s="110">
        <v>0</v>
      </c>
      <c r="W17" s="110">
        <v>0</v>
      </c>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row>
    <row r="18" spans="1:53" x14ac:dyDescent="0.25">
      <c r="A18" s="146"/>
      <c r="B18" s="48" t="s">
        <v>97</v>
      </c>
      <c r="C18" s="52" t="s">
        <v>110</v>
      </c>
      <c r="D18" s="51" t="s">
        <v>109</v>
      </c>
      <c r="E18" s="119" t="s">
        <v>93</v>
      </c>
      <c r="F18" s="115">
        <v>17</v>
      </c>
      <c r="G18" s="115">
        <v>10</v>
      </c>
      <c r="H18" s="115">
        <v>21</v>
      </c>
      <c r="I18" s="115">
        <v>14</v>
      </c>
      <c r="J18" s="115">
        <v>25</v>
      </c>
      <c r="K18" s="115">
        <v>42</v>
      </c>
      <c r="L18" s="115">
        <v>29</v>
      </c>
      <c r="M18" s="115">
        <v>21</v>
      </c>
      <c r="N18" s="115">
        <v>3</v>
      </c>
      <c r="O18" s="115">
        <v>4</v>
      </c>
      <c r="P18" s="115">
        <v>5</v>
      </c>
      <c r="Q18" s="115">
        <v>1</v>
      </c>
      <c r="R18" s="118">
        <v>2</v>
      </c>
      <c r="S18" s="106">
        <v>2</v>
      </c>
      <c r="T18" s="106">
        <v>1</v>
      </c>
      <c r="U18" s="81">
        <v>0</v>
      </c>
      <c r="V18" s="81">
        <v>0</v>
      </c>
      <c r="W18" s="81">
        <v>1</v>
      </c>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row>
    <row r="19" spans="1:53" x14ac:dyDescent="0.25">
      <c r="A19" s="146"/>
      <c r="B19" s="48" t="s">
        <v>93</v>
      </c>
      <c r="C19" s="50" t="s">
        <v>93</v>
      </c>
      <c r="D19" s="99" t="s">
        <v>98</v>
      </c>
      <c r="E19" s="99"/>
      <c r="F19" s="115">
        <v>1127</v>
      </c>
      <c r="G19" s="115">
        <v>2289</v>
      </c>
      <c r="H19" s="115">
        <v>5462</v>
      </c>
      <c r="I19" s="115">
        <v>6598</v>
      </c>
      <c r="J19" s="115">
        <v>8568</v>
      </c>
      <c r="K19" s="115">
        <v>9457</v>
      </c>
      <c r="L19" s="115">
        <v>9482</v>
      </c>
      <c r="M19" s="115">
        <v>10361</v>
      </c>
      <c r="N19" s="115">
        <v>9768</v>
      </c>
      <c r="O19" s="115">
        <v>7739</v>
      </c>
      <c r="P19" s="115">
        <v>8332</v>
      </c>
      <c r="Q19" s="115">
        <v>9213</v>
      </c>
      <c r="R19" s="118">
        <v>7760</v>
      </c>
      <c r="S19" s="106">
        <v>6783</v>
      </c>
      <c r="T19" s="106">
        <v>7764</v>
      </c>
      <c r="U19" s="106">
        <v>7675</v>
      </c>
      <c r="V19" s="106">
        <v>7442</v>
      </c>
      <c r="W19" s="106">
        <v>6344</v>
      </c>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row>
    <row r="20" spans="1:53" x14ac:dyDescent="0.25">
      <c r="A20" s="146"/>
      <c r="B20" s="48" t="s">
        <v>93</v>
      </c>
      <c r="C20" s="50" t="s">
        <v>93</v>
      </c>
      <c r="D20" s="51" t="s">
        <v>100</v>
      </c>
      <c r="E20" s="119" t="s">
        <v>93</v>
      </c>
      <c r="F20" s="115">
        <v>13182</v>
      </c>
      <c r="G20" s="115">
        <v>26154</v>
      </c>
      <c r="H20" s="115">
        <v>26239</v>
      </c>
      <c r="I20" s="115">
        <v>27959</v>
      </c>
      <c r="J20" s="115">
        <v>44042</v>
      </c>
      <c r="K20" s="115">
        <v>62257</v>
      </c>
      <c r="L20" s="115">
        <v>60530</v>
      </c>
      <c r="M20" s="115">
        <v>62084</v>
      </c>
      <c r="N20" s="115">
        <v>61069</v>
      </c>
      <c r="O20" s="115">
        <v>51625</v>
      </c>
      <c r="P20" s="115">
        <v>59943</v>
      </c>
      <c r="Q20" s="115">
        <v>55523</v>
      </c>
      <c r="R20" s="118">
        <v>48473</v>
      </c>
      <c r="S20" s="106">
        <v>41719</v>
      </c>
      <c r="T20" s="106">
        <v>39142</v>
      </c>
      <c r="U20" s="106">
        <v>37302</v>
      </c>
      <c r="V20" s="106">
        <v>43287</v>
      </c>
      <c r="W20" s="106">
        <v>32365</v>
      </c>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row>
    <row r="21" spans="1:53" x14ac:dyDescent="0.25">
      <c r="A21" s="146"/>
      <c r="B21" s="48" t="s">
        <v>93</v>
      </c>
      <c r="C21" s="82" t="s">
        <v>93</v>
      </c>
      <c r="D21" s="51" t="s">
        <v>102</v>
      </c>
      <c r="E21" s="119" t="s">
        <v>93</v>
      </c>
      <c r="F21" s="115">
        <v>25</v>
      </c>
      <c r="G21" s="115">
        <v>17</v>
      </c>
      <c r="H21" s="115">
        <v>14</v>
      </c>
      <c r="I21" s="115">
        <v>22</v>
      </c>
      <c r="J21" s="115">
        <v>15</v>
      </c>
      <c r="K21" s="115">
        <v>6</v>
      </c>
      <c r="L21" s="115">
        <v>8</v>
      </c>
      <c r="M21" s="115">
        <v>9</v>
      </c>
      <c r="N21" s="115">
        <v>8</v>
      </c>
      <c r="O21" s="115">
        <v>27</v>
      </c>
      <c r="P21" s="115">
        <v>13</v>
      </c>
      <c r="Q21" s="115">
        <v>2</v>
      </c>
      <c r="R21" s="118">
        <v>21</v>
      </c>
      <c r="S21" s="106">
        <v>8</v>
      </c>
      <c r="T21" s="106">
        <v>16</v>
      </c>
      <c r="U21" s="106">
        <v>24</v>
      </c>
      <c r="V21" s="106">
        <v>38</v>
      </c>
      <c r="W21" s="106">
        <v>41</v>
      </c>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row>
    <row r="22" spans="1:53" x14ac:dyDescent="0.25">
      <c r="A22" s="146"/>
      <c r="B22" s="51" t="s">
        <v>93</v>
      </c>
      <c r="C22" s="80" t="s">
        <v>93</v>
      </c>
      <c r="D22" s="51" t="s">
        <v>104</v>
      </c>
      <c r="E22" s="119" t="s">
        <v>93</v>
      </c>
      <c r="F22" s="115">
        <v>33</v>
      </c>
      <c r="G22" s="115">
        <v>99</v>
      </c>
      <c r="H22" s="115">
        <v>51</v>
      </c>
      <c r="I22" s="115">
        <v>76</v>
      </c>
      <c r="J22" s="115">
        <v>96</v>
      </c>
      <c r="K22" s="115">
        <v>188</v>
      </c>
      <c r="L22" s="115">
        <v>114</v>
      </c>
      <c r="M22" s="115">
        <v>92</v>
      </c>
      <c r="N22" s="115">
        <v>88</v>
      </c>
      <c r="O22" s="115">
        <v>70</v>
      </c>
      <c r="P22" s="115">
        <v>57</v>
      </c>
      <c r="Q22" s="115">
        <v>66</v>
      </c>
      <c r="R22" s="118">
        <v>60</v>
      </c>
      <c r="S22" s="106">
        <v>31</v>
      </c>
      <c r="T22" s="106">
        <v>23</v>
      </c>
      <c r="U22" s="106">
        <v>46</v>
      </c>
      <c r="V22" s="106">
        <v>45</v>
      </c>
      <c r="W22" s="106">
        <v>29</v>
      </c>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row>
    <row r="23" spans="1:53" x14ac:dyDescent="0.25">
      <c r="A23" s="146"/>
      <c r="B23" s="51"/>
      <c r="C23" s="80"/>
      <c r="D23" s="51" t="s">
        <v>106</v>
      </c>
      <c r="E23" s="119"/>
      <c r="F23" s="115">
        <v>11</v>
      </c>
      <c r="G23" s="115">
        <v>7</v>
      </c>
      <c r="H23" s="115">
        <v>8</v>
      </c>
      <c r="I23" s="115">
        <v>11</v>
      </c>
      <c r="J23" s="115">
        <v>9</v>
      </c>
      <c r="K23" s="115">
        <v>1</v>
      </c>
      <c r="L23" s="115">
        <v>5</v>
      </c>
      <c r="M23" s="115">
        <v>11</v>
      </c>
      <c r="N23" s="115">
        <v>7</v>
      </c>
      <c r="O23" s="115">
        <v>1</v>
      </c>
      <c r="P23" s="115">
        <v>4</v>
      </c>
      <c r="Q23" s="115">
        <v>2</v>
      </c>
      <c r="R23" s="121">
        <v>3</v>
      </c>
      <c r="S23" s="81">
        <v>0</v>
      </c>
      <c r="T23" s="81">
        <v>0</v>
      </c>
      <c r="U23" s="106">
        <v>2</v>
      </c>
      <c r="V23" s="106">
        <v>3</v>
      </c>
      <c r="W23" s="106">
        <v>4</v>
      </c>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row>
    <row r="24" spans="1:53" x14ac:dyDescent="0.25">
      <c r="A24" s="146"/>
      <c r="B24" s="51" t="s">
        <v>111</v>
      </c>
      <c r="C24" s="81" t="s">
        <v>112</v>
      </c>
      <c r="D24" s="51" t="s">
        <v>109</v>
      </c>
      <c r="E24" s="119" t="s">
        <v>93</v>
      </c>
      <c r="F24" s="115">
        <v>19</v>
      </c>
      <c r="G24" s="115">
        <v>29</v>
      </c>
      <c r="H24" s="115">
        <v>26</v>
      </c>
      <c r="I24" s="115">
        <v>31</v>
      </c>
      <c r="J24" s="115">
        <v>40</v>
      </c>
      <c r="K24" s="115">
        <v>34</v>
      </c>
      <c r="L24" s="115">
        <v>23</v>
      </c>
      <c r="M24" s="115">
        <v>33</v>
      </c>
      <c r="N24" s="115">
        <v>36</v>
      </c>
      <c r="O24" s="115">
        <v>30</v>
      </c>
      <c r="P24" s="115">
        <v>32</v>
      </c>
      <c r="Q24" s="115">
        <v>35</v>
      </c>
      <c r="R24" s="118">
        <v>35</v>
      </c>
      <c r="S24" s="106">
        <v>20</v>
      </c>
      <c r="T24" s="106">
        <v>28</v>
      </c>
      <c r="U24" s="106">
        <v>21</v>
      </c>
      <c r="V24" s="106">
        <v>33</v>
      </c>
      <c r="W24" s="106">
        <v>20</v>
      </c>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row>
    <row r="25" spans="1:53" x14ac:dyDescent="0.25">
      <c r="A25" s="146"/>
      <c r="B25" s="48" t="s">
        <v>93</v>
      </c>
      <c r="C25" s="50" t="s">
        <v>93</v>
      </c>
      <c r="D25" s="99" t="s">
        <v>98</v>
      </c>
      <c r="E25" s="119" t="s">
        <v>93</v>
      </c>
      <c r="F25" s="115">
        <v>3</v>
      </c>
      <c r="G25" s="115">
        <v>2</v>
      </c>
      <c r="H25" s="115">
        <v>2</v>
      </c>
      <c r="I25" s="115">
        <v>0</v>
      </c>
      <c r="J25" s="115">
        <v>0</v>
      </c>
      <c r="K25" s="115">
        <v>0</v>
      </c>
      <c r="L25" s="115">
        <v>4</v>
      </c>
      <c r="M25" s="115">
        <v>0</v>
      </c>
      <c r="N25" s="115">
        <v>5</v>
      </c>
      <c r="O25" s="115">
        <v>8</v>
      </c>
      <c r="P25" s="115">
        <v>3</v>
      </c>
      <c r="Q25" s="115">
        <v>2</v>
      </c>
      <c r="R25" s="121">
        <v>2</v>
      </c>
      <c r="S25" s="81">
        <v>0</v>
      </c>
      <c r="T25" s="81">
        <v>2</v>
      </c>
      <c r="U25" s="81">
        <v>3</v>
      </c>
      <c r="V25" s="81">
        <v>1</v>
      </c>
      <c r="W25" s="81">
        <v>0</v>
      </c>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row>
    <row r="26" spans="1:53" x14ac:dyDescent="0.25">
      <c r="A26" s="146"/>
      <c r="B26" s="48" t="s">
        <v>93</v>
      </c>
      <c r="C26" s="50" t="s">
        <v>93</v>
      </c>
      <c r="D26" s="51" t="s">
        <v>100</v>
      </c>
      <c r="E26" s="119" t="s">
        <v>93</v>
      </c>
      <c r="F26" s="115">
        <v>356</v>
      </c>
      <c r="G26" s="115">
        <v>298</v>
      </c>
      <c r="H26" s="115">
        <v>275</v>
      </c>
      <c r="I26" s="115">
        <v>353</v>
      </c>
      <c r="J26" s="115">
        <v>295</v>
      </c>
      <c r="K26" s="115">
        <v>360</v>
      </c>
      <c r="L26" s="115">
        <v>383</v>
      </c>
      <c r="M26" s="115">
        <v>322</v>
      </c>
      <c r="N26" s="115">
        <v>406</v>
      </c>
      <c r="O26" s="115">
        <v>439</v>
      </c>
      <c r="P26" s="115">
        <v>340</v>
      </c>
      <c r="Q26" s="115">
        <v>392</v>
      </c>
      <c r="R26" s="118">
        <v>485</v>
      </c>
      <c r="S26" s="106">
        <v>325</v>
      </c>
      <c r="T26" s="106">
        <v>430</v>
      </c>
      <c r="U26" s="106">
        <v>521</v>
      </c>
      <c r="V26" s="106">
        <v>643</v>
      </c>
      <c r="W26" s="106">
        <v>865</v>
      </c>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row>
    <row r="27" spans="1:53" x14ac:dyDescent="0.25">
      <c r="A27" s="146"/>
      <c r="B27" s="48" t="s">
        <v>93</v>
      </c>
      <c r="C27" s="50" t="s">
        <v>93</v>
      </c>
      <c r="D27" s="51" t="s">
        <v>102</v>
      </c>
      <c r="E27" s="119" t="s">
        <v>93</v>
      </c>
      <c r="F27" s="115">
        <v>12</v>
      </c>
      <c r="G27" s="115">
        <v>11</v>
      </c>
      <c r="H27" s="115">
        <v>7</v>
      </c>
      <c r="I27" s="115">
        <v>10</v>
      </c>
      <c r="J27" s="115">
        <v>5</v>
      </c>
      <c r="K27" s="115">
        <v>8</v>
      </c>
      <c r="L27" s="115">
        <v>8</v>
      </c>
      <c r="M27" s="115">
        <v>11</v>
      </c>
      <c r="N27" s="115">
        <v>14</v>
      </c>
      <c r="O27" s="115">
        <v>21</v>
      </c>
      <c r="P27" s="115">
        <v>41</v>
      </c>
      <c r="Q27" s="115">
        <v>46</v>
      </c>
      <c r="R27" s="118">
        <v>37</v>
      </c>
      <c r="S27" s="106">
        <v>31</v>
      </c>
      <c r="T27" s="106">
        <v>26</v>
      </c>
      <c r="U27" s="106">
        <v>27</v>
      </c>
      <c r="V27" s="106">
        <v>27</v>
      </c>
      <c r="W27" s="106">
        <v>26</v>
      </c>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row>
    <row r="28" spans="1:53" x14ac:dyDescent="0.25">
      <c r="A28" s="146"/>
      <c r="B28" s="48" t="s">
        <v>93</v>
      </c>
      <c r="C28" s="50" t="s">
        <v>93</v>
      </c>
      <c r="D28" s="51" t="s">
        <v>104</v>
      </c>
      <c r="E28" s="119" t="s">
        <v>93</v>
      </c>
      <c r="F28" s="115">
        <v>601</v>
      </c>
      <c r="G28" s="115">
        <v>503</v>
      </c>
      <c r="H28" s="115">
        <v>518</v>
      </c>
      <c r="I28" s="115">
        <v>628</v>
      </c>
      <c r="J28" s="115">
        <v>473</v>
      </c>
      <c r="K28" s="115">
        <v>289</v>
      </c>
      <c r="L28" s="115">
        <v>303</v>
      </c>
      <c r="M28" s="115">
        <v>373</v>
      </c>
      <c r="N28" s="115">
        <v>354</v>
      </c>
      <c r="O28" s="115">
        <v>455</v>
      </c>
      <c r="P28" s="115">
        <v>382</v>
      </c>
      <c r="Q28" s="115">
        <v>508</v>
      </c>
      <c r="R28" s="118">
        <v>521</v>
      </c>
      <c r="S28" s="106">
        <v>404</v>
      </c>
      <c r="T28" s="106">
        <v>449</v>
      </c>
      <c r="U28" s="106">
        <v>369</v>
      </c>
      <c r="V28" s="106">
        <v>378</v>
      </c>
      <c r="W28" s="106">
        <v>450</v>
      </c>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row>
    <row r="29" spans="1:53" x14ac:dyDescent="0.25">
      <c r="A29" s="146"/>
      <c r="B29" s="48"/>
      <c r="C29" s="50"/>
      <c r="D29" s="51" t="s">
        <v>106</v>
      </c>
      <c r="E29" s="119"/>
      <c r="F29" s="115">
        <v>2</v>
      </c>
      <c r="G29" s="115">
        <v>7</v>
      </c>
      <c r="H29" s="115">
        <v>14</v>
      </c>
      <c r="I29" s="115">
        <v>3</v>
      </c>
      <c r="J29" s="115">
        <v>8</v>
      </c>
      <c r="K29" s="115">
        <v>5</v>
      </c>
      <c r="L29" s="115">
        <v>4</v>
      </c>
      <c r="M29" s="115">
        <v>7</v>
      </c>
      <c r="N29" s="115">
        <v>10</v>
      </c>
      <c r="O29" s="115">
        <v>9</v>
      </c>
      <c r="P29" s="115">
        <v>5</v>
      </c>
      <c r="Q29" s="115">
        <v>12</v>
      </c>
      <c r="R29" s="121">
        <v>12</v>
      </c>
      <c r="S29" s="81">
        <v>8</v>
      </c>
      <c r="T29" s="81">
        <v>7</v>
      </c>
      <c r="U29" s="81">
        <v>4</v>
      </c>
      <c r="V29" s="81">
        <v>3</v>
      </c>
      <c r="W29" s="81">
        <v>2</v>
      </c>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row>
    <row r="30" spans="1:53" x14ac:dyDescent="0.25">
      <c r="A30" s="146"/>
      <c r="B30" s="48" t="s">
        <v>99</v>
      </c>
      <c r="C30" s="50" t="s">
        <v>113</v>
      </c>
      <c r="D30" s="51" t="s">
        <v>109</v>
      </c>
      <c r="E30" s="119" t="s">
        <v>93</v>
      </c>
      <c r="F30" s="115">
        <v>0</v>
      </c>
      <c r="G30" s="115">
        <v>0</v>
      </c>
      <c r="H30" s="115">
        <v>0</v>
      </c>
      <c r="I30" s="115">
        <v>0</v>
      </c>
      <c r="J30" s="115">
        <v>1</v>
      </c>
      <c r="K30" s="115">
        <v>1</v>
      </c>
      <c r="L30" s="115">
        <v>0</v>
      </c>
      <c r="M30" s="115">
        <v>0</v>
      </c>
      <c r="N30" s="115">
        <v>0</v>
      </c>
      <c r="O30" s="115">
        <v>0</v>
      </c>
      <c r="P30" s="115">
        <v>0</v>
      </c>
      <c r="Q30" s="115">
        <v>0</v>
      </c>
      <c r="R30" s="121">
        <v>0</v>
      </c>
      <c r="S30" s="81">
        <v>0</v>
      </c>
      <c r="T30" s="81">
        <v>2</v>
      </c>
      <c r="U30" s="24">
        <v>0</v>
      </c>
      <c r="V30" s="24">
        <v>0</v>
      </c>
      <c r="W30" s="24">
        <v>0</v>
      </c>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row>
    <row r="31" spans="1:53" x14ac:dyDescent="0.25">
      <c r="A31" s="146"/>
      <c r="B31" s="48" t="s">
        <v>93</v>
      </c>
      <c r="C31" s="48" t="s">
        <v>93</v>
      </c>
      <c r="D31" s="99" t="s">
        <v>98</v>
      </c>
      <c r="E31" s="119" t="s">
        <v>93</v>
      </c>
      <c r="F31" s="81">
        <v>0</v>
      </c>
      <c r="G31" s="81">
        <v>0</v>
      </c>
      <c r="H31" s="81">
        <v>0</v>
      </c>
      <c r="I31" s="81">
        <v>0</v>
      </c>
      <c r="J31" s="81">
        <v>0</v>
      </c>
      <c r="K31" s="81">
        <v>0</v>
      </c>
      <c r="L31" s="81">
        <v>0</v>
      </c>
      <c r="M31" s="81">
        <v>0</v>
      </c>
      <c r="N31" s="81">
        <v>0</v>
      </c>
      <c r="O31" s="81">
        <v>0</v>
      </c>
      <c r="P31" s="81">
        <v>0</v>
      </c>
      <c r="Q31" s="81">
        <v>0</v>
      </c>
      <c r="R31" s="121">
        <v>0</v>
      </c>
      <c r="S31" s="81">
        <v>0</v>
      </c>
      <c r="T31" s="81">
        <v>0</v>
      </c>
      <c r="U31" s="24">
        <v>0</v>
      </c>
      <c r="V31" s="24">
        <v>0</v>
      </c>
      <c r="W31" s="24">
        <v>0</v>
      </c>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row>
    <row r="32" spans="1:53" x14ac:dyDescent="0.25">
      <c r="A32" s="146"/>
      <c r="B32" s="48" t="s">
        <v>93</v>
      </c>
      <c r="C32" s="48" t="s">
        <v>93</v>
      </c>
      <c r="D32" s="51" t="s">
        <v>100</v>
      </c>
      <c r="E32" s="119" t="s">
        <v>93</v>
      </c>
      <c r="F32" s="81">
        <v>0</v>
      </c>
      <c r="G32" s="81">
        <v>0</v>
      </c>
      <c r="H32" s="81">
        <v>0</v>
      </c>
      <c r="I32" s="81">
        <v>0</v>
      </c>
      <c r="J32" s="81">
        <v>0</v>
      </c>
      <c r="K32" s="81">
        <v>0</v>
      </c>
      <c r="L32" s="81">
        <v>0</v>
      </c>
      <c r="M32" s="81">
        <v>0</v>
      </c>
      <c r="N32" s="81">
        <v>0</v>
      </c>
      <c r="O32" s="81">
        <v>0</v>
      </c>
      <c r="P32" s="81">
        <v>0</v>
      </c>
      <c r="Q32" s="81">
        <v>0</v>
      </c>
      <c r="R32" s="121">
        <v>0</v>
      </c>
      <c r="S32" s="81">
        <v>0</v>
      </c>
      <c r="T32" s="81">
        <v>0</v>
      </c>
      <c r="U32" s="24">
        <v>0</v>
      </c>
      <c r="V32" s="24">
        <v>0</v>
      </c>
      <c r="W32" s="24">
        <v>0</v>
      </c>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row>
    <row r="33" spans="1:53" x14ac:dyDescent="0.25">
      <c r="A33" s="146"/>
      <c r="B33" s="48" t="s">
        <v>93</v>
      </c>
      <c r="C33" s="48" t="s">
        <v>93</v>
      </c>
      <c r="D33" s="51" t="s">
        <v>102</v>
      </c>
      <c r="E33" s="119" t="s">
        <v>93</v>
      </c>
      <c r="F33" s="81">
        <v>0</v>
      </c>
      <c r="G33" s="81">
        <v>0</v>
      </c>
      <c r="H33" s="81">
        <v>0</v>
      </c>
      <c r="I33" s="81">
        <v>0</v>
      </c>
      <c r="J33" s="81">
        <v>0</v>
      </c>
      <c r="K33" s="81">
        <v>0</v>
      </c>
      <c r="L33" s="81">
        <v>0</v>
      </c>
      <c r="M33" s="81">
        <v>0</v>
      </c>
      <c r="N33" s="81">
        <v>0</v>
      </c>
      <c r="O33" s="81">
        <v>0</v>
      </c>
      <c r="P33" s="81">
        <v>0</v>
      </c>
      <c r="Q33" s="81">
        <v>0</v>
      </c>
      <c r="R33" s="120">
        <v>1</v>
      </c>
      <c r="S33" s="110">
        <v>0</v>
      </c>
      <c r="T33" s="110">
        <v>0</v>
      </c>
      <c r="U33" s="112">
        <v>0</v>
      </c>
      <c r="V33" s="112">
        <v>0</v>
      </c>
      <c r="W33" s="112">
        <v>0</v>
      </c>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row>
    <row r="34" spans="1:53" x14ac:dyDescent="0.25">
      <c r="A34" s="146"/>
      <c r="B34" s="48" t="s">
        <v>93</v>
      </c>
      <c r="C34" s="48" t="s">
        <v>93</v>
      </c>
      <c r="D34" s="51" t="s">
        <v>104</v>
      </c>
      <c r="E34" s="119" t="s">
        <v>93</v>
      </c>
      <c r="F34" s="81">
        <v>0</v>
      </c>
      <c r="G34" s="81">
        <v>0</v>
      </c>
      <c r="H34" s="81">
        <v>0</v>
      </c>
      <c r="I34" s="81">
        <v>0</v>
      </c>
      <c r="J34" s="81">
        <v>0</v>
      </c>
      <c r="K34" s="81">
        <v>0</v>
      </c>
      <c r="L34" s="81">
        <v>0</v>
      </c>
      <c r="M34" s="81">
        <v>0</v>
      </c>
      <c r="N34" s="81">
        <v>0</v>
      </c>
      <c r="O34" s="81">
        <v>0</v>
      </c>
      <c r="P34" s="81">
        <v>0</v>
      </c>
      <c r="Q34" s="81">
        <v>0</v>
      </c>
      <c r="R34" s="121">
        <v>0</v>
      </c>
      <c r="S34" s="81">
        <v>0</v>
      </c>
      <c r="T34" s="81">
        <v>0</v>
      </c>
      <c r="U34" s="81">
        <v>0</v>
      </c>
      <c r="V34" s="81">
        <v>0</v>
      </c>
      <c r="W34" s="81">
        <v>0</v>
      </c>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row>
    <row r="35" spans="1:53" x14ac:dyDescent="0.25">
      <c r="A35" s="146"/>
      <c r="B35" s="48"/>
      <c r="C35" s="48"/>
      <c r="D35" s="51" t="s">
        <v>106</v>
      </c>
      <c r="E35" s="119"/>
      <c r="F35" s="81">
        <v>0</v>
      </c>
      <c r="G35" s="81">
        <v>1</v>
      </c>
      <c r="H35" s="81">
        <v>0</v>
      </c>
      <c r="I35" s="81">
        <v>0</v>
      </c>
      <c r="J35" s="81">
        <v>0</v>
      </c>
      <c r="K35" s="81">
        <v>0</v>
      </c>
      <c r="L35" s="81">
        <v>0</v>
      </c>
      <c r="M35" s="81">
        <v>0</v>
      </c>
      <c r="N35" s="81">
        <v>0</v>
      </c>
      <c r="O35" s="81">
        <v>0</v>
      </c>
      <c r="P35" s="81">
        <v>0</v>
      </c>
      <c r="Q35" s="81">
        <v>0</v>
      </c>
      <c r="R35" s="121">
        <v>1</v>
      </c>
      <c r="S35" s="81">
        <v>0</v>
      </c>
      <c r="T35" s="81">
        <v>0</v>
      </c>
      <c r="U35" s="24">
        <v>0</v>
      </c>
      <c r="V35" s="24">
        <v>0</v>
      </c>
      <c r="W35" s="24">
        <v>0</v>
      </c>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row>
    <row r="36" spans="1:53" x14ac:dyDescent="0.25">
      <c r="A36" s="146"/>
      <c r="B36" s="48" t="s">
        <v>101</v>
      </c>
      <c r="C36" s="50" t="s">
        <v>114</v>
      </c>
      <c r="D36" s="51" t="s">
        <v>109</v>
      </c>
      <c r="E36" s="119" t="s">
        <v>93</v>
      </c>
      <c r="F36" s="115">
        <v>7</v>
      </c>
      <c r="G36" s="115">
        <v>3</v>
      </c>
      <c r="H36" s="115">
        <v>1</v>
      </c>
      <c r="I36" s="115">
        <v>1</v>
      </c>
      <c r="J36" s="115">
        <v>2</v>
      </c>
      <c r="K36" s="115">
        <v>0</v>
      </c>
      <c r="L36" s="115">
        <v>1</v>
      </c>
      <c r="M36" s="115">
        <v>2</v>
      </c>
      <c r="N36" s="115">
        <v>1</v>
      </c>
      <c r="O36" s="115">
        <v>3</v>
      </c>
      <c r="P36" s="115">
        <v>13</v>
      </c>
      <c r="Q36" s="115">
        <v>6</v>
      </c>
      <c r="R36" s="118">
        <v>3</v>
      </c>
      <c r="S36" s="106">
        <v>2</v>
      </c>
      <c r="T36" s="106">
        <v>2</v>
      </c>
      <c r="U36" s="106">
        <v>1</v>
      </c>
      <c r="V36" s="106">
        <v>2</v>
      </c>
      <c r="W36" s="106">
        <v>1</v>
      </c>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row>
    <row r="37" spans="1:53" x14ac:dyDescent="0.25">
      <c r="A37" s="146"/>
      <c r="B37" s="53" t="s">
        <v>93</v>
      </c>
      <c r="C37" s="54" t="s">
        <v>93</v>
      </c>
      <c r="D37" s="99" t="s">
        <v>98</v>
      </c>
      <c r="E37" s="119" t="s">
        <v>93</v>
      </c>
      <c r="F37" s="115">
        <v>1</v>
      </c>
      <c r="G37" s="115">
        <v>0</v>
      </c>
      <c r="H37" s="115">
        <v>1</v>
      </c>
      <c r="I37" s="115">
        <v>1</v>
      </c>
      <c r="J37" s="115">
        <v>0</v>
      </c>
      <c r="K37" s="115">
        <v>1</v>
      </c>
      <c r="L37" s="115">
        <v>1</v>
      </c>
      <c r="M37" s="115">
        <v>2</v>
      </c>
      <c r="N37" s="115">
        <v>0</v>
      </c>
      <c r="O37" s="115">
        <v>2</v>
      </c>
      <c r="P37" s="115">
        <v>0</v>
      </c>
      <c r="Q37" s="115">
        <v>0</v>
      </c>
      <c r="R37" s="121">
        <v>0</v>
      </c>
      <c r="S37" s="81">
        <v>2</v>
      </c>
      <c r="T37" s="81">
        <v>0</v>
      </c>
      <c r="U37" s="81">
        <v>1</v>
      </c>
      <c r="V37" s="81">
        <v>0</v>
      </c>
      <c r="W37" s="81">
        <v>0</v>
      </c>
      <c r="X37" s="46" t="s">
        <v>93</v>
      </c>
      <c r="Y37" s="46" t="s">
        <v>93</v>
      </c>
      <c r="Z37" s="46" t="s">
        <v>93</v>
      </c>
      <c r="AA37" s="46" t="s">
        <v>93</v>
      </c>
      <c r="AB37" s="46" t="s">
        <v>93</v>
      </c>
      <c r="AC37" s="46" t="s">
        <v>93</v>
      </c>
      <c r="AD37" s="46" t="s">
        <v>93</v>
      </c>
      <c r="AE37" s="46" t="s">
        <v>93</v>
      </c>
      <c r="AF37" s="46" t="s">
        <v>93</v>
      </c>
      <c r="AG37" s="46" t="s">
        <v>93</v>
      </c>
      <c r="AH37" s="46" t="s">
        <v>93</v>
      </c>
      <c r="AI37" s="46" t="s">
        <v>93</v>
      </c>
      <c r="AJ37" s="46" t="s">
        <v>93</v>
      </c>
      <c r="AK37" s="46" t="s">
        <v>93</v>
      </c>
      <c r="AL37" s="46" t="s">
        <v>93</v>
      </c>
      <c r="AM37" s="46" t="s">
        <v>93</v>
      </c>
      <c r="AN37" s="46" t="s">
        <v>93</v>
      </c>
      <c r="AO37" s="46" t="s">
        <v>93</v>
      </c>
      <c r="AP37" s="46" t="s">
        <v>93</v>
      </c>
      <c r="AQ37" s="46" t="s">
        <v>93</v>
      </c>
      <c r="AR37" s="46" t="s">
        <v>93</v>
      </c>
      <c r="AS37" s="46" t="s">
        <v>93</v>
      </c>
      <c r="AT37" s="46" t="s">
        <v>93</v>
      </c>
      <c r="AU37" s="46" t="s">
        <v>93</v>
      </c>
      <c r="AV37" s="46" t="s">
        <v>93</v>
      </c>
      <c r="AW37" s="46" t="s">
        <v>93</v>
      </c>
      <c r="AX37" s="46" t="s">
        <v>93</v>
      </c>
      <c r="AY37" s="46" t="s">
        <v>93</v>
      </c>
      <c r="AZ37" s="46"/>
      <c r="BA37" s="46"/>
    </row>
    <row r="38" spans="1:53" x14ac:dyDescent="0.25">
      <c r="A38" s="146"/>
      <c r="B38" s="53" t="s">
        <v>93</v>
      </c>
      <c r="C38" s="54" t="s">
        <v>93</v>
      </c>
      <c r="D38" s="51" t="s">
        <v>100</v>
      </c>
      <c r="E38" s="119" t="s">
        <v>93</v>
      </c>
      <c r="F38" s="115">
        <v>927</v>
      </c>
      <c r="G38" s="115">
        <v>897</v>
      </c>
      <c r="H38" s="115">
        <v>927</v>
      </c>
      <c r="I38" s="115">
        <v>840</v>
      </c>
      <c r="J38" s="115">
        <v>722</v>
      </c>
      <c r="K38" s="115">
        <v>963</v>
      </c>
      <c r="L38" s="115">
        <v>787</v>
      </c>
      <c r="M38" s="115">
        <v>674</v>
      </c>
      <c r="N38" s="115">
        <v>650</v>
      </c>
      <c r="O38" s="115">
        <v>468</v>
      </c>
      <c r="P38" s="115">
        <v>609</v>
      </c>
      <c r="Q38" s="115">
        <v>645</v>
      </c>
      <c r="R38" s="118">
        <v>541</v>
      </c>
      <c r="S38" s="106">
        <v>416</v>
      </c>
      <c r="T38" s="106">
        <v>529</v>
      </c>
      <c r="U38" s="106">
        <v>379</v>
      </c>
      <c r="V38" s="106">
        <v>224</v>
      </c>
      <c r="W38" s="106">
        <v>187</v>
      </c>
      <c r="X38" s="46" t="s">
        <v>93</v>
      </c>
      <c r="Y38" s="46" t="s">
        <v>93</v>
      </c>
      <c r="Z38" s="46" t="s">
        <v>93</v>
      </c>
      <c r="AA38" s="46" t="s">
        <v>93</v>
      </c>
      <c r="AB38" s="46" t="s">
        <v>93</v>
      </c>
      <c r="AC38" s="46" t="s">
        <v>93</v>
      </c>
      <c r="AD38" s="46" t="s">
        <v>93</v>
      </c>
      <c r="AE38" s="46" t="s">
        <v>93</v>
      </c>
      <c r="AF38" s="46" t="s">
        <v>93</v>
      </c>
      <c r="AG38" s="46" t="s">
        <v>93</v>
      </c>
      <c r="AH38" s="46" t="s">
        <v>93</v>
      </c>
      <c r="AI38" s="46" t="s">
        <v>93</v>
      </c>
      <c r="AJ38" s="46" t="s">
        <v>93</v>
      </c>
      <c r="AK38" s="46" t="s">
        <v>93</v>
      </c>
      <c r="AL38" s="46" t="s">
        <v>93</v>
      </c>
      <c r="AM38" s="46" t="s">
        <v>93</v>
      </c>
      <c r="AN38" s="46" t="s">
        <v>93</v>
      </c>
      <c r="AO38" s="46" t="s">
        <v>93</v>
      </c>
      <c r="AP38" s="46" t="s">
        <v>93</v>
      </c>
      <c r="AQ38" s="46" t="s">
        <v>93</v>
      </c>
      <c r="AR38" s="46" t="s">
        <v>93</v>
      </c>
      <c r="AS38" s="46" t="s">
        <v>93</v>
      </c>
      <c r="AT38" s="46" t="s">
        <v>93</v>
      </c>
      <c r="AU38" s="46" t="s">
        <v>93</v>
      </c>
      <c r="AV38" s="46" t="s">
        <v>93</v>
      </c>
      <c r="AW38" s="46" t="s">
        <v>93</v>
      </c>
      <c r="AX38" s="46" t="s">
        <v>93</v>
      </c>
      <c r="AY38" s="46" t="s">
        <v>93</v>
      </c>
      <c r="AZ38" s="46"/>
      <c r="BA38" s="46"/>
    </row>
    <row r="39" spans="1:53" x14ac:dyDescent="0.25">
      <c r="A39" s="146"/>
      <c r="B39" s="53" t="s">
        <v>93</v>
      </c>
      <c r="C39" s="54" t="s">
        <v>93</v>
      </c>
      <c r="D39" s="51" t="s">
        <v>102</v>
      </c>
      <c r="E39" s="119" t="s">
        <v>93</v>
      </c>
      <c r="F39" s="115">
        <v>3</v>
      </c>
      <c r="G39" s="115">
        <v>0</v>
      </c>
      <c r="H39" s="115">
        <v>0</v>
      </c>
      <c r="I39" s="115">
        <v>1</v>
      </c>
      <c r="J39" s="115">
        <v>0</v>
      </c>
      <c r="K39" s="115">
        <v>0</v>
      </c>
      <c r="L39" s="115">
        <v>2</v>
      </c>
      <c r="M39" s="115">
        <v>0</v>
      </c>
      <c r="N39" s="115">
        <v>1</v>
      </c>
      <c r="O39" s="115">
        <v>3</v>
      </c>
      <c r="P39" s="115">
        <v>3</v>
      </c>
      <c r="Q39" s="115">
        <v>3</v>
      </c>
      <c r="R39" s="121">
        <v>3</v>
      </c>
      <c r="S39" s="81">
        <v>0</v>
      </c>
      <c r="T39" s="81">
        <v>0</v>
      </c>
      <c r="U39" s="81">
        <v>0</v>
      </c>
      <c r="V39" s="81">
        <v>0</v>
      </c>
      <c r="W39" s="81">
        <v>0</v>
      </c>
      <c r="X39" s="46" t="s">
        <v>93</v>
      </c>
      <c r="Y39" s="46" t="s">
        <v>93</v>
      </c>
      <c r="Z39" s="46" t="s">
        <v>93</v>
      </c>
      <c r="AA39" s="46" t="s">
        <v>93</v>
      </c>
      <c r="AB39" s="46" t="s">
        <v>93</v>
      </c>
      <c r="AC39" s="46" t="s">
        <v>93</v>
      </c>
      <c r="AD39" s="46" t="s">
        <v>93</v>
      </c>
      <c r="AE39" s="46" t="s">
        <v>93</v>
      </c>
      <c r="AF39" s="46" t="s">
        <v>93</v>
      </c>
      <c r="AG39" s="46" t="s">
        <v>93</v>
      </c>
      <c r="AH39" s="46" t="s">
        <v>93</v>
      </c>
      <c r="AI39" s="46" t="s">
        <v>93</v>
      </c>
      <c r="AJ39" s="46" t="s">
        <v>93</v>
      </c>
      <c r="AK39" s="46" t="s">
        <v>93</v>
      </c>
      <c r="AL39" s="46" t="s">
        <v>93</v>
      </c>
      <c r="AM39" s="46" t="s">
        <v>93</v>
      </c>
      <c r="AN39" s="46" t="s">
        <v>93</v>
      </c>
      <c r="AO39" s="46" t="s">
        <v>93</v>
      </c>
      <c r="AP39" s="46" t="s">
        <v>93</v>
      </c>
      <c r="AQ39" s="46" t="s">
        <v>93</v>
      </c>
      <c r="AR39" s="46" t="s">
        <v>93</v>
      </c>
      <c r="AS39" s="46" t="s">
        <v>93</v>
      </c>
      <c r="AT39" s="46" t="s">
        <v>93</v>
      </c>
      <c r="AU39" s="46" t="s">
        <v>93</v>
      </c>
      <c r="AV39" s="46" t="s">
        <v>93</v>
      </c>
      <c r="AW39" s="46" t="s">
        <v>93</v>
      </c>
      <c r="AX39" s="46" t="s">
        <v>93</v>
      </c>
      <c r="AY39" s="46" t="s">
        <v>93</v>
      </c>
      <c r="AZ39" s="46"/>
      <c r="BA39" s="46"/>
    </row>
    <row r="40" spans="1:53" x14ac:dyDescent="0.25">
      <c r="A40" s="146"/>
      <c r="B40" s="53" t="s">
        <v>93</v>
      </c>
      <c r="C40" s="54" t="s">
        <v>93</v>
      </c>
      <c r="D40" s="51" t="s">
        <v>104</v>
      </c>
      <c r="E40" s="119" t="s">
        <v>93</v>
      </c>
      <c r="F40" s="115">
        <v>125</v>
      </c>
      <c r="G40" s="115">
        <v>115</v>
      </c>
      <c r="H40" s="115">
        <v>104</v>
      </c>
      <c r="I40" s="115">
        <v>116</v>
      </c>
      <c r="J40" s="115">
        <v>97</v>
      </c>
      <c r="K40" s="115">
        <v>104</v>
      </c>
      <c r="L40" s="115">
        <v>149</v>
      </c>
      <c r="M40" s="115">
        <v>133</v>
      </c>
      <c r="N40" s="115">
        <v>109</v>
      </c>
      <c r="O40" s="115">
        <v>93</v>
      </c>
      <c r="P40" s="115">
        <v>115</v>
      </c>
      <c r="Q40" s="115">
        <v>137</v>
      </c>
      <c r="R40" s="118">
        <v>128</v>
      </c>
      <c r="S40" s="106">
        <v>85</v>
      </c>
      <c r="T40" s="106">
        <v>97</v>
      </c>
      <c r="U40" s="106">
        <v>94</v>
      </c>
      <c r="V40" s="106">
        <v>40</v>
      </c>
      <c r="W40" s="106">
        <v>37</v>
      </c>
      <c r="X40" s="46" t="s">
        <v>93</v>
      </c>
      <c r="Y40" s="46" t="s">
        <v>93</v>
      </c>
      <c r="Z40" s="46" t="s">
        <v>93</v>
      </c>
      <c r="AA40" s="46" t="s">
        <v>93</v>
      </c>
      <c r="AB40" s="46" t="s">
        <v>93</v>
      </c>
      <c r="AC40" s="46" t="s">
        <v>93</v>
      </c>
      <c r="AD40" s="46" t="s">
        <v>93</v>
      </c>
      <c r="AE40" s="46" t="s">
        <v>93</v>
      </c>
      <c r="AF40" s="46" t="s">
        <v>93</v>
      </c>
      <c r="AG40" s="46" t="s">
        <v>93</v>
      </c>
      <c r="AH40" s="46" t="s">
        <v>93</v>
      </c>
      <c r="AI40" s="46" t="s">
        <v>93</v>
      </c>
      <c r="AJ40" s="46" t="s">
        <v>93</v>
      </c>
      <c r="AK40" s="46" t="s">
        <v>93</v>
      </c>
      <c r="AL40" s="46" t="s">
        <v>93</v>
      </c>
      <c r="AM40" s="46" t="s">
        <v>93</v>
      </c>
      <c r="AN40" s="46" t="s">
        <v>93</v>
      </c>
      <c r="AO40" s="46" t="s">
        <v>93</v>
      </c>
      <c r="AP40" s="46" t="s">
        <v>93</v>
      </c>
      <c r="AQ40" s="46" t="s">
        <v>93</v>
      </c>
      <c r="AR40" s="46" t="s">
        <v>93</v>
      </c>
      <c r="AS40" s="46" t="s">
        <v>93</v>
      </c>
      <c r="AT40" s="46" t="s">
        <v>93</v>
      </c>
      <c r="AU40" s="46" t="s">
        <v>93</v>
      </c>
      <c r="AV40" s="46" t="s">
        <v>93</v>
      </c>
      <c r="AW40" s="46" t="s">
        <v>93</v>
      </c>
      <c r="AX40" s="46" t="s">
        <v>93</v>
      </c>
      <c r="AY40" s="46" t="s">
        <v>93</v>
      </c>
      <c r="AZ40" s="46"/>
      <c r="BA40" s="46"/>
    </row>
    <row r="41" spans="1:53" x14ac:dyDescent="0.25">
      <c r="A41" s="146"/>
      <c r="B41" s="53"/>
      <c r="C41" s="54"/>
      <c r="D41" s="51" t="s">
        <v>106</v>
      </c>
      <c r="E41" s="119"/>
      <c r="F41" s="115">
        <v>0</v>
      </c>
      <c r="G41" s="115">
        <v>0</v>
      </c>
      <c r="H41" s="115">
        <v>1</v>
      </c>
      <c r="I41" s="115">
        <v>0</v>
      </c>
      <c r="J41" s="115">
        <v>0</v>
      </c>
      <c r="K41" s="115">
        <v>0</v>
      </c>
      <c r="L41" s="115">
        <v>1</v>
      </c>
      <c r="M41" s="115">
        <v>1</v>
      </c>
      <c r="N41" s="115">
        <v>0</v>
      </c>
      <c r="O41" s="115">
        <v>0</v>
      </c>
      <c r="P41" s="115">
        <v>3</v>
      </c>
      <c r="Q41" s="115">
        <v>0</v>
      </c>
      <c r="R41" s="121">
        <v>2</v>
      </c>
      <c r="S41" s="81">
        <v>1</v>
      </c>
      <c r="T41" s="81">
        <v>0</v>
      </c>
      <c r="U41" s="81">
        <v>2</v>
      </c>
      <c r="V41" s="81">
        <v>1</v>
      </c>
      <c r="W41" s="81">
        <v>0</v>
      </c>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row>
    <row r="42" spans="1:53" x14ac:dyDescent="0.25">
      <c r="A42" s="146"/>
      <c r="B42" s="53" t="s">
        <v>115</v>
      </c>
      <c r="C42" s="54" t="s">
        <v>116</v>
      </c>
      <c r="D42" s="51" t="s">
        <v>109</v>
      </c>
      <c r="E42" s="119" t="s">
        <v>93</v>
      </c>
      <c r="F42" s="81">
        <v>0</v>
      </c>
      <c r="G42" s="81">
        <v>0</v>
      </c>
      <c r="H42" s="81">
        <v>0</v>
      </c>
      <c r="I42" s="81">
        <v>0</v>
      </c>
      <c r="J42" s="81">
        <v>0</v>
      </c>
      <c r="K42" s="81">
        <v>0</v>
      </c>
      <c r="L42" s="81">
        <v>0</v>
      </c>
      <c r="M42" s="81">
        <v>0</v>
      </c>
      <c r="N42" s="81">
        <v>0</v>
      </c>
      <c r="O42" s="81">
        <v>0</v>
      </c>
      <c r="P42" s="81">
        <v>0</v>
      </c>
      <c r="Q42" s="81">
        <v>0</v>
      </c>
      <c r="R42" s="121">
        <v>0</v>
      </c>
      <c r="S42" s="81">
        <v>0</v>
      </c>
      <c r="T42" s="81">
        <v>0</v>
      </c>
      <c r="U42" s="81">
        <v>0</v>
      </c>
      <c r="V42" s="81">
        <v>0</v>
      </c>
      <c r="W42" s="81">
        <v>0</v>
      </c>
      <c r="X42" s="46" t="s">
        <v>93</v>
      </c>
      <c r="Y42" s="46" t="s">
        <v>93</v>
      </c>
      <c r="Z42" s="46" t="s">
        <v>93</v>
      </c>
      <c r="AA42" s="46" t="s">
        <v>93</v>
      </c>
      <c r="AB42" s="46" t="s">
        <v>93</v>
      </c>
      <c r="AC42" s="46" t="s">
        <v>93</v>
      </c>
      <c r="AD42" s="46" t="s">
        <v>93</v>
      </c>
      <c r="AE42" s="46" t="s">
        <v>93</v>
      </c>
      <c r="AF42" s="46" t="s">
        <v>93</v>
      </c>
      <c r="AG42" s="46" t="s">
        <v>93</v>
      </c>
      <c r="AH42" s="46" t="s">
        <v>93</v>
      </c>
      <c r="AI42" s="46" t="s">
        <v>93</v>
      </c>
      <c r="AJ42" s="46" t="s">
        <v>93</v>
      </c>
      <c r="AK42" s="46" t="s">
        <v>93</v>
      </c>
      <c r="AL42" s="46" t="s">
        <v>93</v>
      </c>
      <c r="AM42" s="46" t="s">
        <v>93</v>
      </c>
      <c r="AN42" s="46" t="s">
        <v>93</v>
      </c>
      <c r="AO42" s="46" t="s">
        <v>93</v>
      </c>
      <c r="AP42" s="46" t="s">
        <v>93</v>
      </c>
      <c r="AQ42" s="46" t="s">
        <v>93</v>
      </c>
      <c r="AR42" s="46" t="s">
        <v>93</v>
      </c>
      <c r="AS42" s="46" t="s">
        <v>93</v>
      </c>
      <c r="AT42" s="46" t="s">
        <v>93</v>
      </c>
      <c r="AU42" s="46" t="s">
        <v>93</v>
      </c>
      <c r="AV42" s="46" t="s">
        <v>93</v>
      </c>
      <c r="AW42" s="46" t="s">
        <v>93</v>
      </c>
      <c r="AX42" s="46" t="s">
        <v>93</v>
      </c>
      <c r="AY42" s="46" t="s">
        <v>93</v>
      </c>
      <c r="AZ42" s="46"/>
      <c r="BA42" s="46"/>
    </row>
    <row r="43" spans="1:53" x14ac:dyDescent="0.25">
      <c r="A43" s="146"/>
      <c r="B43" s="53" t="s">
        <v>93</v>
      </c>
      <c r="C43" s="54" t="s">
        <v>93</v>
      </c>
      <c r="D43" s="99" t="s">
        <v>98</v>
      </c>
      <c r="E43" s="119" t="s">
        <v>93</v>
      </c>
      <c r="F43" s="81">
        <v>0</v>
      </c>
      <c r="G43" s="81">
        <v>0</v>
      </c>
      <c r="H43" s="81">
        <v>0</v>
      </c>
      <c r="I43" s="81">
        <v>0</v>
      </c>
      <c r="J43" s="81">
        <v>0</v>
      </c>
      <c r="K43" s="81">
        <v>0</v>
      </c>
      <c r="L43" s="81">
        <v>0</v>
      </c>
      <c r="M43" s="81">
        <v>0</v>
      </c>
      <c r="N43" s="81">
        <v>0</v>
      </c>
      <c r="O43" s="81">
        <v>0</v>
      </c>
      <c r="P43" s="81">
        <v>0</v>
      </c>
      <c r="Q43" s="81">
        <v>0</v>
      </c>
      <c r="R43" s="121">
        <v>0</v>
      </c>
      <c r="S43" s="81">
        <v>0</v>
      </c>
      <c r="T43" s="81">
        <v>0</v>
      </c>
      <c r="U43" s="81">
        <v>0</v>
      </c>
      <c r="V43" s="81">
        <v>0</v>
      </c>
      <c r="W43" s="81">
        <v>0</v>
      </c>
      <c r="X43" s="46" t="s">
        <v>93</v>
      </c>
      <c r="Y43" s="46" t="s">
        <v>93</v>
      </c>
      <c r="Z43" s="46" t="s">
        <v>93</v>
      </c>
      <c r="AA43" s="46" t="s">
        <v>93</v>
      </c>
      <c r="AB43" s="46" t="s">
        <v>93</v>
      </c>
      <c r="AC43" s="46" t="s">
        <v>93</v>
      </c>
      <c r="AD43" s="46" t="s">
        <v>93</v>
      </c>
      <c r="AE43" s="46" t="s">
        <v>93</v>
      </c>
      <c r="AF43" s="46" t="s">
        <v>93</v>
      </c>
      <c r="AG43" s="46" t="s">
        <v>93</v>
      </c>
      <c r="AH43" s="46" t="s">
        <v>93</v>
      </c>
      <c r="AI43" s="46" t="s">
        <v>93</v>
      </c>
      <c r="AJ43" s="46" t="s">
        <v>93</v>
      </c>
      <c r="AK43" s="46" t="s">
        <v>93</v>
      </c>
      <c r="AL43" s="46" t="s">
        <v>93</v>
      </c>
      <c r="AM43" s="46" t="s">
        <v>93</v>
      </c>
      <c r="AN43" s="46" t="s">
        <v>93</v>
      </c>
      <c r="AO43" s="46" t="s">
        <v>93</v>
      </c>
      <c r="AP43" s="46" t="s">
        <v>93</v>
      </c>
      <c r="AQ43" s="46" t="s">
        <v>93</v>
      </c>
      <c r="AR43" s="46" t="s">
        <v>93</v>
      </c>
      <c r="AS43" s="46" t="s">
        <v>93</v>
      </c>
      <c r="AT43" s="46" t="s">
        <v>93</v>
      </c>
      <c r="AU43" s="46" t="s">
        <v>93</v>
      </c>
      <c r="AV43" s="46" t="s">
        <v>93</v>
      </c>
      <c r="AW43" s="46" t="s">
        <v>93</v>
      </c>
      <c r="AX43" s="46" t="s">
        <v>93</v>
      </c>
      <c r="AY43" s="46" t="s">
        <v>93</v>
      </c>
      <c r="AZ43" s="46"/>
      <c r="BA43" s="46"/>
    </row>
    <row r="44" spans="1:53" x14ac:dyDescent="0.25">
      <c r="A44" s="146"/>
      <c r="B44" s="53" t="s">
        <v>93</v>
      </c>
      <c r="C44" s="54" t="s">
        <v>93</v>
      </c>
      <c r="D44" s="55" t="s">
        <v>100</v>
      </c>
      <c r="E44" s="119" t="s">
        <v>93</v>
      </c>
      <c r="F44" s="81">
        <v>0</v>
      </c>
      <c r="G44" s="81">
        <v>0</v>
      </c>
      <c r="H44" s="81">
        <v>0</v>
      </c>
      <c r="I44" s="81">
        <v>0</v>
      </c>
      <c r="J44" s="81">
        <v>0</v>
      </c>
      <c r="K44" s="81">
        <v>0</v>
      </c>
      <c r="L44" s="81">
        <v>0</v>
      </c>
      <c r="M44" s="81">
        <v>0</v>
      </c>
      <c r="N44" s="81">
        <v>0</v>
      </c>
      <c r="O44" s="81">
        <v>0</v>
      </c>
      <c r="P44" s="81">
        <v>0</v>
      </c>
      <c r="Q44" s="81">
        <v>0</v>
      </c>
      <c r="R44" s="121">
        <v>0</v>
      </c>
      <c r="S44" s="81">
        <v>0</v>
      </c>
      <c r="T44" s="81">
        <v>0</v>
      </c>
      <c r="U44" s="81">
        <v>0</v>
      </c>
      <c r="V44" s="81">
        <v>0</v>
      </c>
      <c r="W44" s="81">
        <v>0</v>
      </c>
      <c r="X44" s="46" t="s">
        <v>93</v>
      </c>
      <c r="Y44" s="46" t="s">
        <v>93</v>
      </c>
      <c r="Z44" s="46" t="s">
        <v>93</v>
      </c>
      <c r="AA44" s="46" t="s">
        <v>93</v>
      </c>
      <c r="AB44" s="46" t="s">
        <v>93</v>
      </c>
      <c r="AC44" s="46" t="s">
        <v>93</v>
      </c>
      <c r="AD44" s="46" t="s">
        <v>93</v>
      </c>
      <c r="AE44" s="46" t="s">
        <v>93</v>
      </c>
      <c r="AF44" s="46" t="s">
        <v>93</v>
      </c>
      <c r="AG44" s="46" t="s">
        <v>93</v>
      </c>
      <c r="AH44" s="46" t="s">
        <v>93</v>
      </c>
      <c r="AI44" s="46" t="s">
        <v>93</v>
      </c>
      <c r="AJ44" s="46" t="s">
        <v>93</v>
      </c>
      <c r="AK44" s="46" t="s">
        <v>93</v>
      </c>
      <c r="AL44" s="46" t="s">
        <v>93</v>
      </c>
      <c r="AM44" s="46" t="s">
        <v>93</v>
      </c>
      <c r="AN44" s="46" t="s">
        <v>93</v>
      </c>
      <c r="AO44" s="46" t="s">
        <v>93</v>
      </c>
      <c r="AP44" s="46" t="s">
        <v>93</v>
      </c>
      <c r="AQ44" s="46" t="s">
        <v>93</v>
      </c>
      <c r="AR44" s="46" t="s">
        <v>93</v>
      </c>
      <c r="AS44" s="46" t="s">
        <v>93</v>
      </c>
      <c r="AT44" s="46" t="s">
        <v>93</v>
      </c>
      <c r="AU44" s="46" t="s">
        <v>93</v>
      </c>
      <c r="AV44" s="46" t="s">
        <v>93</v>
      </c>
      <c r="AW44" s="46" t="s">
        <v>93</v>
      </c>
      <c r="AX44" s="46" t="s">
        <v>93</v>
      </c>
      <c r="AY44" s="46" t="s">
        <v>93</v>
      </c>
      <c r="AZ44" s="46"/>
      <c r="BA44" s="46"/>
    </row>
    <row r="45" spans="1:53" x14ac:dyDescent="0.25">
      <c r="A45" s="146"/>
      <c r="B45" s="53" t="s">
        <v>93</v>
      </c>
      <c r="C45" s="54" t="s">
        <v>93</v>
      </c>
      <c r="D45" s="55" t="s">
        <v>102</v>
      </c>
      <c r="E45" s="119" t="s">
        <v>93</v>
      </c>
      <c r="F45" s="81">
        <v>0</v>
      </c>
      <c r="G45" s="81">
        <v>0</v>
      </c>
      <c r="H45" s="81">
        <v>0</v>
      </c>
      <c r="I45" s="81">
        <v>0</v>
      </c>
      <c r="J45" s="81">
        <v>0</v>
      </c>
      <c r="K45" s="81">
        <v>0</v>
      </c>
      <c r="L45" s="81">
        <v>0</v>
      </c>
      <c r="M45" s="81">
        <v>0</v>
      </c>
      <c r="N45" s="81">
        <v>0</v>
      </c>
      <c r="O45" s="81">
        <v>0</v>
      </c>
      <c r="P45" s="81">
        <v>0</v>
      </c>
      <c r="Q45" s="81">
        <v>0</v>
      </c>
      <c r="R45" s="121">
        <v>0</v>
      </c>
      <c r="S45" s="81">
        <v>0</v>
      </c>
      <c r="T45" s="81">
        <v>0</v>
      </c>
      <c r="U45" s="81">
        <v>0</v>
      </c>
      <c r="V45" s="81">
        <v>0</v>
      </c>
      <c r="W45" s="81">
        <v>0</v>
      </c>
      <c r="X45" s="46" t="s">
        <v>93</v>
      </c>
      <c r="Y45" s="46" t="s">
        <v>93</v>
      </c>
      <c r="Z45" s="46" t="s">
        <v>93</v>
      </c>
      <c r="AA45" s="46" t="s">
        <v>93</v>
      </c>
      <c r="AB45" s="46" t="s">
        <v>93</v>
      </c>
      <c r="AC45" s="46" t="s">
        <v>93</v>
      </c>
      <c r="AD45" s="46" t="s">
        <v>93</v>
      </c>
      <c r="AE45" s="46" t="s">
        <v>93</v>
      </c>
      <c r="AF45" s="46" t="s">
        <v>93</v>
      </c>
      <c r="AG45" s="46" t="s">
        <v>93</v>
      </c>
      <c r="AH45" s="46" t="s">
        <v>93</v>
      </c>
      <c r="AI45" s="46" t="s">
        <v>93</v>
      </c>
      <c r="AJ45" s="46" t="s">
        <v>93</v>
      </c>
      <c r="AK45" s="46" t="s">
        <v>93</v>
      </c>
      <c r="AL45" s="46" t="s">
        <v>93</v>
      </c>
      <c r="AM45" s="46" t="s">
        <v>93</v>
      </c>
      <c r="AN45" s="46" t="s">
        <v>93</v>
      </c>
      <c r="AO45" s="46" t="s">
        <v>93</v>
      </c>
      <c r="AP45" s="46" t="s">
        <v>93</v>
      </c>
      <c r="AQ45" s="46" t="s">
        <v>93</v>
      </c>
      <c r="AR45" s="46" t="s">
        <v>93</v>
      </c>
      <c r="AS45" s="46" t="s">
        <v>93</v>
      </c>
      <c r="AT45" s="46" t="s">
        <v>93</v>
      </c>
      <c r="AU45" s="46" t="s">
        <v>93</v>
      </c>
      <c r="AV45" s="46" t="s">
        <v>93</v>
      </c>
      <c r="AW45" s="46" t="s">
        <v>93</v>
      </c>
      <c r="AX45" s="46" t="s">
        <v>93</v>
      </c>
      <c r="AY45" s="46" t="s">
        <v>93</v>
      </c>
      <c r="AZ45" s="46"/>
      <c r="BA45" s="46"/>
    </row>
    <row r="46" spans="1:53" x14ac:dyDescent="0.25">
      <c r="A46" s="146"/>
      <c r="B46" s="53"/>
      <c r="C46" s="54"/>
      <c r="D46" s="51" t="s">
        <v>106</v>
      </c>
      <c r="E46" s="119"/>
      <c r="F46" s="81">
        <v>0</v>
      </c>
      <c r="G46" s="81">
        <v>0</v>
      </c>
      <c r="H46" s="81">
        <v>0</v>
      </c>
      <c r="I46" s="81">
        <v>0</v>
      </c>
      <c r="J46" s="81">
        <v>0</v>
      </c>
      <c r="K46" s="81">
        <v>0</v>
      </c>
      <c r="L46" s="81">
        <v>0</v>
      </c>
      <c r="M46" s="81">
        <v>0</v>
      </c>
      <c r="N46" s="81">
        <v>0</v>
      </c>
      <c r="O46" s="81">
        <v>0</v>
      </c>
      <c r="P46" s="81">
        <v>0</v>
      </c>
      <c r="Q46" s="81">
        <v>0</v>
      </c>
      <c r="R46" s="121">
        <v>0</v>
      </c>
      <c r="S46" s="81">
        <v>0</v>
      </c>
      <c r="T46" s="81">
        <v>0</v>
      </c>
      <c r="U46" s="81">
        <v>0</v>
      </c>
      <c r="V46" s="81">
        <v>0</v>
      </c>
      <c r="W46" s="81">
        <v>0</v>
      </c>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row>
    <row r="47" spans="1:53" x14ac:dyDescent="0.25">
      <c r="A47" s="146"/>
      <c r="B47" s="53" t="s">
        <v>103</v>
      </c>
      <c r="C47" s="54" t="s">
        <v>117</v>
      </c>
      <c r="D47" s="51" t="s">
        <v>109</v>
      </c>
      <c r="E47" s="119" t="s">
        <v>93</v>
      </c>
      <c r="F47" s="115">
        <v>15</v>
      </c>
      <c r="G47" s="115">
        <v>18</v>
      </c>
      <c r="H47" s="115">
        <v>10</v>
      </c>
      <c r="I47" s="115">
        <v>28</v>
      </c>
      <c r="J47" s="115">
        <v>28</v>
      </c>
      <c r="K47" s="115">
        <v>2</v>
      </c>
      <c r="L47" s="115">
        <v>0</v>
      </c>
      <c r="M47" s="115">
        <v>0</v>
      </c>
      <c r="N47" s="115">
        <v>0</v>
      </c>
      <c r="O47" s="115">
        <v>0</v>
      </c>
      <c r="P47" s="115">
        <v>0</v>
      </c>
      <c r="Q47" s="115">
        <v>0</v>
      </c>
      <c r="R47" s="121">
        <v>0</v>
      </c>
      <c r="S47" s="106">
        <v>0</v>
      </c>
      <c r="T47" s="106">
        <v>4</v>
      </c>
      <c r="U47" s="106">
        <v>22</v>
      </c>
      <c r="V47" s="106">
        <v>23</v>
      </c>
      <c r="W47" s="106">
        <v>27</v>
      </c>
      <c r="X47" s="46" t="s">
        <v>93</v>
      </c>
      <c r="Y47" s="46" t="s">
        <v>93</v>
      </c>
      <c r="Z47" s="46" t="s">
        <v>93</v>
      </c>
      <c r="AA47" s="46" t="s">
        <v>93</v>
      </c>
      <c r="AB47" s="46" t="s">
        <v>93</v>
      </c>
      <c r="AC47" s="46" t="s">
        <v>93</v>
      </c>
      <c r="AD47" s="46" t="s">
        <v>93</v>
      </c>
      <c r="AE47" s="46" t="s">
        <v>93</v>
      </c>
      <c r="AF47" s="46" t="s">
        <v>93</v>
      </c>
      <c r="AG47" s="46" t="s">
        <v>93</v>
      </c>
      <c r="AH47" s="46" t="s">
        <v>93</v>
      </c>
      <c r="AI47" s="46" t="s">
        <v>93</v>
      </c>
      <c r="AJ47" s="46" t="s">
        <v>93</v>
      </c>
      <c r="AK47" s="46" t="s">
        <v>93</v>
      </c>
      <c r="AL47" s="46" t="s">
        <v>93</v>
      </c>
      <c r="AM47" s="46" t="s">
        <v>93</v>
      </c>
      <c r="AN47" s="46" t="s">
        <v>93</v>
      </c>
      <c r="AO47" s="46" t="s">
        <v>93</v>
      </c>
      <c r="AP47" s="46" t="s">
        <v>93</v>
      </c>
      <c r="AQ47" s="46" t="s">
        <v>93</v>
      </c>
      <c r="AR47" s="46" t="s">
        <v>93</v>
      </c>
      <c r="AS47" s="46" t="s">
        <v>93</v>
      </c>
      <c r="AT47" s="46" t="s">
        <v>93</v>
      </c>
      <c r="AU47" s="46" t="s">
        <v>93</v>
      </c>
      <c r="AV47" s="46" t="s">
        <v>93</v>
      </c>
      <c r="AW47" s="46" t="s">
        <v>93</v>
      </c>
      <c r="AX47" s="46" t="s">
        <v>93</v>
      </c>
      <c r="AY47" s="46" t="s">
        <v>93</v>
      </c>
      <c r="AZ47" s="46"/>
      <c r="BA47" s="46"/>
    </row>
    <row r="48" spans="1:53" x14ac:dyDescent="0.25">
      <c r="A48" s="146"/>
      <c r="B48" s="53" t="s">
        <v>93</v>
      </c>
      <c r="C48" s="54" t="s">
        <v>93</v>
      </c>
      <c r="D48" s="99" t="s">
        <v>98</v>
      </c>
      <c r="E48" s="119" t="s">
        <v>93</v>
      </c>
      <c r="F48" s="115">
        <v>0</v>
      </c>
      <c r="G48" s="115">
        <v>1</v>
      </c>
      <c r="H48" s="115">
        <v>0</v>
      </c>
      <c r="I48" s="115">
        <v>0</v>
      </c>
      <c r="J48" s="115">
        <v>0</v>
      </c>
      <c r="K48" s="115">
        <v>0</v>
      </c>
      <c r="L48" s="115">
        <v>0</v>
      </c>
      <c r="M48" s="115">
        <v>0</v>
      </c>
      <c r="N48" s="115">
        <v>0</v>
      </c>
      <c r="O48" s="115">
        <v>0</v>
      </c>
      <c r="P48" s="115">
        <v>0</v>
      </c>
      <c r="Q48" s="115">
        <v>0</v>
      </c>
      <c r="R48" s="121">
        <v>0</v>
      </c>
      <c r="S48" s="106">
        <v>0</v>
      </c>
      <c r="T48" s="106">
        <v>0</v>
      </c>
      <c r="U48" s="106">
        <v>0</v>
      </c>
      <c r="V48" s="81">
        <v>1</v>
      </c>
      <c r="W48" s="81">
        <v>1</v>
      </c>
      <c r="X48" s="46" t="s">
        <v>93</v>
      </c>
      <c r="Y48" s="46" t="s">
        <v>93</v>
      </c>
      <c r="Z48" s="46" t="s">
        <v>93</v>
      </c>
      <c r="AA48" s="46" t="s">
        <v>93</v>
      </c>
      <c r="AB48" s="46" t="s">
        <v>93</v>
      </c>
      <c r="AC48" s="46" t="s">
        <v>93</v>
      </c>
      <c r="AD48" s="46" t="s">
        <v>93</v>
      </c>
      <c r="AE48" s="46" t="s">
        <v>93</v>
      </c>
      <c r="AF48" s="46" t="s">
        <v>93</v>
      </c>
      <c r="AG48" s="46" t="s">
        <v>93</v>
      </c>
      <c r="AH48" s="46" t="s">
        <v>93</v>
      </c>
      <c r="AI48" s="46" t="s">
        <v>93</v>
      </c>
      <c r="AJ48" s="46" t="s">
        <v>93</v>
      </c>
      <c r="AK48" s="46" t="s">
        <v>93</v>
      </c>
      <c r="AL48" s="46" t="s">
        <v>93</v>
      </c>
      <c r="AM48" s="46" t="s">
        <v>93</v>
      </c>
      <c r="AN48" s="46" t="s">
        <v>93</v>
      </c>
      <c r="AO48" s="46" t="s">
        <v>93</v>
      </c>
      <c r="AP48" s="46" t="s">
        <v>93</v>
      </c>
      <c r="AQ48" s="46" t="s">
        <v>93</v>
      </c>
      <c r="AR48" s="46" t="s">
        <v>93</v>
      </c>
      <c r="AS48" s="46" t="s">
        <v>93</v>
      </c>
      <c r="AT48" s="46" t="s">
        <v>93</v>
      </c>
      <c r="AU48" s="46" t="s">
        <v>93</v>
      </c>
      <c r="AV48" s="46" t="s">
        <v>93</v>
      </c>
      <c r="AW48" s="46" t="s">
        <v>93</v>
      </c>
      <c r="AX48" s="46" t="s">
        <v>93</v>
      </c>
      <c r="AY48" s="46" t="s">
        <v>93</v>
      </c>
      <c r="AZ48" s="46"/>
      <c r="BA48" s="46"/>
    </row>
    <row r="49" spans="1:53" x14ac:dyDescent="0.25">
      <c r="A49" s="146"/>
      <c r="B49" s="53" t="s">
        <v>93</v>
      </c>
      <c r="C49" s="54" t="s">
        <v>93</v>
      </c>
      <c r="D49" s="51" t="s">
        <v>100</v>
      </c>
      <c r="E49" s="119" t="s">
        <v>93</v>
      </c>
      <c r="F49" s="115">
        <v>1348</v>
      </c>
      <c r="G49" s="115">
        <v>1228</v>
      </c>
      <c r="H49" s="115">
        <v>1295</v>
      </c>
      <c r="I49" s="115">
        <v>1441</v>
      </c>
      <c r="J49" s="115">
        <v>1445</v>
      </c>
      <c r="K49" s="115">
        <v>153</v>
      </c>
      <c r="L49" s="115">
        <v>0</v>
      </c>
      <c r="M49" s="115">
        <v>0</v>
      </c>
      <c r="N49" s="115">
        <v>0</v>
      </c>
      <c r="O49" s="115">
        <v>0</v>
      </c>
      <c r="P49" s="115">
        <v>0</v>
      </c>
      <c r="Q49" s="115">
        <v>0</v>
      </c>
      <c r="R49" s="121">
        <v>0</v>
      </c>
      <c r="S49" s="106">
        <v>0</v>
      </c>
      <c r="T49" s="106">
        <v>317</v>
      </c>
      <c r="U49" s="106">
        <v>710</v>
      </c>
      <c r="V49" s="106">
        <v>770</v>
      </c>
      <c r="W49" s="106">
        <v>1063</v>
      </c>
      <c r="X49" s="46" t="s">
        <v>93</v>
      </c>
      <c r="Y49" s="46" t="s">
        <v>93</v>
      </c>
      <c r="Z49" s="46" t="s">
        <v>93</v>
      </c>
      <c r="AA49" s="46" t="s">
        <v>93</v>
      </c>
      <c r="AB49" s="46" t="s">
        <v>93</v>
      </c>
      <c r="AC49" s="46" t="s">
        <v>93</v>
      </c>
      <c r="AD49" s="46" t="s">
        <v>93</v>
      </c>
      <c r="AE49" s="46" t="s">
        <v>93</v>
      </c>
      <c r="AF49" s="46" t="s">
        <v>93</v>
      </c>
      <c r="AG49" s="46" t="s">
        <v>93</v>
      </c>
      <c r="AH49" s="46" t="s">
        <v>93</v>
      </c>
      <c r="AI49" s="46" t="s">
        <v>93</v>
      </c>
      <c r="AJ49" s="46" t="s">
        <v>93</v>
      </c>
      <c r="AK49" s="46" t="s">
        <v>93</v>
      </c>
      <c r="AL49" s="46" t="s">
        <v>93</v>
      </c>
      <c r="AM49" s="46" t="s">
        <v>93</v>
      </c>
      <c r="AN49" s="46" t="s">
        <v>93</v>
      </c>
      <c r="AO49" s="46" t="s">
        <v>93</v>
      </c>
      <c r="AP49" s="46" t="s">
        <v>93</v>
      </c>
      <c r="AQ49" s="46" t="s">
        <v>93</v>
      </c>
      <c r="AR49" s="46" t="s">
        <v>93</v>
      </c>
      <c r="AS49" s="46" t="s">
        <v>93</v>
      </c>
      <c r="AT49" s="46" t="s">
        <v>93</v>
      </c>
      <c r="AU49" s="46" t="s">
        <v>93</v>
      </c>
      <c r="AV49" s="46" t="s">
        <v>93</v>
      </c>
      <c r="AW49" s="46" t="s">
        <v>93</v>
      </c>
      <c r="AX49" s="46" t="s">
        <v>93</v>
      </c>
      <c r="AY49" s="46" t="s">
        <v>93</v>
      </c>
      <c r="AZ49" s="46"/>
      <c r="BA49" s="46"/>
    </row>
    <row r="50" spans="1:53" x14ac:dyDescent="0.25">
      <c r="A50" s="146"/>
      <c r="B50" s="53" t="s">
        <v>93</v>
      </c>
      <c r="C50" s="54" t="s">
        <v>93</v>
      </c>
      <c r="D50" s="51" t="s">
        <v>102</v>
      </c>
      <c r="E50" s="119" t="s">
        <v>93</v>
      </c>
      <c r="F50" s="115">
        <v>0</v>
      </c>
      <c r="G50" s="115">
        <v>1</v>
      </c>
      <c r="H50" s="115">
        <v>0</v>
      </c>
      <c r="I50" s="115">
        <v>1</v>
      </c>
      <c r="J50" s="115">
        <v>2</v>
      </c>
      <c r="K50" s="115">
        <v>0</v>
      </c>
      <c r="L50" s="115">
        <v>0</v>
      </c>
      <c r="M50" s="115">
        <v>0</v>
      </c>
      <c r="N50" s="115">
        <v>0</v>
      </c>
      <c r="O50" s="115">
        <v>0</v>
      </c>
      <c r="P50" s="115">
        <v>0</v>
      </c>
      <c r="Q50" s="115">
        <v>0</v>
      </c>
      <c r="R50" s="121">
        <v>0</v>
      </c>
      <c r="S50" s="106">
        <v>0</v>
      </c>
      <c r="T50" s="106">
        <v>5</v>
      </c>
      <c r="U50" s="106">
        <v>7</v>
      </c>
      <c r="V50" s="106">
        <v>7</v>
      </c>
      <c r="W50" s="106">
        <v>12</v>
      </c>
      <c r="X50" s="46" t="s">
        <v>93</v>
      </c>
      <c r="Y50" s="46" t="s">
        <v>93</v>
      </c>
      <c r="Z50" s="46" t="s">
        <v>93</v>
      </c>
      <c r="AA50" s="46" t="s">
        <v>93</v>
      </c>
      <c r="AB50" s="46" t="s">
        <v>93</v>
      </c>
      <c r="AC50" s="46" t="s">
        <v>93</v>
      </c>
      <c r="AD50" s="46" t="s">
        <v>93</v>
      </c>
      <c r="AE50" s="46" t="s">
        <v>93</v>
      </c>
      <c r="AF50" s="46" t="s">
        <v>93</v>
      </c>
      <c r="AG50" s="46" t="s">
        <v>93</v>
      </c>
      <c r="AH50" s="46" t="s">
        <v>93</v>
      </c>
      <c r="AI50" s="46" t="s">
        <v>93</v>
      </c>
      <c r="AJ50" s="46" t="s">
        <v>93</v>
      </c>
      <c r="AK50" s="46" t="s">
        <v>93</v>
      </c>
      <c r="AL50" s="46" t="s">
        <v>93</v>
      </c>
      <c r="AM50" s="46" t="s">
        <v>93</v>
      </c>
      <c r="AN50" s="46" t="s">
        <v>93</v>
      </c>
      <c r="AO50" s="46" t="s">
        <v>93</v>
      </c>
      <c r="AP50" s="46" t="s">
        <v>93</v>
      </c>
      <c r="AQ50" s="46" t="s">
        <v>93</v>
      </c>
      <c r="AR50" s="46" t="s">
        <v>93</v>
      </c>
      <c r="AS50" s="46" t="s">
        <v>93</v>
      </c>
      <c r="AT50" s="46" t="s">
        <v>93</v>
      </c>
      <c r="AU50" s="46" t="s">
        <v>93</v>
      </c>
      <c r="AV50" s="46" t="s">
        <v>93</v>
      </c>
      <c r="AW50" s="46" t="s">
        <v>93</v>
      </c>
      <c r="AX50" s="46" t="s">
        <v>93</v>
      </c>
      <c r="AY50" s="46" t="s">
        <v>93</v>
      </c>
      <c r="AZ50" s="46"/>
      <c r="BA50" s="46"/>
    </row>
    <row r="51" spans="1:53" x14ac:dyDescent="0.25">
      <c r="A51" s="146"/>
      <c r="B51" s="53" t="s">
        <v>93</v>
      </c>
      <c r="C51" s="54" t="s">
        <v>93</v>
      </c>
      <c r="D51" s="51" t="s">
        <v>104</v>
      </c>
      <c r="E51" s="119" t="s">
        <v>93</v>
      </c>
      <c r="F51" s="115">
        <v>15</v>
      </c>
      <c r="G51" s="115">
        <v>39</v>
      </c>
      <c r="H51" s="115">
        <v>23</v>
      </c>
      <c r="I51" s="115">
        <v>7</v>
      </c>
      <c r="J51" s="115">
        <v>2</v>
      </c>
      <c r="K51" s="115">
        <v>0</v>
      </c>
      <c r="L51" s="115">
        <v>0</v>
      </c>
      <c r="M51" s="115">
        <v>0</v>
      </c>
      <c r="N51" s="115">
        <v>0</v>
      </c>
      <c r="O51" s="115">
        <v>0</v>
      </c>
      <c r="P51" s="115">
        <v>0</v>
      </c>
      <c r="Q51" s="115">
        <v>0</v>
      </c>
      <c r="R51" s="121">
        <v>0</v>
      </c>
      <c r="S51" s="106">
        <v>0</v>
      </c>
      <c r="T51" s="106">
        <v>123</v>
      </c>
      <c r="U51" s="106">
        <v>272</v>
      </c>
      <c r="V51" s="106">
        <v>354</v>
      </c>
      <c r="W51" s="106">
        <v>517</v>
      </c>
      <c r="X51" s="46" t="s">
        <v>93</v>
      </c>
      <c r="Y51" s="46" t="s">
        <v>93</v>
      </c>
      <c r="Z51" s="46" t="s">
        <v>93</v>
      </c>
      <c r="AA51" s="46" t="s">
        <v>93</v>
      </c>
      <c r="AB51" s="46" t="s">
        <v>93</v>
      </c>
      <c r="AC51" s="46" t="s">
        <v>93</v>
      </c>
      <c r="AD51" s="46" t="s">
        <v>93</v>
      </c>
      <c r="AE51" s="46" t="s">
        <v>93</v>
      </c>
      <c r="AF51" s="46" t="s">
        <v>93</v>
      </c>
      <c r="AG51" s="46" t="s">
        <v>93</v>
      </c>
      <c r="AH51" s="46" t="s">
        <v>93</v>
      </c>
      <c r="AI51" s="46" t="s">
        <v>93</v>
      </c>
      <c r="AJ51" s="46" t="s">
        <v>93</v>
      </c>
      <c r="AK51" s="46" t="s">
        <v>93</v>
      </c>
      <c r="AL51" s="46" t="s">
        <v>93</v>
      </c>
      <c r="AM51" s="46" t="s">
        <v>93</v>
      </c>
      <c r="AN51" s="46" t="s">
        <v>93</v>
      </c>
      <c r="AO51" s="46" t="s">
        <v>93</v>
      </c>
      <c r="AP51" s="46" t="s">
        <v>93</v>
      </c>
      <c r="AQ51" s="46" t="s">
        <v>93</v>
      </c>
      <c r="AR51" s="46" t="s">
        <v>93</v>
      </c>
      <c r="AS51" s="46" t="s">
        <v>93</v>
      </c>
      <c r="AT51" s="46" t="s">
        <v>93</v>
      </c>
      <c r="AU51" s="46" t="s">
        <v>93</v>
      </c>
      <c r="AV51" s="46" t="s">
        <v>93</v>
      </c>
      <c r="AW51" s="46" t="s">
        <v>93</v>
      </c>
      <c r="AX51" s="46" t="s">
        <v>93</v>
      </c>
      <c r="AY51" s="46" t="s">
        <v>93</v>
      </c>
      <c r="AZ51" s="46"/>
      <c r="BA51" s="46"/>
    </row>
    <row r="52" spans="1:53" x14ac:dyDescent="0.25">
      <c r="A52" s="146"/>
      <c r="B52" s="53"/>
      <c r="C52" s="54"/>
      <c r="D52" s="51" t="s">
        <v>106</v>
      </c>
      <c r="E52" s="119"/>
      <c r="F52" s="115">
        <v>4</v>
      </c>
      <c r="G52" s="115">
        <v>1</v>
      </c>
      <c r="H52" s="115">
        <v>5</v>
      </c>
      <c r="I52" s="115">
        <v>2</v>
      </c>
      <c r="J52" s="115">
        <v>3</v>
      </c>
      <c r="K52" s="115">
        <v>1</v>
      </c>
      <c r="L52" s="115">
        <v>0</v>
      </c>
      <c r="M52" s="115">
        <v>0</v>
      </c>
      <c r="N52" s="115">
        <v>0</v>
      </c>
      <c r="O52" s="115">
        <v>0</v>
      </c>
      <c r="P52" s="115">
        <v>0</v>
      </c>
      <c r="Q52" s="115">
        <v>0</v>
      </c>
      <c r="R52" s="121">
        <v>0</v>
      </c>
      <c r="S52" s="106">
        <v>0</v>
      </c>
      <c r="T52" s="106">
        <v>1</v>
      </c>
      <c r="U52" s="106">
        <v>7</v>
      </c>
      <c r="V52" s="106">
        <v>5</v>
      </c>
      <c r="W52" s="106">
        <v>4</v>
      </c>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row>
    <row r="53" spans="1:53" x14ac:dyDescent="0.25">
      <c r="A53" s="146"/>
      <c r="B53" s="48" t="s">
        <v>105</v>
      </c>
      <c r="C53" s="50" t="s">
        <v>118</v>
      </c>
      <c r="D53" s="51" t="s">
        <v>109</v>
      </c>
      <c r="E53" s="119" t="s">
        <v>93</v>
      </c>
      <c r="F53" s="115">
        <v>22</v>
      </c>
      <c r="G53" s="115">
        <v>20</v>
      </c>
      <c r="H53" s="115">
        <v>22</v>
      </c>
      <c r="I53" s="115">
        <v>24</v>
      </c>
      <c r="J53" s="115">
        <v>14</v>
      </c>
      <c r="K53" s="115">
        <v>13</v>
      </c>
      <c r="L53" s="115">
        <v>18</v>
      </c>
      <c r="M53" s="115">
        <v>13</v>
      </c>
      <c r="N53" s="115">
        <v>21</v>
      </c>
      <c r="O53" s="115">
        <v>23</v>
      </c>
      <c r="P53" s="115">
        <v>23</v>
      </c>
      <c r="Q53" s="115">
        <v>30</v>
      </c>
      <c r="R53" s="122">
        <v>23</v>
      </c>
      <c r="S53" s="113">
        <v>17</v>
      </c>
      <c r="T53" s="113">
        <v>16</v>
      </c>
      <c r="U53" s="113">
        <v>16</v>
      </c>
      <c r="V53" s="113">
        <v>7</v>
      </c>
      <c r="W53" s="113">
        <v>4</v>
      </c>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row>
    <row r="54" spans="1:53" x14ac:dyDescent="0.25">
      <c r="A54" s="146"/>
      <c r="B54" s="53" t="s">
        <v>93</v>
      </c>
      <c r="C54" s="53" t="s">
        <v>93</v>
      </c>
      <c r="D54" s="99" t="s">
        <v>98</v>
      </c>
      <c r="E54" s="119" t="s">
        <v>93</v>
      </c>
      <c r="F54" s="115">
        <v>1</v>
      </c>
      <c r="G54" s="115">
        <v>0</v>
      </c>
      <c r="H54" s="115">
        <v>0</v>
      </c>
      <c r="I54" s="115">
        <v>0</v>
      </c>
      <c r="J54" s="115">
        <v>1</v>
      </c>
      <c r="K54" s="115">
        <v>0</v>
      </c>
      <c r="L54" s="115">
        <v>0</v>
      </c>
      <c r="M54" s="115">
        <v>0</v>
      </c>
      <c r="N54" s="115">
        <v>0</v>
      </c>
      <c r="O54" s="115">
        <v>0</v>
      </c>
      <c r="P54" s="115">
        <v>0</v>
      </c>
      <c r="Q54" s="115">
        <v>0</v>
      </c>
      <c r="R54" s="121">
        <v>0</v>
      </c>
      <c r="S54" s="81">
        <v>0</v>
      </c>
      <c r="T54" s="81">
        <v>0</v>
      </c>
      <c r="U54" s="81">
        <v>0</v>
      </c>
      <c r="V54" s="81">
        <v>0</v>
      </c>
      <c r="W54" s="81">
        <v>1</v>
      </c>
      <c r="X54" s="46" t="s">
        <v>93</v>
      </c>
      <c r="Y54" s="46" t="s">
        <v>93</v>
      </c>
      <c r="Z54" s="46" t="s">
        <v>93</v>
      </c>
      <c r="AA54" s="46" t="s">
        <v>93</v>
      </c>
      <c r="AB54" s="46" t="s">
        <v>93</v>
      </c>
      <c r="AC54" s="46" t="s">
        <v>93</v>
      </c>
      <c r="AD54" s="46" t="s">
        <v>93</v>
      </c>
      <c r="AE54" s="46" t="s">
        <v>93</v>
      </c>
      <c r="AF54" s="46" t="s">
        <v>93</v>
      </c>
      <c r="AG54" s="46" t="s">
        <v>93</v>
      </c>
      <c r="AH54" s="46" t="s">
        <v>93</v>
      </c>
      <c r="AI54" s="46" t="s">
        <v>93</v>
      </c>
      <c r="AJ54" s="46" t="s">
        <v>93</v>
      </c>
      <c r="AK54" s="46" t="s">
        <v>93</v>
      </c>
      <c r="AL54" s="46" t="s">
        <v>93</v>
      </c>
      <c r="AM54" s="46" t="s">
        <v>93</v>
      </c>
      <c r="AN54" s="46" t="s">
        <v>93</v>
      </c>
      <c r="AO54" s="46" t="s">
        <v>93</v>
      </c>
      <c r="AP54" s="46" t="s">
        <v>93</v>
      </c>
      <c r="AQ54" s="46" t="s">
        <v>93</v>
      </c>
      <c r="AR54" s="46" t="s">
        <v>93</v>
      </c>
      <c r="AS54" s="46" t="s">
        <v>93</v>
      </c>
      <c r="AT54" s="46" t="s">
        <v>93</v>
      </c>
      <c r="AU54" s="46" t="s">
        <v>93</v>
      </c>
      <c r="AV54" s="46" t="s">
        <v>93</v>
      </c>
      <c r="AW54" s="46" t="s">
        <v>93</v>
      </c>
      <c r="AX54" s="46" t="s">
        <v>93</v>
      </c>
      <c r="AY54" s="46" t="s">
        <v>93</v>
      </c>
      <c r="AZ54" s="46"/>
      <c r="BA54" s="46"/>
    </row>
    <row r="55" spans="1:53" x14ac:dyDescent="0.25">
      <c r="A55" s="146"/>
      <c r="B55" s="48" t="s">
        <v>93</v>
      </c>
      <c r="C55" s="48" t="s">
        <v>93</v>
      </c>
      <c r="D55" s="51" t="s">
        <v>100</v>
      </c>
      <c r="E55" s="119" t="s">
        <v>93</v>
      </c>
      <c r="F55" s="115">
        <v>283</v>
      </c>
      <c r="G55" s="115">
        <v>238</v>
      </c>
      <c r="H55" s="115">
        <v>319</v>
      </c>
      <c r="I55" s="115">
        <v>369</v>
      </c>
      <c r="J55" s="115">
        <v>385</v>
      </c>
      <c r="K55" s="115">
        <v>341</v>
      </c>
      <c r="L55" s="115">
        <v>357</v>
      </c>
      <c r="M55" s="115">
        <v>378</v>
      </c>
      <c r="N55" s="115">
        <v>428</v>
      </c>
      <c r="O55" s="115">
        <v>468</v>
      </c>
      <c r="P55" s="115">
        <v>501</v>
      </c>
      <c r="Q55" s="115">
        <v>697</v>
      </c>
      <c r="R55" s="118">
        <v>708</v>
      </c>
      <c r="S55" s="106">
        <v>527</v>
      </c>
      <c r="T55" s="106">
        <v>611</v>
      </c>
      <c r="U55" s="106">
        <v>375</v>
      </c>
      <c r="V55" s="106">
        <v>315</v>
      </c>
      <c r="W55" s="106">
        <v>299</v>
      </c>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row>
    <row r="56" spans="1:53" x14ac:dyDescent="0.25">
      <c r="A56" s="146"/>
      <c r="B56" s="53" t="s">
        <v>93</v>
      </c>
      <c r="C56" s="53" t="s">
        <v>93</v>
      </c>
      <c r="D56" s="51" t="s">
        <v>102</v>
      </c>
      <c r="E56" s="119" t="s">
        <v>93</v>
      </c>
      <c r="F56" s="115">
        <v>12</v>
      </c>
      <c r="G56" s="115">
        <v>11</v>
      </c>
      <c r="H56" s="115">
        <v>7</v>
      </c>
      <c r="I56" s="115">
        <v>10</v>
      </c>
      <c r="J56" s="115">
        <v>5</v>
      </c>
      <c r="K56" s="115">
        <v>8</v>
      </c>
      <c r="L56" s="115">
        <v>8</v>
      </c>
      <c r="M56" s="115">
        <v>11</v>
      </c>
      <c r="N56" s="115">
        <v>14</v>
      </c>
      <c r="O56" s="115">
        <v>21</v>
      </c>
      <c r="P56" s="115">
        <v>41</v>
      </c>
      <c r="Q56" s="115">
        <v>46</v>
      </c>
      <c r="R56" s="118">
        <v>82</v>
      </c>
      <c r="S56" s="106">
        <v>24</v>
      </c>
      <c r="T56" s="106">
        <v>17</v>
      </c>
      <c r="U56" s="106">
        <v>21</v>
      </c>
      <c r="V56" s="106">
        <v>53</v>
      </c>
      <c r="W56" s="106">
        <v>16</v>
      </c>
      <c r="X56" s="46" t="s">
        <v>93</v>
      </c>
      <c r="Y56" s="46" t="s">
        <v>93</v>
      </c>
      <c r="Z56" s="46" t="s">
        <v>93</v>
      </c>
      <c r="AA56" s="46" t="s">
        <v>93</v>
      </c>
      <c r="AB56" s="46" t="s">
        <v>93</v>
      </c>
      <c r="AC56" s="46" t="s">
        <v>93</v>
      </c>
      <c r="AD56" s="46" t="s">
        <v>93</v>
      </c>
      <c r="AE56" s="46" t="s">
        <v>93</v>
      </c>
      <c r="AF56" s="46" t="s">
        <v>93</v>
      </c>
      <c r="AG56" s="46" t="s">
        <v>93</v>
      </c>
      <c r="AH56" s="46" t="s">
        <v>93</v>
      </c>
      <c r="AI56" s="46" t="s">
        <v>93</v>
      </c>
      <c r="AJ56" s="46" t="s">
        <v>93</v>
      </c>
      <c r="AK56" s="46" t="s">
        <v>93</v>
      </c>
      <c r="AL56" s="46" t="s">
        <v>93</v>
      </c>
      <c r="AM56" s="46" t="s">
        <v>93</v>
      </c>
      <c r="AN56" s="46" t="s">
        <v>93</v>
      </c>
      <c r="AO56" s="46" t="s">
        <v>93</v>
      </c>
      <c r="AP56" s="46" t="s">
        <v>93</v>
      </c>
      <c r="AQ56" s="46" t="s">
        <v>93</v>
      </c>
      <c r="AR56" s="46" t="s">
        <v>93</v>
      </c>
      <c r="AS56" s="46" t="s">
        <v>93</v>
      </c>
      <c r="AT56" s="46" t="s">
        <v>93</v>
      </c>
      <c r="AU56" s="46" t="s">
        <v>93</v>
      </c>
      <c r="AV56" s="46" t="s">
        <v>93</v>
      </c>
      <c r="AW56" s="46" t="s">
        <v>93</v>
      </c>
      <c r="AX56" s="46" t="s">
        <v>93</v>
      </c>
      <c r="AY56" s="46" t="s">
        <v>93</v>
      </c>
      <c r="AZ56" s="46"/>
      <c r="BA56" s="46"/>
    </row>
    <row r="57" spans="1:53" x14ac:dyDescent="0.25">
      <c r="A57" s="146"/>
      <c r="B57" s="55" t="s">
        <v>93</v>
      </c>
      <c r="C57" s="83" t="s">
        <v>93</v>
      </c>
      <c r="D57" s="51" t="s">
        <v>104</v>
      </c>
      <c r="E57" s="119" t="s">
        <v>93</v>
      </c>
      <c r="F57" s="115">
        <v>601</v>
      </c>
      <c r="G57" s="115">
        <v>503</v>
      </c>
      <c r="H57" s="115">
        <v>518</v>
      </c>
      <c r="I57" s="115">
        <v>628</v>
      </c>
      <c r="J57" s="115">
        <v>473</v>
      </c>
      <c r="K57" s="115">
        <v>289</v>
      </c>
      <c r="L57" s="115">
        <v>303</v>
      </c>
      <c r="M57" s="115">
        <v>1373</v>
      </c>
      <c r="N57" s="115">
        <v>354</v>
      </c>
      <c r="O57" s="115">
        <v>455</v>
      </c>
      <c r="P57" s="115">
        <v>382</v>
      </c>
      <c r="Q57" s="115">
        <v>508</v>
      </c>
      <c r="R57" s="118">
        <v>13</v>
      </c>
      <c r="S57" s="106">
        <v>9</v>
      </c>
      <c r="T57" s="106">
        <v>7</v>
      </c>
      <c r="U57" s="106">
        <v>6</v>
      </c>
      <c r="V57" s="106">
        <v>4</v>
      </c>
      <c r="W57" s="106">
        <v>10</v>
      </c>
      <c r="X57" s="46" t="s">
        <v>93</v>
      </c>
      <c r="Y57" s="46" t="s">
        <v>93</v>
      </c>
      <c r="Z57" s="46" t="s">
        <v>93</v>
      </c>
      <c r="AA57" s="46" t="s">
        <v>93</v>
      </c>
      <c r="AB57" s="46" t="s">
        <v>93</v>
      </c>
      <c r="AC57" s="46" t="s">
        <v>93</v>
      </c>
      <c r="AD57" s="46" t="s">
        <v>93</v>
      </c>
      <c r="AE57" s="46" t="s">
        <v>93</v>
      </c>
      <c r="AF57" s="46" t="s">
        <v>93</v>
      </c>
      <c r="AG57" s="46" t="s">
        <v>93</v>
      </c>
      <c r="AH57" s="46" t="s">
        <v>93</v>
      </c>
      <c r="AI57" s="46" t="s">
        <v>93</v>
      </c>
      <c r="AJ57" s="46" t="s">
        <v>93</v>
      </c>
      <c r="AK57" s="46" t="s">
        <v>93</v>
      </c>
      <c r="AL57" s="46" t="s">
        <v>93</v>
      </c>
      <c r="AM57" s="46" t="s">
        <v>93</v>
      </c>
      <c r="AN57" s="46" t="s">
        <v>93</v>
      </c>
      <c r="AO57" s="46" t="s">
        <v>93</v>
      </c>
      <c r="AP57" s="46" t="s">
        <v>93</v>
      </c>
      <c r="AQ57" s="46" t="s">
        <v>93</v>
      </c>
      <c r="AR57" s="46" t="s">
        <v>93</v>
      </c>
      <c r="AS57" s="46" t="s">
        <v>93</v>
      </c>
      <c r="AT57" s="46" t="s">
        <v>93</v>
      </c>
      <c r="AU57" s="46" t="s">
        <v>93</v>
      </c>
      <c r="AV57" s="46" t="s">
        <v>93</v>
      </c>
      <c r="AW57" s="46" t="s">
        <v>93</v>
      </c>
      <c r="AX57" s="46" t="s">
        <v>93</v>
      </c>
      <c r="AY57" s="46" t="s">
        <v>93</v>
      </c>
      <c r="AZ57" s="46"/>
      <c r="BA57" s="46"/>
    </row>
    <row r="58" spans="1:53" x14ac:dyDescent="0.25">
      <c r="A58" s="146"/>
      <c r="B58" s="55"/>
      <c r="C58" s="83"/>
      <c r="D58" s="51" t="s">
        <v>106</v>
      </c>
      <c r="E58" s="119"/>
      <c r="F58" s="115">
        <v>2</v>
      </c>
      <c r="G58" s="115">
        <v>7</v>
      </c>
      <c r="H58" s="115">
        <v>14</v>
      </c>
      <c r="I58" s="115">
        <v>3</v>
      </c>
      <c r="J58" s="115">
        <v>8</v>
      </c>
      <c r="K58" s="115">
        <v>5</v>
      </c>
      <c r="L58" s="115">
        <v>4</v>
      </c>
      <c r="M58" s="115">
        <v>7</v>
      </c>
      <c r="N58" s="115">
        <v>10</v>
      </c>
      <c r="O58" s="115">
        <v>9</v>
      </c>
      <c r="P58" s="115">
        <v>5</v>
      </c>
      <c r="Q58" s="115">
        <v>12</v>
      </c>
      <c r="R58" s="123">
        <v>37</v>
      </c>
      <c r="S58" s="111">
        <v>16</v>
      </c>
      <c r="T58" s="111">
        <v>12</v>
      </c>
      <c r="U58" s="111">
        <v>8</v>
      </c>
      <c r="V58" s="111">
        <v>7</v>
      </c>
      <c r="W58" s="111">
        <v>2</v>
      </c>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row>
    <row r="59" spans="1:53" x14ac:dyDescent="0.25">
      <c r="A59" s="146"/>
      <c r="B59" s="51" t="s">
        <v>119</v>
      </c>
      <c r="C59" s="84" t="s">
        <v>120</v>
      </c>
      <c r="D59" s="51" t="s">
        <v>109</v>
      </c>
      <c r="E59" s="119" t="s">
        <v>93</v>
      </c>
      <c r="F59" s="115">
        <v>4</v>
      </c>
      <c r="G59" s="115">
        <v>6</v>
      </c>
      <c r="H59" s="115">
        <v>3</v>
      </c>
      <c r="I59" s="115">
        <v>7</v>
      </c>
      <c r="J59" s="115">
        <v>6</v>
      </c>
      <c r="K59" s="115">
        <v>3</v>
      </c>
      <c r="L59" s="115">
        <v>7</v>
      </c>
      <c r="M59" s="115">
        <v>7</v>
      </c>
      <c r="N59" s="115">
        <v>10</v>
      </c>
      <c r="O59" s="115">
        <v>11</v>
      </c>
      <c r="P59" s="115">
        <v>11</v>
      </c>
      <c r="Q59" s="115">
        <v>4</v>
      </c>
      <c r="R59" s="124">
        <v>4</v>
      </c>
      <c r="S59" s="115">
        <v>5</v>
      </c>
      <c r="T59" s="115">
        <v>5</v>
      </c>
      <c r="U59" s="115">
        <v>3</v>
      </c>
      <c r="V59" s="115">
        <v>2</v>
      </c>
      <c r="W59" s="81">
        <v>0</v>
      </c>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row>
    <row r="60" spans="1:53" x14ac:dyDescent="0.25">
      <c r="A60" s="146"/>
      <c r="B60" s="51"/>
      <c r="C60" s="84"/>
      <c r="D60" s="99" t="s">
        <v>98</v>
      </c>
      <c r="E60" s="119"/>
      <c r="F60" s="115">
        <v>0</v>
      </c>
      <c r="G60" s="115">
        <v>0</v>
      </c>
      <c r="H60" s="115">
        <v>0</v>
      </c>
      <c r="I60" s="115">
        <v>0</v>
      </c>
      <c r="J60" s="115">
        <v>0</v>
      </c>
      <c r="K60" s="115">
        <v>0</v>
      </c>
      <c r="L60" s="115">
        <v>0</v>
      </c>
      <c r="M60" s="115">
        <v>0</v>
      </c>
      <c r="N60" s="115">
        <v>0</v>
      </c>
      <c r="O60" s="115">
        <v>0</v>
      </c>
      <c r="P60" s="115">
        <v>0</v>
      </c>
      <c r="Q60" s="115">
        <v>0</v>
      </c>
      <c r="R60" s="121">
        <v>0</v>
      </c>
      <c r="S60" s="81">
        <v>0</v>
      </c>
      <c r="T60" s="81">
        <v>0</v>
      </c>
      <c r="U60" s="81">
        <v>0</v>
      </c>
      <c r="V60" s="81">
        <v>0</v>
      </c>
      <c r="W60" s="81">
        <v>0</v>
      </c>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row>
    <row r="61" spans="1:53" x14ac:dyDescent="0.25">
      <c r="A61" s="146"/>
      <c r="B61" s="51" t="s">
        <v>93</v>
      </c>
      <c r="C61" s="57" t="s">
        <v>93</v>
      </c>
      <c r="D61" s="51" t="s">
        <v>100</v>
      </c>
      <c r="E61" s="119" t="s">
        <v>93</v>
      </c>
      <c r="F61" s="115">
        <v>69</v>
      </c>
      <c r="G61" s="115">
        <v>70</v>
      </c>
      <c r="H61" s="115">
        <v>73</v>
      </c>
      <c r="I61" s="115">
        <v>66</v>
      </c>
      <c r="J61" s="115">
        <v>83</v>
      </c>
      <c r="K61" s="115">
        <v>78</v>
      </c>
      <c r="L61" s="115">
        <v>43</v>
      </c>
      <c r="M61" s="115">
        <v>60</v>
      </c>
      <c r="N61" s="115">
        <v>73</v>
      </c>
      <c r="O61" s="115">
        <v>70</v>
      </c>
      <c r="P61" s="115">
        <v>111</v>
      </c>
      <c r="Q61" s="115">
        <v>62</v>
      </c>
      <c r="R61" s="124">
        <v>41</v>
      </c>
      <c r="S61" s="115">
        <v>53</v>
      </c>
      <c r="T61" s="115">
        <v>53</v>
      </c>
      <c r="U61" s="115">
        <v>36</v>
      </c>
      <c r="V61" s="115">
        <v>44</v>
      </c>
      <c r="W61" s="115">
        <v>28</v>
      </c>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row>
    <row r="62" spans="1:53" x14ac:dyDescent="0.25">
      <c r="A62" s="146"/>
      <c r="B62" s="55" t="s">
        <v>93</v>
      </c>
      <c r="C62" s="56" t="s">
        <v>93</v>
      </c>
      <c r="D62" s="51" t="s">
        <v>102</v>
      </c>
      <c r="E62" s="119" t="s">
        <v>93</v>
      </c>
      <c r="F62" s="115">
        <v>0</v>
      </c>
      <c r="G62" s="115">
        <v>2</v>
      </c>
      <c r="H62" s="115">
        <v>1</v>
      </c>
      <c r="I62" s="115">
        <v>0</v>
      </c>
      <c r="J62" s="115">
        <v>0</v>
      </c>
      <c r="K62" s="115">
        <v>0</v>
      </c>
      <c r="L62" s="115">
        <v>6</v>
      </c>
      <c r="M62" s="115">
        <v>1</v>
      </c>
      <c r="N62" s="115">
        <v>2</v>
      </c>
      <c r="O62" s="115">
        <v>3</v>
      </c>
      <c r="P62" s="115">
        <v>0</v>
      </c>
      <c r="Q62" s="115">
        <v>1</v>
      </c>
      <c r="R62" s="121">
        <v>1</v>
      </c>
      <c r="S62" s="81">
        <v>0</v>
      </c>
      <c r="T62" s="81">
        <v>0</v>
      </c>
      <c r="U62" s="81">
        <v>0</v>
      </c>
      <c r="V62" s="81">
        <v>0</v>
      </c>
      <c r="W62" s="81">
        <v>1</v>
      </c>
      <c r="X62" s="46" t="s">
        <v>93</v>
      </c>
      <c r="Y62" s="46" t="s">
        <v>93</v>
      </c>
      <c r="Z62" s="46" t="s">
        <v>93</v>
      </c>
      <c r="AA62" s="46" t="s">
        <v>93</v>
      </c>
      <c r="AB62" s="46" t="s">
        <v>93</v>
      </c>
      <c r="AC62" s="46" t="s">
        <v>93</v>
      </c>
      <c r="AD62" s="46" t="s">
        <v>93</v>
      </c>
      <c r="AE62" s="46" t="s">
        <v>93</v>
      </c>
      <c r="AF62" s="46" t="s">
        <v>93</v>
      </c>
      <c r="AG62" s="46" t="s">
        <v>93</v>
      </c>
      <c r="AH62" s="46" t="s">
        <v>93</v>
      </c>
      <c r="AI62" s="46" t="s">
        <v>93</v>
      </c>
      <c r="AJ62" s="46" t="s">
        <v>93</v>
      </c>
      <c r="AK62" s="46" t="s">
        <v>93</v>
      </c>
      <c r="AL62" s="46" t="s">
        <v>93</v>
      </c>
      <c r="AM62" s="46" t="s">
        <v>93</v>
      </c>
      <c r="AN62" s="46" t="s">
        <v>93</v>
      </c>
      <c r="AO62" s="46" t="s">
        <v>93</v>
      </c>
      <c r="AP62" s="46" t="s">
        <v>93</v>
      </c>
      <c r="AQ62" s="46" t="s">
        <v>93</v>
      </c>
      <c r="AR62" s="46" t="s">
        <v>93</v>
      </c>
      <c r="AS62" s="46" t="s">
        <v>93</v>
      </c>
      <c r="AT62" s="46" t="s">
        <v>93</v>
      </c>
      <c r="AU62" s="46" t="s">
        <v>93</v>
      </c>
      <c r="AV62" s="46" t="s">
        <v>93</v>
      </c>
      <c r="AW62" s="46" t="s">
        <v>93</v>
      </c>
      <c r="AX62" s="46" t="s">
        <v>93</v>
      </c>
      <c r="AY62" s="46" t="s">
        <v>93</v>
      </c>
      <c r="AZ62" s="46"/>
      <c r="BA62" s="46"/>
    </row>
    <row r="63" spans="1:53" x14ac:dyDescent="0.25">
      <c r="A63" s="146"/>
      <c r="B63" s="55" t="s">
        <v>93</v>
      </c>
      <c r="C63" s="83" t="s">
        <v>93</v>
      </c>
      <c r="D63" s="51" t="s">
        <v>104</v>
      </c>
      <c r="E63" s="119" t="s">
        <v>93</v>
      </c>
      <c r="F63" s="115">
        <v>2</v>
      </c>
      <c r="G63" s="115">
        <v>1</v>
      </c>
      <c r="H63" s="115">
        <v>3</v>
      </c>
      <c r="I63" s="115">
        <v>7</v>
      </c>
      <c r="J63" s="115">
        <v>4</v>
      </c>
      <c r="K63" s="115">
        <v>4</v>
      </c>
      <c r="L63" s="115">
        <v>0</v>
      </c>
      <c r="M63" s="115">
        <v>0</v>
      </c>
      <c r="N63" s="115">
        <v>0</v>
      </c>
      <c r="O63" s="115">
        <v>1</v>
      </c>
      <c r="P63" s="115">
        <v>0</v>
      </c>
      <c r="Q63" s="115">
        <v>1</v>
      </c>
      <c r="R63" s="121">
        <v>0</v>
      </c>
      <c r="S63" s="81">
        <v>0</v>
      </c>
      <c r="T63" s="81">
        <v>0</v>
      </c>
      <c r="U63" s="81">
        <v>1</v>
      </c>
      <c r="V63" s="81">
        <v>1</v>
      </c>
      <c r="W63" s="81">
        <v>1</v>
      </c>
      <c r="X63" s="46" t="s">
        <v>93</v>
      </c>
      <c r="Y63" s="46" t="s">
        <v>93</v>
      </c>
      <c r="Z63" s="46" t="s">
        <v>93</v>
      </c>
      <c r="AA63" s="46" t="s">
        <v>93</v>
      </c>
      <c r="AB63" s="46" t="s">
        <v>93</v>
      </c>
      <c r="AC63" s="46" t="s">
        <v>93</v>
      </c>
      <c r="AD63" s="46" t="s">
        <v>93</v>
      </c>
      <c r="AE63" s="46" t="s">
        <v>93</v>
      </c>
      <c r="AF63" s="46" t="s">
        <v>93</v>
      </c>
      <c r="AG63" s="46" t="s">
        <v>93</v>
      </c>
      <c r="AH63" s="46" t="s">
        <v>93</v>
      </c>
      <c r="AI63" s="46" t="s">
        <v>93</v>
      </c>
      <c r="AJ63" s="46" t="s">
        <v>93</v>
      </c>
      <c r="AK63" s="46" t="s">
        <v>93</v>
      </c>
      <c r="AL63" s="46" t="s">
        <v>93</v>
      </c>
      <c r="AM63" s="46" t="s">
        <v>93</v>
      </c>
      <c r="AN63" s="46" t="s">
        <v>93</v>
      </c>
      <c r="AO63" s="46" t="s">
        <v>93</v>
      </c>
      <c r="AP63" s="46" t="s">
        <v>93</v>
      </c>
      <c r="AQ63" s="46" t="s">
        <v>93</v>
      </c>
      <c r="AR63" s="46" t="s">
        <v>93</v>
      </c>
      <c r="AS63" s="46" t="s">
        <v>93</v>
      </c>
      <c r="AT63" s="46" t="s">
        <v>93</v>
      </c>
      <c r="AU63" s="46" t="s">
        <v>93</v>
      </c>
      <c r="AV63" s="46" t="s">
        <v>93</v>
      </c>
      <c r="AW63" s="46" t="s">
        <v>93</v>
      </c>
      <c r="AX63" s="46" t="s">
        <v>93</v>
      </c>
      <c r="AY63" s="46" t="s">
        <v>93</v>
      </c>
      <c r="AZ63" s="46"/>
      <c r="BA63" s="46"/>
    </row>
    <row r="64" spans="1:53" x14ac:dyDescent="0.25">
      <c r="A64" s="146"/>
      <c r="B64" s="55"/>
      <c r="C64" s="86"/>
      <c r="D64" s="51" t="s">
        <v>106</v>
      </c>
      <c r="E64" s="119"/>
      <c r="F64" s="115">
        <v>30</v>
      </c>
      <c r="G64" s="115">
        <v>16</v>
      </c>
      <c r="H64" s="115">
        <v>31</v>
      </c>
      <c r="I64" s="115">
        <v>32</v>
      </c>
      <c r="J64" s="115">
        <v>24</v>
      </c>
      <c r="K64" s="115">
        <v>18</v>
      </c>
      <c r="L64" s="115">
        <v>3</v>
      </c>
      <c r="M64" s="115">
        <v>6</v>
      </c>
      <c r="N64" s="115">
        <v>7</v>
      </c>
      <c r="O64" s="115">
        <v>11</v>
      </c>
      <c r="P64" s="115">
        <v>12</v>
      </c>
      <c r="Q64" s="115">
        <v>18</v>
      </c>
      <c r="R64" s="121">
        <v>1</v>
      </c>
      <c r="S64" s="81">
        <v>3</v>
      </c>
      <c r="T64" s="81">
        <v>3</v>
      </c>
      <c r="U64" s="81">
        <v>0</v>
      </c>
      <c r="V64" s="81">
        <v>0</v>
      </c>
      <c r="W64" s="81">
        <v>0</v>
      </c>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row>
    <row r="65" spans="1:53" x14ac:dyDescent="0.25">
      <c r="A65" s="146"/>
      <c r="B65" s="55" t="s">
        <v>121</v>
      </c>
      <c r="C65" s="85" t="s">
        <v>122</v>
      </c>
      <c r="D65" s="51" t="s">
        <v>109</v>
      </c>
      <c r="E65" s="119"/>
      <c r="F65" s="115">
        <v>12</v>
      </c>
      <c r="G65" s="115">
        <v>6</v>
      </c>
      <c r="H65" s="115">
        <v>12</v>
      </c>
      <c r="I65" s="115">
        <v>8</v>
      </c>
      <c r="J65" s="115">
        <v>14</v>
      </c>
      <c r="K65" s="115">
        <v>16</v>
      </c>
      <c r="L65" s="115">
        <v>11</v>
      </c>
      <c r="M65" s="115">
        <v>15</v>
      </c>
      <c r="N65" s="115">
        <v>12</v>
      </c>
      <c r="O65" s="115">
        <v>13</v>
      </c>
      <c r="P65" s="115">
        <v>7</v>
      </c>
      <c r="Q65" s="115">
        <v>13</v>
      </c>
      <c r="R65" s="124">
        <v>10</v>
      </c>
      <c r="S65" s="115">
        <v>14</v>
      </c>
      <c r="T65" s="115">
        <v>5</v>
      </c>
      <c r="U65" s="115">
        <v>9</v>
      </c>
      <c r="V65" s="115">
        <v>4</v>
      </c>
      <c r="W65" s="115">
        <v>2</v>
      </c>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row>
    <row r="66" spans="1:53" x14ac:dyDescent="0.25">
      <c r="A66" s="146"/>
      <c r="B66" s="55"/>
      <c r="C66" s="44"/>
      <c r="D66" s="99" t="s">
        <v>98</v>
      </c>
      <c r="E66" s="119"/>
      <c r="F66" s="115">
        <v>1</v>
      </c>
      <c r="G66" s="115">
        <v>0</v>
      </c>
      <c r="H66" s="115">
        <v>1</v>
      </c>
      <c r="I66" s="115">
        <v>0</v>
      </c>
      <c r="J66" s="115">
        <v>0</v>
      </c>
      <c r="K66" s="115">
        <v>0</v>
      </c>
      <c r="L66" s="115">
        <v>0</v>
      </c>
      <c r="M66" s="115">
        <v>1</v>
      </c>
      <c r="N66" s="115">
        <v>0</v>
      </c>
      <c r="O66" s="115">
        <v>0</v>
      </c>
      <c r="P66" s="115">
        <v>0</v>
      </c>
      <c r="Q66" s="115">
        <v>2</v>
      </c>
      <c r="R66" s="121">
        <v>1</v>
      </c>
      <c r="S66" s="81">
        <v>0</v>
      </c>
      <c r="T66" s="81">
        <v>0</v>
      </c>
      <c r="U66" s="81">
        <v>1</v>
      </c>
      <c r="V66" s="81">
        <v>1</v>
      </c>
      <c r="W66" s="81">
        <v>0</v>
      </c>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row>
    <row r="67" spans="1:53" x14ac:dyDescent="0.25">
      <c r="A67" s="146"/>
      <c r="B67" s="55"/>
      <c r="C67" s="44"/>
      <c r="D67" s="51" t="s">
        <v>100</v>
      </c>
      <c r="E67" s="119"/>
      <c r="F67" s="115">
        <v>319</v>
      </c>
      <c r="G67" s="115">
        <v>297</v>
      </c>
      <c r="H67" s="115">
        <v>286</v>
      </c>
      <c r="I67" s="115">
        <v>265</v>
      </c>
      <c r="J67" s="115">
        <v>277</v>
      </c>
      <c r="K67" s="115">
        <v>317</v>
      </c>
      <c r="L67" s="115">
        <v>323</v>
      </c>
      <c r="M67" s="115">
        <v>327</v>
      </c>
      <c r="N67" s="115">
        <v>314</v>
      </c>
      <c r="O67" s="115">
        <v>277</v>
      </c>
      <c r="P67" s="115">
        <v>235</v>
      </c>
      <c r="Q67" s="115">
        <v>273</v>
      </c>
      <c r="R67" s="124">
        <v>304</v>
      </c>
      <c r="S67" s="115">
        <v>173</v>
      </c>
      <c r="T67" s="115">
        <v>258</v>
      </c>
      <c r="U67" s="115">
        <v>156</v>
      </c>
      <c r="V67" s="115">
        <v>94</v>
      </c>
      <c r="W67" s="115">
        <v>77</v>
      </c>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row>
    <row r="68" spans="1:53" x14ac:dyDescent="0.25">
      <c r="A68" s="146"/>
      <c r="B68" s="55"/>
      <c r="C68" s="44"/>
      <c r="D68" s="51" t="s">
        <v>102</v>
      </c>
      <c r="E68" s="119"/>
      <c r="F68" s="115">
        <v>1</v>
      </c>
      <c r="G68" s="115">
        <v>1</v>
      </c>
      <c r="H68" s="115">
        <v>0</v>
      </c>
      <c r="I68" s="115">
        <v>0</v>
      </c>
      <c r="J68" s="115">
        <v>0</v>
      </c>
      <c r="K68" s="115">
        <v>2</v>
      </c>
      <c r="L68" s="115">
        <v>2</v>
      </c>
      <c r="M68" s="115">
        <v>0</v>
      </c>
      <c r="N68" s="115">
        <v>3</v>
      </c>
      <c r="O68" s="115">
        <v>1</v>
      </c>
      <c r="P68" s="115">
        <v>3</v>
      </c>
      <c r="Q68" s="115">
        <v>1</v>
      </c>
      <c r="R68" s="121">
        <v>1</v>
      </c>
      <c r="S68" s="81">
        <v>0</v>
      </c>
      <c r="T68" s="81">
        <v>1</v>
      </c>
      <c r="U68" s="81">
        <v>2</v>
      </c>
      <c r="V68" s="81">
        <v>0</v>
      </c>
      <c r="W68" s="81">
        <v>0</v>
      </c>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row>
    <row r="69" spans="1:53" x14ac:dyDescent="0.25">
      <c r="A69" s="146"/>
      <c r="B69" s="55"/>
      <c r="C69" s="83"/>
      <c r="D69" s="51" t="s">
        <v>104</v>
      </c>
      <c r="E69" s="119"/>
      <c r="F69" s="115">
        <v>135</v>
      </c>
      <c r="G69" s="115">
        <v>157</v>
      </c>
      <c r="H69" s="115">
        <v>131</v>
      </c>
      <c r="I69" s="115">
        <v>188</v>
      </c>
      <c r="J69" s="115">
        <v>169</v>
      </c>
      <c r="K69" s="115">
        <v>222</v>
      </c>
      <c r="L69" s="115">
        <v>226</v>
      </c>
      <c r="M69" s="115">
        <v>245</v>
      </c>
      <c r="N69" s="115">
        <v>179</v>
      </c>
      <c r="O69" s="115">
        <v>181</v>
      </c>
      <c r="P69" s="115">
        <v>163</v>
      </c>
      <c r="Q69" s="115">
        <v>158</v>
      </c>
      <c r="R69" s="124">
        <v>165</v>
      </c>
      <c r="S69" s="115">
        <v>131</v>
      </c>
      <c r="T69" s="115">
        <v>141</v>
      </c>
      <c r="U69" s="115">
        <v>95</v>
      </c>
      <c r="V69" s="115">
        <v>44</v>
      </c>
      <c r="W69" s="115">
        <v>49</v>
      </c>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row>
    <row r="70" spans="1:53" x14ac:dyDescent="0.25">
      <c r="A70" s="146"/>
      <c r="B70" s="55"/>
      <c r="C70" s="83"/>
      <c r="D70" s="51" t="s">
        <v>106</v>
      </c>
      <c r="E70" s="119"/>
      <c r="F70" s="115">
        <v>2</v>
      </c>
      <c r="G70" s="115"/>
      <c r="H70" s="115">
        <v>3</v>
      </c>
      <c r="I70" s="115">
        <v>6</v>
      </c>
      <c r="J70" s="115">
        <v>5</v>
      </c>
      <c r="K70" s="115">
        <v>2</v>
      </c>
      <c r="L70" s="115">
        <v>6</v>
      </c>
      <c r="M70" s="115">
        <v>3</v>
      </c>
      <c r="N70" s="115">
        <v>1</v>
      </c>
      <c r="O70" s="115">
        <v>3</v>
      </c>
      <c r="P70" s="115">
        <v>1</v>
      </c>
      <c r="Q70" s="115">
        <v>1</v>
      </c>
      <c r="R70" s="121">
        <v>2</v>
      </c>
      <c r="S70" s="81">
        <v>0</v>
      </c>
      <c r="T70" s="81">
        <v>3</v>
      </c>
      <c r="U70" s="81">
        <v>2</v>
      </c>
      <c r="V70" s="81">
        <v>2</v>
      </c>
      <c r="W70" s="81">
        <v>0</v>
      </c>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row>
    <row r="71" spans="1:53" ht="58" x14ac:dyDescent="0.25">
      <c r="A71" s="146">
        <v>5</v>
      </c>
      <c r="B71" s="152" t="s">
        <v>123</v>
      </c>
      <c r="C71" s="153"/>
      <c r="D71" s="152"/>
      <c r="E71" s="49" t="s">
        <v>124</v>
      </c>
      <c r="F71" s="48" t="s">
        <v>93</v>
      </c>
      <c r="G71" s="92" t="s">
        <v>93</v>
      </c>
      <c r="H71" s="93" t="s">
        <v>93</v>
      </c>
      <c r="I71" s="91" t="s">
        <v>93</v>
      </c>
      <c r="J71" s="48" t="s">
        <v>93</v>
      </c>
      <c r="K71" s="92" t="s">
        <v>93</v>
      </c>
      <c r="L71" s="48" t="s">
        <v>93</v>
      </c>
      <c r="M71" s="48" t="s">
        <v>93</v>
      </c>
      <c r="N71" s="92" t="s">
        <v>93</v>
      </c>
      <c r="O71" s="92" t="s">
        <v>93</v>
      </c>
      <c r="P71" s="92" t="s">
        <v>93</v>
      </c>
      <c r="Q71" s="93" t="s">
        <v>93</v>
      </c>
      <c r="R71" s="117" t="s">
        <v>93</v>
      </c>
      <c r="S71" s="117" t="s">
        <v>93</v>
      </c>
      <c r="T71" s="117" t="s">
        <v>93</v>
      </c>
      <c r="U71" s="117" t="s">
        <v>93</v>
      </c>
      <c r="V71" s="117"/>
      <c r="W71" s="117"/>
      <c r="X71" s="58" t="s">
        <v>93</v>
      </c>
      <c r="Y71" s="58"/>
      <c r="Z71" s="58"/>
      <c r="AA71" s="58"/>
      <c r="AB71" s="58"/>
      <c r="AC71" s="58"/>
      <c r="AD71" s="58"/>
      <c r="AE71" s="58"/>
      <c r="AF71" s="58"/>
      <c r="AG71" s="58"/>
      <c r="AH71" s="58"/>
      <c r="AI71" s="58"/>
      <c r="AJ71" s="58"/>
      <c r="AK71" s="58"/>
      <c r="AL71" s="58"/>
      <c r="AM71" s="58" t="s">
        <v>93</v>
      </c>
      <c r="AN71" s="58" t="s">
        <v>93</v>
      </c>
      <c r="AO71" s="58" t="s">
        <v>93</v>
      </c>
      <c r="AP71" s="58" t="s">
        <v>93</v>
      </c>
      <c r="AQ71" s="58" t="s">
        <v>93</v>
      </c>
      <c r="AR71" s="58" t="s">
        <v>93</v>
      </c>
      <c r="AS71" s="58" t="s">
        <v>93</v>
      </c>
      <c r="AT71" s="58" t="s">
        <v>93</v>
      </c>
      <c r="AU71" s="58" t="s">
        <v>93</v>
      </c>
      <c r="AV71" s="58" t="s">
        <v>93</v>
      </c>
      <c r="AW71" s="58" t="s">
        <v>93</v>
      </c>
      <c r="AX71" s="58" t="s">
        <v>93</v>
      </c>
      <c r="AY71" s="58" t="s">
        <v>93</v>
      </c>
      <c r="AZ71" s="46"/>
      <c r="BA71" s="46"/>
    </row>
    <row r="72" spans="1:53" ht="44" x14ac:dyDescent="0.25">
      <c r="A72" s="147"/>
      <c r="B72" s="48" t="s">
        <v>94</v>
      </c>
      <c r="C72" s="154" t="s">
        <v>125</v>
      </c>
      <c r="D72" s="154"/>
      <c r="E72" s="102" t="s">
        <v>126</v>
      </c>
      <c r="F72" s="48">
        <v>19159</v>
      </c>
      <c r="G72" s="92">
        <v>33359</v>
      </c>
      <c r="H72" s="93">
        <v>36570</v>
      </c>
      <c r="I72" s="91">
        <v>39444</v>
      </c>
      <c r="J72" s="48">
        <v>57033</v>
      </c>
      <c r="K72" s="92">
        <v>78091</v>
      </c>
      <c r="L72" s="48">
        <v>75980</v>
      </c>
      <c r="M72" s="48">
        <v>77661</v>
      </c>
      <c r="N72" s="92">
        <v>76491</v>
      </c>
      <c r="O72" s="92">
        <v>64987</v>
      </c>
      <c r="P72" s="92">
        <v>73026</v>
      </c>
      <c r="Q72" s="93">
        <v>70052</v>
      </c>
      <c r="R72" s="115">
        <v>61615</v>
      </c>
      <c r="S72" s="115">
        <v>52572</v>
      </c>
      <c r="T72" s="115">
        <v>52356</v>
      </c>
      <c r="U72" s="115">
        <v>49576</v>
      </c>
      <c r="V72" s="115">
        <v>55126</v>
      </c>
      <c r="W72" s="115">
        <v>43521</v>
      </c>
      <c r="X72" s="58" t="s">
        <v>93</v>
      </c>
      <c r="Y72" s="58"/>
      <c r="Z72" s="58"/>
      <c r="AA72" s="58"/>
      <c r="AB72" s="58"/>
      <c r="AC72" s="58"/>
      <c r="AD72" s="58"/>
      <c r="AE72" s="58"/>
      <c r="AF72" s="58"/>
      <c r="AG72" s="58"/>
      <c r="AH72" s="58"/>
      <c r="AI72" s="58"/>
      <c r="AJ72" s="58"/>
      <c r="AK72" s="58"/>
      <c r="AL72" s="58"/>
      <c r="AM72" s="58" t="s">
        <v>93</v>
      </c>
      <c r="AN72" s="58" t="s">
        <v>93</v>
      </c>
      <c r="AO72" s="58" t="s">
        <v>93</v>
      </c>
      <c r="AP72" s="58" t="s">
        <v>93</v>
      </c>
      <c r="AQ72" s="58" t="s">
        <v>93</v>
      </c>
      <c r="AR72" s="58" t="s">
        <v>93</v>
      </c>
      <c r="AS72" s="58" t="s">
        <v>93</v>
      </c>
      <c r="AT72" s="58" t="s">
        <v>93</v>
      </c>
      <c r="AU72" s="58" t="s">
        <v>93</v>
      </c>
      <c r="AV72" s="58" t="s">
        <v>93</v>
      </c>
      <c r="AW72" s="58" t="s">
        <v>93</v>
      </c>
      <c r="AX72" s="58" t="s">
        <v>93</v>
      </c>
      <c r="AY72" s="58" t="s">
        <v>93</v>
      </c>
      <c r="AZ72" s="46"/>
      <c r="BA72" s="46"/>
    </row>
    <row r="73" spans="1:53" ht="17" x14ac:dyDescent="0.25">
      <c r="A73" s="147"/>
      <c r="B73" s="48" t="s">
        <v>97</v>
      </c>
      <c r="C73" s="103" t="s">
        <v>127</v>
      </c>
      <c r="D73" s="59" t="s">
        <v>93</v>
      </c>
      <c r="E73" s="102" t="s">
        <v>93</v>
      </c>
      <c r="F73" s="48">
        <v>1138</v>
      </c>
      <c r="G73" s="92">
        <v>957</v>
      </c>
      <c r="H73" s="93">
        <v>942</v>
      </c>
      <c r="I73" s="91">
        <v>1324</v>
      </c>
      <c r="J73" s="48">
        <v>1306</v>
      </c>
      <c r="K73" s="92">
        <v>1282</v>
      </c>
      <c r="L73" s="48">
        <v>1101</v>
      </c>
      <c r="M73" s="48">
        <v>1411</v>
      </c>
      <c r="N73" s="92">
        <v>1063</v>
      </c>
      <c r="O73" s="92">
        <v>1275</v>
      </c>
      <c r="P73" s="92">
        <v>1328</v>
      </c>
      <c r="Q73" s="93">
        <v>1439</v>
      </c>
      <c r="R73" s="116">
        <v>1734</v>
      </c>
      <c r="S73" s="116">
        <v>1255</v>
      </c>
      <c r="T73" s="116">
        <v>1515</v>
      </c>
      <c r="U73" s="116">
        <v>1472</v>
      </c>
      <c r="V73" s="116">
        <v>1290</v>
      </c>
      <c r="W73" s="116">
        <v>1494</v>
      </c>
      <c r="X73" s="58" t="s">
        <v>93</v>
      </c>
      <c r="Y73" s="58"/>
      <c r="Z73" s="58"/>
      <c r="AA73" s="58"/>
      <c r="AB73" s="58"/>
      <c r="AC73" s="58"/>
      <c r="AD73" s="58"/>
      <c r="AE73" s="58"/>
      <c r="AF73" s="58"/>
      <c r="AG73" s="58"/>
      <c r="AH73" s="58"/>
      <c r="AI73" s="58"/>
      <c r="AJ73" s="58"/>
      <c r="AK73" s="58"/>
      <c r="AL73" s="58"/>
      <c r="AM73" s="58" t="s">
        <v>93</v>
      </c>
      <c r="AN73" s="58" t="s">
        <v>93</v>
      </c>
      <c r="AO73" s="58" t="s">
        <v>93</v>
      </c>
      <c r="AP73" s="58" t="s">
        <v>93</v>
      </c>
      <c r="AQ73" s="58" t="s">
        <v>93</v>
      </c>
      <c r="AR73" s="58" t="s">
        <v>93</v>
      </c>
      <c r="AS73" s="58" t="s">
        <v>93</v>
      </c>
      <c r="AT73" s="58" t="s">
        <v>93</v>
      </c>
      <c r="AU73" s="58" t="s">
        <v>93</v>
      </c>
      <c r="AV73" s="58" t="s">
        <v>93</v>
      </c>
      <c r="AW73" s="58" t="s">
        <v>93</v>
      </c>
      <c r="AX73" s="58" t="s">
        <v>93</v>
      </c>
      <c r="AY73" s="58" t="s">
        <v>93</v>
      </c>
      <c r="AZ73" s="46"/>
      <c r="BA73" s="46"/>
    </row>
    <row r="74" spans="1:53" ht="17" x14ac:dyDescent="0.25">
      <c r="A74" s="147"/>
      <c r="B74" s="48" t="s">
        <v>111</v>
      </c>
      <c r="C74" s="154" t="s">
        <v>128</v>
      </c>
      <c r="D74" s="154"/>
      <c r="E74" s="60" t="s">
        <v>93</v>
      </c>
      <c r="F74" s="92">
        <v>224</v>
      </c>
      <c r="G74" s="92">
        <v>169</v>
      </c>
      <c r="H74" s="93">
        <v>127</v>
      </c>
      <c r="I74" s="91">
        <v>92</v>
      </c>
      <c r="J74" s="48">
        <v>98</v>
      </c>
      <c r="K74" s="92">
        <v>117</v>
      </c>
      <c r="L74" s="48">
        <v>135</v>
      </c>
      <c r="M74" s="92">
        <v>157</v>
      </c>
      <c r="N74" s="92">
        <v>137</v>
      </c>
      <c r="O74" s="92">
        <v>148</v>
      </c>
      <c r="P74" s="92">
        <v>87</v>
      </c>
      <c r="Q74" s="93">
        <v>125</v>
      </c>
      <c r="R74" s="94">
        <v>66</v>
      </c>
      <c r="S74" s="94">
        <v>36</v>
      </c>
      <c r="T74" s="94">
        <v>54</v>
      </c>
      <c r="U74" s="94">
        <v>54</v>
      </c>
      <c r="V74" s="94">
        <v>72</v>
      </c>
      <c r="W74" s="94">
        <v>191</v>
      </c>
      <c r="X74" s="58" t="s">
        <v>93</v>
      </c>
      <c r="Y74" s="58"/>
      <c r="Z74" s="58"/>
      <c r="AA74" s="58"/>
      <c r="AB74" s="58"/>
      <c r="AC74" s="58"/>
      <c r="AD74" s="58"/>
      <c r="AE74" s="58"/>
      <c r="AF74" s="58"/>
      <c r="AG74" s="58"/>
      <c r="AH74" s="58"/>
      <c r="AI74" s="58"/>
      <c r="AJ74" s="58"/>
      <c r="AK74" s="58"/>
      <c r="AL74" s="58"/>
      <c r="AM74" s="58" t="s">
        <v>93</v>
      </c>
      <c r="AN74" s="58" t="s">
        <v>93</v>
      </c>
      <c r="AO74" s="58" t="s">
        <v>93</v>
      </c>
      <c r="AP74" s="58" t="s">
        <v>93</v>
      </c>
      <c r="AQ74" s="58" t="s">
        <v>93</v>
      </c>
      <c r="AR74" s="58" t="s">
        <v>93</v>
      </c>
      <c r="AS74" s="58" t="s">
        <v>93</v>
      </c>
      <c r="AT74" s="58" t="s">
        <v>93</v>
      </c>
      <c r="AU74" s="58" t="s">
        <v>93</v>
      </c>
      <c r="AV74" s="58" t="s">
        <v>93</v>
      </c>
      <c r="AW74" s="58" t="s">
        <v>93</v>
      </c>
      <c r="AX74" s="58" t="s">
        <v>93</v>
      </c>
      <c r="AY74" s="58" t="s">
        <v>93</v>
      </c>
      <c r="AZ74" s="46"/>
      <c r="BA74" s="46"/>
    </row>
    <row r="75" spans="1:53" x14ac:dyDescent="0.25">
      <c r="A75" s="147"/>
      <c r="B75" s="48" t="s">
        <v>99</v>
      </c>
      <c r="C75" s="154" t="s">
        <v>129</v>
      </c>
      <c r="D75" s="154"/>
      <c r="E75" s="60" t="s">
        <v>93</v>
      </c>
      <c r="F75" s="48">
        <v>81</v>
      </c>
      <c r="G75" s="48">
        <v>11</v>
      </c>
      <c r="H75" s="48">
        <v>4</v>
      </c>
      <c r="I75" s="48">
        <v>39</v>
      </c>
      <c r="J75" s="48">
        <v>10</v>
      </c>
      <c r="K75" s="48">
        <v>3</v>
      </c>
      <c r="L75" s="48">
        <v>2</v>
      </c>
      <c r="M75" s="48">
        <v>2</v>
      </c>
      <c r="N75" s="48">
        <v>11</v>
      </c>
      <c r="O75" s="48">
        <v>18</v>
      </c>
      <c r="P75" s="48">
        <v>0</v>
      </c>
      <c r="Q75" s="51">
        <v>50</v>
      </c>
      <c r="R75" s="81">
        <v>2</v>
      </c>
      <c r="S75" s="81">
        <v>1</v>
      </c>
      <c r="T75" s="81">
        <v>3</v>
      </c>
      <c r="U75" s="81">
        <v>1</v>
      </c>
      <c r="V75" s="81">
        <v>20</v>
      </c>
      <c r="W75" s="81">
        <v>78</v>
      </c>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row>
    <row r="76" spans="1:53" x14ac:dyDescent="0.25">
      <c r="A76" s="147"/>
      <c r="B76" s="62" t="s">
        <v>101</v>
      </c>
      <c r="C76" s="155" t="s">
        <v>130</v>
      </c>
      <c r="D76" s="155"/>
      <c r="E76" s="61" t="s">
        <v>93</v>
      </c>
      <c r="F76" s="48" t="s">
        <v>93</v>
      </c>
      <c r="G76" s="48" t="s">
        <v>93</v>
      </c>
      <c r="H76" s="48" t="s">
        <v>93</v>
      </c>
      <c r="I76" s="48" t="s">
        <v>93</v>
      </c>
      <c r="J76" s="48" t="s">
        <v>93</v>
      </c>
      <c r="K76" s="48" t="s">
        <v>93</v>
      </c>
      <c r="L76" s="48" t="s">
        <v>93</v>
      </c>
      <c r="M76" s="48" t="s">
        <v>93</v>
      </c>
      <c r="N76" s="48" t="s">
        <v>93</v>
      </c>
      <c r="O76" s="48" t="s">
        <v>93</v>
      </c>
      <c r="P76" s="48" t="s">
        <v>93</v>
      </c>
      <c r="Q76" s="51" t="s">
        <v>93</v>
      </c>
      <c r="R76" s="81" t="s">
        <v>93</v>
      </c>
      <c r="S76" s="81" t="s">
        <v>93</v>
      </c>
      <c r="T76" s="81" t="s">
        <v>93</v>
      </c>
      <c r="U76" s="81" t="s">
        <v>93</v>
      </c>
      <c r="V76" s="81"/>
      <c r="W76" s="81"/>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row>
    <row r="77" spans="1:53" ht="44" x14ac:dyDescent="0.25">
      <c r="A77" s="146">
        <v>6</v>
      </c>
      <c r="B77" s="149" t="s">
        <v>131</v>
      </c>
      <c r="C77" s="149"/>
      <c r="D77" s="150"/>
      <c r="E77" s="104" t="s">
        <v>132</v>
      </c>
      <c r="F77" s="62" t="s">
        <v>93</v>
      </c>
      <c r="G77" s="62" t="s">
        <v>93</v>
      </c>
      <c r="H77" s="62" t="s">
        <v>93</v>
      </c>
      <c r="I77" s="62" t="s">
        <v>93</v>
      </c>
      <c r="J77" s="62" t="s">
        <v>93</v>
      </c>
      <c r="K77" s="62" t="s">
        <v>93</v>
      </c>
      <c r="L77" s="62" t="s">
        <v>93</v>
      </c>
      <c r="M77" s="62" t="s">
        <v>93</v>
      </c>
      <c r="N77" s="62" t="s">
        <v>93</v>
      </c>
      <c r="O77" s="62" t="s">
        <v>93</v>
      </c>
      <c r="P77" s="62" t="s">
        <v>93</v>
      </c>
      <c r="Q77" s="46" t="s">
        <v>93</v>
      </c>
      <c r="R77" s="81" t="s">
        <v>93</v>
      </c>
      <c r="S77" s="81" t="s">
        <v>93</v>
      </c>
      <c r="T77" s="81" t="s">
        <v>93</v>
      </c>
      <c r="U77" s="81" t="s">
        <v>93</v>
      </c>
      <c r="V77" s="81"/>
      <c r="W77" s="81"/>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row>
    <row r="78" spans="1:53" ht="16.5" customHeight="1" x14ac:dyDescent="0.25">
      <c r="A78" s="147"/>
      <c r="B78" s="71" t="s">
        <v>94</v>
      </c>
      <c r="C78" s="143" t="s">
        <v>108</v>
      </c>
      <c r="D78" s="143"/>
      <c r="E78" s="151" t="s">
        <v>133</v>
      </c>
      <c r="F78" s="88">
        <v>2.2800925925925927E-3</v>
      </c>
      <c r="G78" s="89">
        <v>2.2685185185185187E-3</v>
      </c>
      <c r="H78" s="89">
        <v>2.2569444444444442E-3</v>
      </c>
      <c r="I78" s="89">
        <v>2.5347222222222221E-3</v>
      </c>
      <c r="J78" s="89">
        <v>2.5347222222222221E-3</v>
      </c>
      <c r="K78" s="89">
        <v>2.5925925925925925E-3</v>
      </c>
      <c r="L78" s="89">
        <v>2.662037037037037E-3</v>
      </c>
      <c r="M78" s="89">
        <v>2.7083333333333334E-3</v>
      </c>
      <c r="N78" s="89">
        <v>2.7314814814814814E-3</v>
      </c>
      <c r="O78" s="89">
        <v>2.638888888888889E-3</v>
      </c>
      <c r="P78" s="89">
        <v>2.7662037037037039E-3</v>
      </c>
      <c r="Q78" s="108">
        <v>2.7083333333333334E-3</v>
      </c>
      <c r="R78" s="90">
        <v>2.5694444444444445E-3</v>
      </c>
      <c r="S78" s="90">
        <v>2.5578703703703705E-3</v>
      </c>
      <c r="T78" s="90">
        <v>2.5694444444444445E-3</v>
      </c>
      <c r="U78" s="90">
        <v>2.650462962962963E-3</v>
      </c>
      <c r="V78" s="90"/>
      <c r="W78" s="90">
        <v>2.5578703703703705E-3</v>
      </c>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row>
    <row r="79" spans="1:53" x14ac:dyDescent="0.25">
      <c r="A79" s="147"/>
      <c r="B79" s="71" t="s">
        <v>97</v>
      </c>
      <c r="C79" s="143" t="s">
        <v>110</v>
      </c>
      <c r="D79" s="143"/>
      <c r="E79" s="151"/>
      <c r="F79" s="71">
        <v>0</v>
      </c>
      <c r="G79" s="71">
        <v>0</v>
      </c>
      <c r="H79" s="71">
        <v>0</v>
      </c>
      <c r="I79" s="71">
        <v>0</v>
      </c>
      <c r="J79" s="71">
        <v>0</v>
      </c>
      <c r="K79" s="71">
        <v>0</v>
      </c>
      <c r="L79" s="71">
        <v>0</v>
      </c>
      <c r="M79" s="71">
        <v>0</v>
      </c>
      <c r="N79" s="71">
        <v>0</v>
      </c>
      <c r="O79" s="71">
        <v>0</v>
      </c>
      <c r="P79" s="71">
        <v>0</v>
      </c>
      <c r="Q79" s="109">
        <v>0</v>
      </c>
      <c r="R79" s="81">
        <v>0</v>
      </c>
      <c r="S79" s="81">
        <v>0</v>
      </c>
      <c r="T79" s="81">
        <v>0</v>
      </c>
      <c r="U79" s="81">
        <v>0</v>
      </c>
      <c r="V79" s="81"/>
      <c r="W79" s="81"/>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row>
    <row r="80" spans="1:53" x14ac:dyDescent="0.25">
      <c r="A80" s="147"/>
      <c r="B80" s="71" t="s">
        <v>111</v>
      </c>
      <c r="C80" s="143" t="s">
        <v>112</v>
      </c>
      <c r="D80" s="143"/>
      <c r="E80" s="151"/>
      <c r="F80" s="71">
        <v>0</v>
      </c>
      <c r="G80" s="71">
        <v>0</v>
      </c>
      <c r="H80" s="71">
        <v>0</v>
      </c>
      <c r="I80" s="71">
        <v>0</v>
      </c>
      <c r="J80" s="71">
        <v>0</v>
      </c>
      <c r="K80" s="71">
        <v>0</v>
      </c>
      <c r="L80" s="71">
        <v>0</v>
      </c>
      <c r="M80" s="71">
        <v>0</v>
      </c>
      <c r="N80" s="71">
        <v>0</v>
      </c>
      <c r="O80" s="71">
        <v>0</v>
      </c>
      <c r="P80" s="71">
        <v>0</v>
      </c>
      <c r="Q80" s="109">
        <v>0</v>
      </c>
      <c r="R80" s="81">
        <v>0</v>
      </c>
      <c r="S80" s="81">
        <v>0</v>
      </c>
      <c r="T80" s="81">
        <v>0</v>
      </c>
      <c r="U80" s="81">
        <v>0</v>
      </c>
      <c r="V80" s="90"/>
      <c r="W80" s="90"/>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row>
    <row r="81" spans="1:53" x14ac:dyDescent="0.25">
      <c r="A81" s="147"/>
      <c r="B81" s="71" t="s">
        <v>99</v>
      </c>
      <c r="C81" s="143" t="s">
        <v>113</v>
      </c>
      <c r="D81" s="143"/>
      <c r="E81" s="151"/>
      <c r="F81" s="71">
        <v>0</v>
      </c>
      <c r="G81" s="71">
        <v>0</v>
      </c>
      <c r="H81" s="71">
        <v>0</v>
      </c>
      <c r="I81" s="71">
        <v>0</v>
      </c>
      <c r="J81" s="71">
        <v>0</v>
      </c>
      <c r="K81" s="71">
        <v>0</v>
      </c>
      <c r="L81" s="71">
        <v>0</v>
      </c>
      <c r="M81" s="71">
        <v>0</v>
      </c>
      <c r="N81" s="71">
        <v>0</v>
      </c>
      <c r="O81" s="71">
        <v>0</v>
      </c>
      <c r="P81" s="71">
        <v>0</v>
      </c>
      <c r="Q81" s="109">
        <v>0</v>
      </c>
      <c r="R81" s="81">
        <v>0</v>
      </c>
      <c r="S81" s="81">
        <v>0</v>
      </c>
      <c r="T81" s="81">
        <v>0</v>
      </c>
      <c r="U81" s="81">
        <v>0</v>
      </c>
      <c r="V81" s="81"/>
      <c r="W81" s="81"/>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row>
    <row r="82" spans="1:53" x14ac:dyDescent="0.25">
      <c r="A82" s="147"/>
      <c r="B82" s="71" t="s">
        <v>101</v>
      </c>
      <c r="C82" s="143" t="s">
        <v>114</v>
      </c>
      <c r="D82" s="143"/>
      <c r="E82" s="151"/>
      <c r="F82" s="90">
        <v>6.8634259259259256E-3</v>
      </c>
      <c r="G82" s="89">
        <v>6.7129629629629631E-3</v>
      </c>
      <c r="H82" s="89">
        <v>6.5277777777777782E-3</v>
      </c>
      <c r="I82" s="89">
        <v>6.6435185185185182E-3</v>
      </c>
      <c r="J82" s="89">
        <v>6.4004629629629628E-3</v>
      </c>
      <c r="K82" s="89">
        <v>6.5856481481481478E-3</v>
      </c>
      <c r="L82" s="89">
        <v>7.1064814814814819E-3</v>
      </c>
      <c r="M82" s="89">
        <v>6.8634259259259256E-3</v>
      </c>
      <c r="N82" s="89">
        <v>6.6666666666666671E-3</v>
      </c>
      <c r="O82" s="89">
        <v>6.5856481481481478E-3</v>
      </c>
      <c r="P82" s="89">
        <v>7.0717592592592594E-3</v>
      </c>
      <c r="Q82" s="108">
        <v>6.4699074074074077E-3</v>
      </c>
      <c r="R82" s="90">
        <v>6.6319444444444446E-3</v>
      </c>
      <c r="S82" s="90">
        <v>6.6203703703703702E-3</v>
      </c>
      <c r="T82" s="90">
        <v>6.7245370370370367E-3</v>
      </c>
      <c r="U82" s="90">
        <v>7.1527777777777779E-3</v>
      </c>
      <c r="V82" s="90">
        <v>6.4004629629629628E-3</v>
      </c>
      <c r="W82" s="90">
        <v>7.2800925925925923E-3</v>
      </c>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row>
    <row r="83" spans="1:53" x14ac:dyDescent="0.25">
      <c r="A83" s="147"/>
      <c r="B83" s="71" t="s">
        <v>115</v>
      </c>
      <c r="C83" s="143" t="s">
        <v>116</v>
      </c>
      <c r="D83" s="143"/>
      <c r="E83" s="151"/>
      <c r="F83" s="71">
        <v>0</v>
      </c>
      <c r="G83" s="71">
        <v>0</v>
      </c>
      <c r="H83" s="71">
        <v>0</v>
      </c>
      <c r="I83" s="71">
        <v>0</v>
      </c>
      <c r="J83" s="71">
        <v>0</v>
      </c>
      <c r="K83" s="71">
        <v>0</v>
      </c>
      <c r="L83" s="71">
        <v>0</v>
      </c>
      <c r="M83" s="71">
        <v>0</v>
      </c>
      <c r="N83" s="71">
        <v>0</v>
      </c>
      <c r="O83" s="71">
        <v>0</v>
      </c>
      <c r="P83" s="71">
        <v>0</v>
      </c>
      <c r="Q83" s="109">
        <v>0</v>
      </c>
      <c r="R83" s="81">
        <v>0</v>
      </c>
      <c r="S83" s="81">
        <v>0</v>
      </c>
      <c r="T83" s="81">
        <v>0</v>
      </c>
      <c r="U83" s="81">
        <v>0</v>
      </c>
      <c r="V83" s="81"/>
      <c r="W83" s="81"/>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row>
    <row r="84" spans="1:53" x14ac:dyDescent="0.25">
      <c r="A84" s="147"/>
      <c r="B84" s="71" t="s">
        <v>103</v>
      </c>
      <c r="C84" s="143" t="s">
        <v>117</v>
      </c>
      <c r="D84" s="143"/>
      <c r="E84" s="151"/>
      <c r="F84" s="71">
        <v>0</v>
      </c>
      <c r="G84" s="71">
        <v>0</v>
      </c>
      <c r="H84" s="71">
        <v>0</v>
      </c>
      <c r="I84" s="71">
        <v>0</v>
      </c>
      <c r="J84" s="71">
        <v>0</v>
      </c>
      <c r="K84" s="71">
        <v>0</v>
      </c>
      <c r="L84" s="71">
        <v>0</v>
      </c>
      <c r="M84" s="71">
        <v>0</v>
      </c>
      <c r="N84" s="71">
        <v>0</v>
      </c>
      <c r="O84" s="71">
        <v>0</v>
      </c>
      <c r="P84" s="71">
        <v>0</v>
      </c>
      <c r="Q84" s="109">
        <v>0</v>
      </c>
      <c r="R84" s="81">
        <v>0</v>
      </c>
      <c r="S84" s="81">
        <v>0</v>
      </c>
      <c r="T84" s="81">
        <v>0</v>
      </c>
      <c r="U84" s="81">
        <v>0</v>
      </c>
      <c r="V84" s="81"/>
      <c r="W84" s="81"/>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row>
    <row r="85" spans="1:53" x14ac:dyDescent="0.25">
      <c r="A85" s="147"/>
      <c r="B85" s="71" t="s">
        <v>105</v>
      </c>
      <c r="C85" s="143" t="s">
        <v>118</v>
      </c>
      <c r="D85" s="143"/>
      <c r="E85" s="151"/>
      <c r="F85" s="71">
        <v>0</v>
      </c>
      <c r="G85" s="71">
        <v>0</v>
      </c>
      <c r="H85" s="71">
        <v>0</v>
      </c>
      <c r="I85" s="71">
        <v>0</v>
      </c>
      <c r="J85" s="71">
        <v>0</v>
      </c>
      <c r="K85" s="71">
        <v>0</v>
      </c>
      <c r="L85" s="71">
        <v>0</v>
      </c>
      <c r="M85" s="71">
        <v>0</v>
      </c>
      <c r="N85" s="71">
        <v>0</v>
      </c>
      <c r="O85" s="71">
        <v>0</v>
      </c>
      <c r="P85" s="71">
        <v>0</v>
      </c>
      <c r="Q85" s="109">
        <v>0</v>
      </c>
      <c r="R85" s="81">
        <v>0</v>
      </c>
      <c r="S85" s="81">
        <v>0</v>
      </c>
      <c r="T85" s="81">
        <v>0</v>
      </c>
      <c r="U85" s="81">
        <v>0</v>
      </c>
      <c r="V85" s="90"/>
      <c r="W85" s="90"/>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row>
    <row r="86" spans="1:53" x14ac:dyDescent="0.25">
      <c r="A86" s="147"/>
      <c r="B86" s="87" t="s">
        <v>119</v>
      </c>
      <c r="C86" s="143" t="s">
        <v>120</v>
      </c>
      <c r="D86" s="143"/>
      <c r="E86" s="151"/>
      <c r="F86" s="71">
        <v>0</v>
      </c>
      <c r="G86" s="71">
        <v>0</v>
      </c>
      <c r="H86" s="71">
        <v>0</v>
      </c>
      <c r="I86" s="71">
        <v>0</v>
      </c>
      <c r="J86" s="71">
        <v>0</v>
      </c>
      <c r="K86" s="71">
        <v>0</v>
      </c>
      <c r="L86" s="71">
        <v>0</v>
      </c>
      <c r="M86" s="71">
        <v>0</v>
      </c>
      <c r="N86" s="71">
        <v>0</v>
      </c>
      <c r="O86" s="71">
        <v>0</v>
      </c>
      <c r="P86" s="71">
        <v>0</v>
      </c>
      <c r="Q86" s="109">
        <v>0</v>
      </c>
      <c r="R86" s="81">
        <v>0</v>
      </c>
      <c r="S86" s="81">
        <v>0</v>
      </c>
      <c r="T86" s="81">
        <v>0</v>
      </c>
      <c r="U86" s="81">
        <v>0</v>
      </c>
      <c r="V86" s="90"/>
      <c r="W86" s="90"/>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row>
    <row r="87" spans="1:53" x14ac:dyDescent="0.25">
      <c r="A87" s="148"/>
      <c r="B87" s="81" t="s">
        <v>121</v>
      </c>
      <c r="C87" s="143" t="s">
        <v>122</v>
      </c>
      <c r="D87" s="143"/>
      <c r="E87" s="151"/>
      <c r="F87" s="71">
        <v>0</v>
      </c>
      <c r="G87" s="71">
        <v>0</v>
      </c>
      <c r="H87" s="71">
        <v>0</v>
      </c>
      <c r="I87" s="71">
        <v>0</v>
      </c>
      <c r="J87" s="71">
        <v>0</v>
      </c>
      <c r="K87" s="71">
        <v>0</v>
      </c>
      <c r="L87" s="71">
        <v>0</v>
      </c>
      <c r="M87" s="71">
        <v>0</v>
      </c>
      <c r="N87" s="71">
        <v>0</v>
      </c>
      <c r="O87" s="71">
        <v>0</v>
      </c>
      <c r="P87" s="71">
        <v>0</v>
      </c>
      <c r="Q87" s="109">
        <v>0</v>
      </c>
      <c r="R87" s="81">
        <v>0</v>
      </c>
      <c r="S87" s="81">
        <v>0</v>
      </c>
      <c r="T87" s="81">
        <v>0</v>
      </c>
      <c r="U87" s="81">
        <v>0</v>
      </c>
      <c r="V87" s="90"/>
      <c r="W87" s="90"/>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row>
    <row r="88" spans="1:53" x14ac:dyDescent="0.25">
      <c r="A88" s="70"/>
      <c r="C88" s="65" t="s">
        <v>134</v>
      </c>
      <c r="D88" s="66" t="s">
        <v>135</v>
      </c>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row>
    <row r="89" spans="1:53" x14ac:dyDescent="0.25">
      <c r="A89" s="70"/>
      <c r="B89" s="46"/>
      <c r="C89" s="65"/>
      <c r="D89" s="66" t="s">
        <v>136</v>
      </c>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row>
    <row r="90" spans="1:53" x14ac:dyDescent="0.25">
      <c r="A90" s="70"/>
      <c r="B90" s="46"/>
      <c r="C90" s="65"/>
      <c r="D90" s="66" t="s">
        <v>137</v>
      </c>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row>
    <row r="91" spans="1:53" x14ac:dyDescent="0.25">
      <c r="A91" s="70"/>
      <c r="B91" s="46"/>
      <c r="C91" s="65" t="s">
        <v>138</v>
      </c>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row>
    <row r="92" spans="1:53" x14ac:dyDescent="0.25">
      <c r="A92" s="70"/>
      <c r="B92" s="46"/>
      <c r="C92" s="63" t="s">
        <v>95</v>
      </c>
      <c r="D92" s="141" t="s">
        <v>139</v>
      </c>
      <c r="E92" s="141"/>
      <c r="F92" s="141"/>
      <c r="G92" s="141"/>
      <c r="H92" s="141"/>
      <c r="I92" s="141"/>
      <c r="J92" s="141"/>
      <c r="K92" s="141"/>
      <c r="L92" s="141"/>
      <c r="M92" s="141"/>
      <c r="N92" s="141"/>
      <c r="O92" s="142"/>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row>
    <row r="93" spans="1:53" x14ac:dyDescent="0.25">
      <c r="A93" s="70"/>
      <c r="B93" s="46"/>
      <c r="C93" s="57" t="s">
        <v>140</v>
      </c>
      <c r="D93" s="141" t="s">
        <v>141</v>
      </c>
      <c r="E93" s="141"/>
      <c r="F93" s="141"/>
      <c r="G93" s="141"/>
      <c r="H93" s="141"/>
      <c r="I93" s="141"/>
      <c r="J93" s="141"/>
      <c r="K93" s="141"/>
      <c r="L93" s="141"/>
      <c r="M93" s="141"/>
      <c r="N93" s="141"/>
      <c r="O93" s="142"/>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row>
    <row r="94" spans="1:53" x14ac:dyDescent="0.25">
      <c r="A94" s="70"/>
      <c r="B94" s="46"/>
      <c r="C94" s="57" t="s">
        <v>142</v>
      </c>
      <c r="D94" s="141" t="s">
        <v>143</v>
      </c>
      <c r="E94" s="141"/>
      <c r="F94" s="141"/>
      <c r="G94" s="141"/>
      <c r="H94" s="141"/>
      <c r="I94" s="141"/>
      <c r="J94" s="141"/>
      <c r="K94" s="141"/>
      <c r="L94" s="141"/>
      <c r="M94" s="141"/>
      <c r="N94" s="141"/>
      <c r="O94" s="142"/>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row>
    <row r="95" spans="1:53" x14ac:dyDescent="0.25">
      <c r="A95" s="70"/>
      <c r="B95" s="46"/>
      <c r="C95" s="57" t="s">
        <v>100</v>
      </c>
      <c r="D95" s="141" t="s">
        <v>144</v>
      </c>
      <c r="E95" s="141"/>
      <c r="F95" s="141"/>
      <c r="G95" s="141"/>
      <c r="H95" s="141"/>
      <c r="I95" s="141"/>
      <c r="J95" s="141"/>
      <c r="K95" s="141"/>
      <c r="L95" s="141"/>
      <c r="M95" s="141"/>
      <c r="N95" s="141"/>
      <c r="O95" s="142"/>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row>
    <row r="96" spans="1:53" ht="37.5" customHeight="1" x14ac:dyDescent="0.25">
      <c r="A96" s="70"/>
      <c r="B96" s="46"/>
      <c r="C96" s="57" t="s">
        <v>102</v>
      </c>
      <c r="D96" s="144" t="s">
        <v>145</v>
      </c>
      <c r="E96" s="141"/>
      <c r="F96" s="141"/>
      <c r="G96" s="141"/>
      <c r="H96" s="141"/>
      <c r="I96" s="141"/>
      <c r="J96" s="141"/>
      <c r="K96" s="141"/>
      <c r="L96" s="141"/>
      <c r="M96" s="141"/>
      <c r="N96" s="141"/>
      <c r="O96" s="142"/>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row>
    <row r="97" spans="1:53" ht="30.75" customHeight="1" x14ac:dyDescent="0.25">
      <c r="A97" s="70"/>
      <c r="B97" s="46"/>
      <c r="C97" s="57" t="s">
        <v>146</v>
      </c>
      <c r="D97" s="144" t="s">
        <v>147</v>
      </c>
      <c r="E97" s="144"/>
      <c r="F97" s="144"/>
      <c r="G97" s="144"/>
      <c r="H97" s="144"/>
      <c r="I97" s="144"/>
      <c r="J97" s="144"/>
      <c r="K97" s="144"/>
      <c r="L97" s="144"/>
      <c r="M97" s="144"/>
      <c r="N97" s="144"/>
      <c r="O97" s="145"/>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row>
    <row r="98" spans="1:53" ht="35.25" customHeight="1" x14ac:dyDescent="0.25">
      <c r="A98" s="70"/>
      <c r="B98" s="46"/>
      <c r="C98" s="57" t="s">
        <v>148</v>
      </c>
      <c r="D98" s="144" t="s">
        <v>149</v>
      </c>
      <c r="E98" s="144"/>
      <c r="F98" s="144"/>
      <c r="G98" s="144"/>
      <c r="H98" s="144"/>
      <c r="I98" s="144"/>
      <c r="J98" s="144"/>
      <c r="K98" s="144"/>
      <c r="L98" s="144"/>
      <c r="M98" s="144"/>
      <c r="N98" s="144"/>
      <c r="O98" s="145"/>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row>
    <row r="99" spans="1:53" x14ac:dyDescent="0.25">
      <c r="A99" s="70"/>
      <c r="B99" s="46"/>
      <c r="C99" s="57" t="s">
        <v>150</v>
      </c>
      <c r="D99" s="141" t="s">
        <v>151</v>
      </c>
      <c r="E99" s="141"/>
      <c r="F99" s="141"/>
      <c r="G99" s="141"/>
      <c r="H99" s="141"/>
      <c r="I99" s="141"/>
      <c r="J99" s="141"/>
      <c r="K99" s="141"/>
      <c r="L99" s="141"/>
      <c r="M99" s="141"/>
      <c r="N99" s="141"/>
      <c r="O99" s="142"/>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row>
    <row r="100" spans="1:53" x14ac:dyDescent="0.25">
      <c r="A100" s="70"/>
      <c r="B100" s="46"/>
      <c r="C100" s="57" t="s">
        <v>152</v>
      </c>
      <c r="D100" s="141" t="s">
        <v>153</v>
      </c>
      <c r="E100" s="141"/>
      <c r="F100" s="141"/>
      <c r="G100" s="141"/>
      <c r="H100" s="141"/>
      <c r="I100" s="141"/>
      <c r="J100" s="141"/>
      <c r="K100" s="141"/>
      <c r="L100" s="141"/>
      <c r="M100" s="141"/>
      <c r="N100" s="141"/>
      <c r="O100" s="142"/>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row>
    <row r="101" spans="1:53" x14ac:dyDescent="0.25">
      <c r="A101" s="70"/>
      <c r="B101" s="46"/>
      <c r="C101" s="57" t="s">
        <v>154</v>
      </c>
      <c r="D101" s="141" t="s">
        <v>155</v>
      </c>
      <c r="E101" s="141"/>
      <c r="F101" s="141"/>
      <c r="G101" s="141"/>
      <c r="H101" s="141"/>
      <c r="I101" s="141"/>
      <c r="J101" s="141"/>
      <c r="K101" s="141"/>
      <c r="L101" s="141"/>
      <c r="M101" s="141"/>
      <c r="N101" s="141"/>
      <c r="O101" s="142"/>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row>
    <row r="102" spans="1:53" ht="31.5" customHeight="1" x14ac:dyDescent="0.25">
      <c r="A102" s="70"/>
      <c r="B102" s="46"/>
      <c r="C102" s="49" t="s">
        <v>156</v>
      </c>
      <c r="D102" s="141" t="s">
        <v>157</v>
      </c>
      <c r="E102" s="141"/>
      <c r="F102" s="141"/>
      <c r="G102" s="141"/>
      <c r="H102" s="141"/>
      <c r="I102" s="141"/>
      <c r="J102" s="141"/>
      <c r="K102" s="141"/>
      <c r="L102" s="141"/>
      <c r="M102" s="141"/>
      <c r="N102" s="141"/>
      <c r="O102" s="142"/>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row>
    <row r="103" spans="1:53" x14ac:dyDescent="0.25">
      <c r="A103" s="70"/>
      <c r="B103" s="46"/>
      <c r="C103" s="57" t="s">
        <v>158</v>
      </c>
      <c r="D103" s="141" t="s">
        <v>159</v>
      </c>
      <c r="E103" s="141"/>
      <c r="F103" s="141"/>
      <c r="G103" s="141"/>
      <c r="H103" s="141"/>
      <c r="I103" s="141"/>
      <c r="J103" s="141"/>
      <c r="K103" s="141"/>
      <c r="L103" s="141"/>
      <c r="M103" s="141"/>
      <c r="N103" s="141"/>
      <c r="O103" s="142"/>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row>
    <row r="104" spans="1:53" x14ac:dyDescent="0.25">
      <c r="A104" s="70"/>
      <c r="B104" s="46"/>
      <c r="C104" s="57" t="s">
        <v>160</v>
      </c>
      <c r="D104" s="141" t="s">
        <v>161</v>
      </c>
      <c r="E104" s="141"/>
      <c r="F104" s="141"/>
      <c r="G104" s="141"/>
      <c r="H104" s="141"/>
      <c r="I104" s="141"/>
      <c r="J104" s="141"/>
      <c r="K104" s="141"/>
      <c r="L104" s="141"/>
      <c r="M104" s="141"/>
      <c r="N104" s="141"/>
      <c r="O104" s="142"/>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row>
    <row r="105" spans="1:53" x14ac:dyDescent="0.25">
      <c r="A105" s="70"/>
      <c r="B105" s="46"/>
      <c r="C105" s="57" t="s">
        <v>162</v>
      </c>
      <c r="D105" s="141" t="s">
        <v>163</v>
      </c>
      <c r="E105" s="141"/>
      <c r="F105" s="141"/>
      <c r="G105" s="141"/>
      <c r="H105" s="141"/>
      <c r="I105" s="141"/>
      <c r="J105" s="141"/>
      <c r="K105" s="141"/>
      <c r="L105" s="141"/>
      <c r="M105" s="141"/>
      <c r="N105" s="141"/>
      <c r="O105" s="142"/>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row>
  </sheetData>
  <mergeCells count="48">
    <mergeCell ref="A4:A8"/>
    <mergeCell ref="B4:D4"/>
    <mergeCell ref="C5:D5"/>
    <mergeCell ref="C6:D6"/>
    <mergeCell ref="C7:D7"/>
    <mergeCell ref="C8:D8"/>
    <mergeCell ref="E5:E10"/>
    <mergeCell ref="B1:D1"/>
    <mergeCell ref="B2:D2"/>
    <mergeCell ref="B3:D3"/>
    <mergeCell ref="C9:D9"/>
    <mergeCell ref="C10:D10"/>
    <mergeCell ref="A11:A70"/>
    <mergeCell ref="B11:D11"/>
    <mergeCell ref="A71:A76"/>
    <mergeCell ref="B71:D71"/>
    <mergeCell ref="C72:D72"/>
    <mergeCell ref="C74:D74"/>
    <mergeCell ref="C75:D75"/>
    <mergeCell ref="C76:D76"/>
    <mergeCell ref="D13:E13"/>
    <mergeCell ref="A77:A87"/>
    <mergeCell ref="B77:D77"/>
    <mergeCell ref="C78:D78"/>
    <mergeCell ref="E78:E87"/>
    <mergeCell ref="C79:D79"/>
    <mergeCell ref="C80:D80"/>
    <mergeCell ref="C81:D81"/>
    <mergeCell ref="C82:D82"/>
    <mergeCell ref="C83:D83"/>
    <mergeCell ref="C84:D84"/>
    <mergeCell ref="D99:O99"/>
    <mergeCell ref="D100:O100"/>
    <mergeCell ref="C85:D85"/>
    <mergeCell ref="C86:D86"/>
    <mergeCell ref="C87:D87"/>
    <mergeCell ref="D92:O92"/>
    <mergeCell ref="D93:O93"/>
    <mergeCell ref="D94:O94"/>
    <mergeCell ref="D95:O95"/>
    <mergeCell ref="D96:O96"/>
    <mergeCell ref="D97:O97"/>
    <mergeCell ref="D98:O98"/>
    <mergeCell ref="D101:O101"/>
    <mergeCell ref="D102:O102"/>
    <mergeCell ref="D103:O103"/>
    <mergeCell ref="D104:O104"/>
    <mergeCell ref="D105:O1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Performance</vt:lpstr>
      <vt:lpstr>Statistik API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Erwan Ramdhani Saputra</cp:lastModifiedBy>
  <cp:revision/>
  <dcterms:created xsi:type="dcterms:W3CDTF">2026-04-17T07:59:06Z</dcterms:created>
  <dcterms:modified xsi:type="dcterms:W3CDTF">2026-07-14T11:33:26Z</dcterms:modified>
  <cp:category/>
  <cp:contentStatus/>
</cp:coreProperties>
</file>