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D54F0EFC-D3EA-4F09-89CF-6B1CEA5237B5}" xr6:coauthVersionLast="47" xr6:coauthVersionMax="47" xr10:uidLastSave="{00000000-0000-0000-0000-000000000000}"/>
  <bookViews>
    <workbookView xWindow="-108" yWindow="-108" windowWidth="23256" windowHeight="13896" xr2:uid="{C824E83A-0521-428B-860A-CAF554A1C576}"/>
  </bookViews>
  <sheets>
    <sheet name="Data Performance" sheetId="1" r:id="rId1"/>
    <sheet name="Data Statistik"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H9" i="3"/>
  <c r="I9" i="3"/>
  <c r="J9" i="3"/>
  <c r="K9" i="3"/>
  <c r="L9" i="3"/>
  <c r="M9" i="3"/>
  <c r="N9" i="3"/>
  <c r="O9" i="3"/>
  <c r="P9" i="3"/>
  <c r="Q9" i="3"/>
  <c r="R9" i="3"/>
  <c r="S9" i="3"/>
  <c r="T9" i="3"/>
  <c r="U9" i="3"/>
  <c r="V9" i="3"/>
  <c r="W9" i="3"/>
  <c r="F9" i="3"/>
  <c r="G8" i="3"/>
  <c r="G3" i="3" s="1"/>
  <c r="H8" i="3"/>
  <c r="H3" i="3" s="1"/>
  <c r="I8" i="3"/>
  <c r="I3" i="3" s="1"/>
  <c r="J8" i="3"/>
  <c r="J3" i="3" s="1"/>
  <c r="K8" i="3"/>
  <c r="K3" i="3" s="1"/>
  <c r="L8" i="3"/>
  <c r="L3" i="3" s="1"/>
  <c r="M8" i="3"/>
  <c r="M3" i="3" s="1"/>
  <c r="N8" i="3"/>
  <c r="N3" i="3" s="1"/>
  <c r="O8" i="3"/>
  <c r="O3" i="3" s="1"/>
  <c r="P8" i="3"/>
  <c r="P3" i="3" s="1"/>
  <c r="Q8" i="3"/>
  <c r="Q3" i="3" s="1"/>
  <c r="R8" i="3"/>
  <c r="R3" i="3" s="1"/>
  <c r="S8" i="3"/>
  <c r="S3" i="3" s="1"/>
  <c r="T8" i="3"/>
  <c r="T3" i="3" s="1"/>
  <c r="U8" i="3"/>
  <c r="U3" i="3" s="1"/>
  <c r="V8" i="3"/>
  <c r="V3" i="3" s="1"/>
  <c r="W8" i="3"/>
  <c r="W3" i="3" s="1"/>
  <c r="F8" i="3"/>
  <c r="F3" i="3" s="1"/>
  <c r="X58" i="1"/>
  <c r="W58" i="1"/>
  <c r="X37" i="1"/>
  <c r="X36" i="1"/>
  <c r="X35" i="1"/>
  <c r="X34" i="1"/>
  <c r="X33" i="1"/>
  <c r="X32" i="1"/>
  <c r="X31" i="1"/>
  <c r="X30" i="1"/>
  <c r="X29" i="1"/>
  <c r="X19" i="1"/>
  <c r="X27" i="1"/>
  <c r="X26" i="1"/>
  <c r="X25" i="1"/>
  <c r="X24" i="1"/>
  <c r="X23" i="1"/>
  <c r="X22" i="1"/>
  <c r="X21" i="1"/>
  <c r="X20" i="1"/>
  <c r="W37" i="1"/>
  <c r="W36" i="1"/>
  <c r="W35" i="1"/>
  <c r="W34" i="1"/>
  <c r="W33" i="1"/>
  <c r="W32" i="1"/>
  <c r="W31" i="1"/>
  <c r="W30" i="1"/>
  <c r="W27" i="1"/>
  <c r="W26" i="1"/>
  <c r="W25" i="1"/>
  <c r="W24" i="1"/>
  <c r="W23" i="1"/>
  <c r="W22" i="1"/>
  <c r="W21" i="1"/>
  <c r="W20" i="1"/>
  <c r="V58" i="1"/>
  <c r="V37" i="1"/>
  <c r="V36" i="1"/>
  <c r="V35" i="1"/>
  <c r="V34" i="1"/>
  <c r="V33" i="1"/>
  <c r="V32" i="1"/>
  <c r="V31" i="1"/>
  <c r="V30" i="1"/>
  <c r="V27" i="1"/>
  <c r="V26" i="1"/>
  <c r="V25" i="1"/>
  <c r="V24" i="1"/>
  <c r="V23" i="1"/>
  <c r="V22" i="1"/>
  <c r="V21" i="1"/>
  <c r="V20" i="1"/>
  <c r="R50" i="1"/>
  <c r="R51" i="1"/>
  <c r="R52" i="1"/>
  <c r="R49" i="1"/>
  <c r="R10" i="1"/>
  <c r="R11" i="1"/>
  <c r="R12" i="1"/>
  <c r="R13" i="1"/>
  <c r="R14" i="1"/>
  <c r="R15" i="1"/>
  <c r="R16" i="1"/>
  <c r="R17" i="1"/>
  <c r="R9" i="1"/>
  <c r="T58" i="1"/>
  <c r="U58" i="1"/>
  <c r="S58" i="1"/>
  <c r="O58" i="1"/>
  <c r="P58" i="1"/>
  <c r="Q58" i="1"/>
  <c r="I58" i="1"/>
  <c r="J58" i="1"/>
  <c r="K58" i="1"/>
  <c r="L58" i="1"/>
  <c r="M58" i="1"/>
  <c r="N58" i="1"/>
  <c r="G58" i="1"/>
  <c r="H58" i="1"/>
  <c r="F58" i="1"/>
  <c r="R57" i="1"/>
  <c r="R56" i="1"/>
  <c r="R55" i="1"/>
  <c r="R54" i="1"/>
  <c r="R58" i="1" s="1"/>
  <c r="P37" i="1"/>
  <c r="Q37" i="1"/>
  <c r="Q36" i="1"/>
  <c r="Q35" i="1"/>
  <c r="Q34" i="1"/>
  <c r="Q33" i="1"/>
  <c r="Q32" i="1"/>
  <c r="Q31" i="1"/>
  <c r="Q30" i="1"/>
  <c r="P36" i="1"/>
  <c r="P35" i="1"/>
  <c r="P34" i="1"/>
  <c r="P33" i="1"/>
  <c r="P32" i="1"/>
  <c r="P31" i="1"/>
  <c r="P30" i="1"/>
  <c r="O37" i="1"/>
  <c r="O36" i="1"/>
  <c r="O35" i="1"/>
  <c r="O34" i="1"/>
  <c r="O33" i="1"/>
  <c r="O32" i="1"/>
  <c r="O31" i="1"/>
  <c r="O30" i="1"/>
  <c r="N37" i="1"/>
  <c r="N36" i="1"/>
  <c r="N35" i="1"/>
  <c r="N34" i="1"/>
  <c r="N33" i="1"/>
  <c r="N32" i="1"/>
  <c r="N31" i="1"/>
  <c r="N30" i="1"/>
  <c r="M37" i="1"/>
  <c r="M36" i="1"/>
  <c r="M35" i="1"/>
  <c r="M34" i="1"/>
  <c r="M33" i="1"/>
  <c r="M32" i="1"/>
  <c r="M31" i="1"/>
  <c r="M30" i="1"/>
  <c r="L37" i="1"/>
  <c r="L36" i="1"/>
  <c r="L35" i="1"/>
  <c r="L34" i="1"/>
  <c r="L33" i="1"/>
  <c r="L32" i="1"/>
  <c r="L31" i="1"/>
  <c r="L30" i="1"/>
  <c r="K37" i="1"/>
  <c r="K36" i="1"/>
  <c r="K35" i="1"/>
  <c r="K34" i="1"/>
  <c r="K33" i="1"/>
  <c r="K32" i="1"/>
  <c r="K31" i="1"/>
  <c r="K30" i="1"/>
  <c r="J37" i="1"/>
  <c r="J36" i="1"/>
  <c r="J35" i="1"/>
  <c r="J34" i="1"/>
  <c r="J33" i="1"/>
  <c r="J32" i="1"/>
  <c r="J31" i="1"/>
  <c r="J30" i="1"/>
  <c r="I37" i="1"/>
  <c r="I36" i="1"/>
  <c r="I35" i="1"/>
  <c r="I34" i="1"/>
  <c r="I33" i="1"/>
  <c r="I32" i="1"/>
  <c r="I31" i="1"/>
  <c r="I30" i="1"/>
  <c r="H37" i="1"/>
  <c r="H36" i="1"/>
  <c r="H35" i="1"/>
  <c r="H34" i="1"/>
  <c r="H33" i="1"/>
  <c r="H32" i="1"/>
  <c r="H31" i="1"/>
  <c r="H30" i="1"/>
  <c r="G37" i="1"/>
  <c r="G36" i="1"/>
  <c r="G35" i="1"/>
  <c r="G34" i="1"/>
  <c r="G33" i="1"/>
  <c r="G32" i="1"/>
  <c r="G31" i="1"/>
  <c r="G30" i="1"/>
  <c r="F37" i="1"/>
  <c r="R37" i="1" s="1"/>
  <c r="F36" i="1"/>
  <c r="R36" i="1" s="1"/>
  <c r="F35" i="1"/>
  <c r="R35" i="1" s="1"/>
  <c r="F34" i="1"/>
  <c r="R34" i="1" s="1"/>
  <c r="F33" i="1"/>
  <c r="R33" i="1" s="1"/>
  <c r="F32" i="1"/>
  <c r="R32" i="1" s="1"/>
  <c r="F31" i="1"/>
  <c r="R31" i="1" s="1"/>
  <c r="F30" i="1"/>
  <c r="R30" i="1" s="1"/>
  <c r="Q26" i="1"/>
  <c r="Q27" i="1"/>
  <c r="Q25" i="1"/>
  <c r="Q24" i="1"/>
  <c r="Q23" i="1"/>
  <c r="Q22" i="1"/>
  <c r="Q21" i="1"/>
  <c r="Q20" i="1"/>
  <c r="P20" i="1"/>
  <c r="P27" i="1"/>
  <c r="P26" i="1"/>
  <c r="P25" i="1"/>
  <c r="P24" i="1"/>
  <c r="P23" i="1"/>
  <c r="P22" i="1"/>
  <c r="P21" i="1"/>
  <c r="O26" i="1"/>
  <c r="O27" i="1"/>
  <c r="O25" i="1"/>
  <c r="O24" i="1"/>
  <c r="O23" i="1"/>
  <c r="O22" i="1"/>
  <c r="O21" i="1"/>
  <c r="O20" i="1"/>
  <c r="N27" i="1"/>
  <c r="N26" i="1"/>
  <c r="N25" i="1"/>
  <c r="N24" i="1"/>
  <c r="N23" i="1"/>
  <c r="N22" i="1"/>
  <c r="N21" i="1"/>
  <c r="N20" i="1"/>
  <c r="M27" i="1"/>
  <c r="M26" i="1"/>
  <c r="M25" i="1"/>
  <c r="M24" i="1"/>
  <c r="M23" i="1"/>
  <c r="M22" i="1"/>
  <c r="M21" i="1"/>
  <c r="M20" i="1"/>
  <c r="L27" i="1"/>
  <c r="L26" i="1"/>
  <c r="L25" i="1"/>
  <c r="L24" i="1"/>
  <c r="L23" i="1"/>
  <c r="L22" i="1"/>
  <c r="L21" i="1"/>
  <c r="L20" i="1"/>
  <c r="K27" i="1"/>
  <c r="K26" i="1"/>
  <c r="K25" i="1"/>
  <c r="K24" i="1"/>
  <c r="K23" i="1"/>
  <c r="K22" i="1"/>
  <c r="K21" i="1"/>
  <c r="K20" i="1"/>
  <c r="J27" i="1"/>
  <c r="J26" i="1"/>
  <c r="J25" i="1"/>
  <c r="J24" i="1"/>
  <c r="J23" i="1"/>
  <c r="J22" i="1"/>
  <c r="J21" i="1"/>
  <c r="J20" i="1"/>
  <c r="I27" i="1"/>
  <c r="I26" i="1"/>
  <c r="I25" i="1"/>
  <c r="I24" i="1"/>
  <c r="I23" i="1"/>
  <c r="I22" i="1"/>
  <c r="I21" i="1"/>
  <c r="I20" i="1"/>
  <c r="H27" i="1"/>
  <c r="H26" i="1"/>
  <c r="H25" i="1"/>
  <c r="H24" i="1"/>
  <c r="H23" i="1"/>
  <c r="H22" i="1"/>
  <c r="H21" i="1"/>
  <c r="H20" i="1"/>
  <c r="G27" i="1"/>
  <c r="G26" i="1"/>
  <c r="G25" i="1"/>
  <c r="G24" i="1"/>
  <c r="G23" i="1"/>
  <c r="G22" i="1"/>
  <c r="G21" i="1"/>
  <c r="G20" i="1"/>
  <c r="F27" i="1"/>
  <c r="R27" i="1" s="1"/>
  <c r="F26" i="1"/>
  <c r="R26" i="1" s="1"/>
  <c r="F25" i="1"/>
  <c r="R25" i="1" s="1"/>
  <c r="F24" i="1"/>
  <c r="R24" i="1" s="1"/>
  <c r="F23" i="1"/>
  <c r="R23" i="1" s="1"/>
  <c r="F22" i="1"/>
  <c r="R22" i="1" s="1"/>
  <c r="F21" i="1"/>
  <c r="R21" i="1" s="1"/>
  <c r="F20" i="1"/>
  <c r="R20" i="1" s="1"/>
  <c r="R43" i="1"/>
  <c r="R42" i="1"/>
  <c r="R41" i="1"/>
  <c r="R40" i="1"/>
  <c r="R29" i="1"/>
  <c r="R19" i="1"/>
</calcChain>
</file>

<file path=xl/sharedStrings.xml><?xml version="1.0" encoding="utf-8"?>
<sst xmlns="http://schemas.openxmlformats.org/spreadsheetml/2006/main" count="1431" uniqueCount="184">
  <si>
    <t>CUSTOMER EXPERIENCE PERFORMANCE DATA</t>
  </si>
  <si>
    <t>2025 - 2026</t>
  </si>
  <si>
    <t>HIN</t>
  </si>
  <si>
    <t>No</t>
  </si>
  <si>
    <t>Parameters</t>
  </si>
  <si>
    <t>Unit</t>
  </si>
  <si>
    <t>Target</t>
  </si>
  <si>
    <t>JAN</t>
  </si>
  <si>
    <t>FEB</t>
  </si>
  <si>
    <t>MAR</t>
  </si>
  <si>
    <t>APR</t>
  </si>
  <si>
    <t>MAY</t>
  </si>
  <si>
    <t>JUN</t>
  </si>
  <si>
    <t>JUL</t>
  </si>
  <si>
    <t>AUG</t>
  </si>
  <si>
    <t>SEP</t>
  </si>
  <si>
    <t>OCT</t>
  </si>
  <si>
    <t>NOV</t>
  </si>
  <si>
    <t>DEC</t>
  </si>
  <si>
    <t>TOTAL</t>
  </si>
  <si>
    <t>JUNE</t>
  </si>
  <si>
    <t>Rating - HIN (Merusaka Nusa Dua)</t>
  </si>
  <si>
    <t>a.</t>
  </si>
  <si>
    <t xml:space="preserve">Kepuasan Menginap </t>
  </si>
  <si>
    <t>Scale 1-5</t>
  </si>
  <si>
    <t>-</t>
  </si>
  <si>
    <t>b.</t>
  </si>
  <si>
    <t>Arrival</t>
  </si>
  <si>
    <t>c.</t>
  </si>
  <si>
    <t xml:space="preserve">Keramahan Staff </t>
  </si>
  <si>
    <t>d.</t>
  </si>
  <si>
    <t xml:space="preserve">Kebersihan Kamar </t>
  </si>
  <si>
    <t>e.</t>
  </si>
  <si>
    <t xml:space="preserve">Kenyamanan Kamar </t>
  </si>
  <si>
    <t>f.</t>
  </si>
  <si>
    <t xml:space="preserve">Fasilitas Kamar </t>
  </si>
  <si>
    <t>g.</t>
  </si>
  <si>
    <t xml:space="preserve">Kualitas Makanan </t>
  </si>
  <si>
    <t xml:space="preserve">h. </t>
  </si>
  <si>
    <t xml:space="preserve">Kebersihan Fasilitas </t>
  </si>
  <si>
    <t xml:space="preserve">i. </t>
  </si>
  <si>
    <t xml:space="preserve">Departure </t>
  </si>
  <si>
    <t>Rating - HIN (The Meru Sanur)</t>
  </si>
  <si>
    <t>Hotel Rating</t>
  </si>
  <si>
    <t>4,9</t>
  </si>
  <si>
    <t>Arrival Experience Rating</t>
  </si>
  <si>
    <t>Guest Room Rating</t>
  </si>
  <si>
    <t>Cleanliness Rating</t>
  </si>
  <si>
    <t>4,8</t>
  </si>
  <si>
    <t>F&amp;B Rating</t>
  </si>
  <si>
    <t>4,4</t>
  </si>
  <si>
    <t>Departure Experience Rating</t>
  </si>
  <si>
    <t>Staff &amp; Service Rating</t>
  </si>
  <si>
    <t>h.</t>
  </si>
  <si>
    <t>Recreation Rating</t>
  </si>
  <si>
    <t>i.</t>
  </si>
  <si>
    <t>Maintenance &amp; Upkeep Rating</t>
  </si>
  <si>
    <t>Rating - HIN (Bali Beach Hotel)</t>
  </si>
  <si>
    <t>4,5</t>
  </si>
  <si>
    <t>HIN (Overall)</t>
  </si>
  <si>
    <t>Customer Satisfaction (SurveySensum)</t>
  </si>
  <si>
    <t>CSAT - Overall</t>
  </si>
  <si>
    <t>CSAT - People</t>
  </si>
  <si>
    <t>CSAT - Process</t>
  </si>
  <si>
    <t>CSAT - Premises</t>
  </si>
  <si>
    <t>Call Center Performance</t>
  </si>
  <si>
    <t>Volume of Call</t>
  </si>
  <si>
    <t>Numbers</t>
  </si>
  <si>
    <t>First Call Resolution</t>
  </si>
  <si>
    <t>Percentage (%)</t>
  </si>
  <si>
    <t>Service Level</t>
  </si>
  <si>
    <t>Social Media Monitoring - The Meru Sanur dan Bali Beach Hotel</t>
  </si>
  <si>
    <t>Volume of Interaction</t>
  </si>
  <si>
    <t>Net Sentiment Score</t>
  </si>
  <si>
    <t>22,86%</t>
  </si>
  <si>
    <t>23,33%</t>
  </si>
  <si>
    <t>44,44%</t>
  </si>
  <si>
    <t>41,18%</t>
  </si>
  <si>
    <t>40,63%</t>
  </si>
  <si>
    <t>26,32%</t>
  </si>
  <si>
    <t>Average Response Time</t>
  </si>
  <si>
    <t>Hours</t>
  </si>
  <si>
    <t>Respons to Sentiment Ratio</t>
  </si>
  <si>
    <t>0,00 - 1,00</t>
  </si>
  <si>
    <t>0,3</t>
  </si>
  <si>
    <t>0,08</t>
  </si>
  <si>
    <t>Complaint Handling</t>
  </si>
  <si>
    <t>Total Complaint</t>
  </si>
  <si>
    <t>Completed</t>
  </si>
  <si>
    <t>Progress</t>
  </si>
  <si>
    <t>Untouch</t>
  </si>
  <si>
    <t>Complaint Resolution Rate</t>
  </si>
  <si>
    <t>Average Time Resolution</t>
  </si>
  <si>
    <t>Day</t>
  </si>
  <si>
    <t>Item Data</t>
  </si>
  <si>
    <t>Keterangan Pengisian</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</si>
  <si>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</si>
  <si>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</si>
  <si>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</si>
  <si>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</si>
  <si>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</si>
  <si>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 </t>
  </si>
  <si>
    <t>a</t>
  </si>
  <si>
    <t>Pengaduan</t>
  </si>
  <si>
    <t>Bersumber dari Telepon, Customer Service/tatap muka, Email, Kotak Saran, Live Chat, Whatsapp, Instagram dan Twitter</t>
  </si>
  <si>
    <t>b</t>
  </si>
  <si>
    <t>Permintaan/Reservasi/Product Inquiry</t>
  </si>
  <si>
    <t>c</t>
  </si>
  <si>
    <t>Pertanyaan</t>
  </si>
  <si>
    <t>d</t>
  </si>
  <si>
    <t>Informasi</t>
  </si>
  <si>
    <t>e</t>
  </si>
  <si>
    <t>Apresiasi</t>
  </si>
  <si>
    <t>f</t>
  </si>
  <si>
    <t>Lost and Found</t>
  </si>
  <si>
    <t>g</t>
  </si>
  <si>
    <t>Priority Service</t>
  </si>
  <si>
    <t>Interaksi per channel</t>
  </si>
  <si>
    <t>Telepon</t>
  </si>
  <si>
    <t>Customer Sevice/tatap muka</t>
  </si>
  <si>
    <t>Email</t>
  </si>
  <si>
    <t>Kotak Saran</t>
  </si>
  <si>
    <t>Live Chat</t>
  </si>
  <si>
    <t>SP4N Lapor!</t>
  </si>
  <si>
    <t>Whtasapp</t>
  </si>
  <si>
    <t>h</t>
  </si>
  <si>
    <t>Instagram</t>
  </si>
  <si>
    <t>i</t>
  </si>
  <si>
    <t>Twitter</t>
  </si>
  <si>
    <t>j</t>
  </si>
  <si>
    <t>Website Inquiry (CMS)</t>
  </si>
  <si>
    <t>k</t>
  </si>
  <si>
    <t>Voice (Omnix)</t>
  </si>
  <si>
    <t>Jumlah Customer Resolution per SLA</t>
  </si>
  <si>
    <t>Kategorisasi SLA disesuaikan dengan SLA yang di terapkan di masing-masing member (Per Cabang / Line of Business)</t>
  </si>
  <si>
    <t>1 hari</t>
  </si>
  <si>
    <t>2 hari</t>
  </si>
  <si>
    <t>3 hari</t>
  </si>
  <si>
    <t>Lainnya (silahkan ditambahkan)</t>
  </si>
  <si>
    <t>Average Handling Time (Contact Center)</t>
  </si>
  <si>
    <t>Durasi rata-rata interaksi pelanggan &amp; untuk daftar channel dapat di tambahkan sesuai dengan channel yang ada di member (Per Cabang / Line of Business)</t>
  </si>
  <si>
    <t>Voice (diisi jika ada)</t>
  </si>
  <si>
    <t>WA Chat (diisi jika ada)</t>
  </si>
  <si>
    <t>5 min / inquiry</t>
  </si>
  <si>
    <t>8 min / inquiry</t>
  </si>
  <si>
    <t>22 min / inquiry</t>
  </si>
  <si>
    <t>6 min / inquiry</t>
  </si>
  <si>
    <t xml:space="preserve">6 min / inquiry </t>
  </si>
  <si>
    <t xml:space="preserve">3 min / inquiry </t>
  </si>
  <si>
    <t>Live Chat (diisi jika ada)</t>
  </si>
  <si>
    <t>Social Media (diisi jika ada)</t>
  </si>
  <si>
    <t>15 min / inquiry</t>
  </si>
  <si>
    <t>83 min / inquiry</t>
  </si>
  <si>
    <t>60 min / inquiry</t>
  </si>
  <si>
    <t>54 min / inquiry</t>
  </si>
  <si>
    <t xml:space="preserve">37 min / inquiry </t>
  </si>
  <si>
    <t xml:space="preserve">17 min / inquiry </t>
  </si>
  <si>
    <t xml:space="preserve">Jumlah pengunjung diambil dari jumlah pengguna buggy car </t>
  </si>
  <si>
    <t>CP CX Injourney Group</t>
  </si>
  <si>
    <t>(Erwan) 08213354446</t>
  </si>
  <si>
    <t>(Rumiris) 081807882087</t>
  </si>
  <si>
    <t>(Rikza) 081539393436</t>
  </si>
  <si>
    <t>Definisi</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</si>
  <si>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</si>
  <si>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</si>
  <si>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</si>
  <si>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</si>
  <si>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</si>
  <si>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Layanan pengelolaan barang hilang atau tertinggal yang mencakup proses penerimaan laporan, identifikasi, penyimpanan, penelusuran, verifikasi kepemilikan, hingga pengembalian barang kepada pemilik sesuai dengan prosedur yang berlaku</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</si>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</sst>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Segoe UI"/>
      <family val="2"/>
    </font>
    <font>
      <b/>
      <sz val="11"/>
      <color theme="1"/>
      <name val="Segoe UI"/>
      <family val="2"/>
    </font>
    <font>
      <b/>
      <sz val="14"/>
      <color theme="1"/>
      <name val="Segoe UI"/>
      <family val="2"/>
    </font>
    <font>
      <sz val="10"/>
      <color theme="1"/>
      <name val="Arial"/>
      <charset val="1"/>
    </font>
    <font>
      <i/>
      <sz val="10"/>
      <color theme="1"/>
      <name val="Arial"/>
      <charset val="1"/>
    </font>
    <font>
      <u/>
      <sz val="11"/>
      <color theme="10"/>
      <name val="Segoe UI"/>
      <family val="2"/>
    </font>
    <font>
      <b/>
      <sz val="10"/>
      <color rgb="FF000000"/>
      <name val="Arial"/>
    </font>
    <font>
      <sz val="10"/>
      <color rgb="FF000000"/>
      <name val="Arial"/>
    </font>
    <font>
      <i/>
      <sz val="10"/>
      <color rgb="FF000000"/>
      <name val="Arial"/>
    </font>
    <font>
      <sz val="11"/>
      <color rgb="FF000000"/>
      <name val="Calibri"/>
    </font>
    <font>
      <b/>
      <sz val="9"/>
      <color rgb="FF000000"/>
      <name val="Segoe UI"/>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indexed="64"/>
      </left>
      <right/>
      <top/>
      <bottom style="thin">
        <color indexed="64"/>
      </bottom>
      <diagonal/>
    </border>
    <border>
      <left/>
      <right style="thin">
        <color rgb="FFCCCCCC"/>
      </right>
      <top style="thin">
        <color rgb="FFCCCCCC"/>
      </top>
      <bottom style="thin">
        <color rgb="FFCCCCCC"/>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indexed="64"/>
      </top>
      <bottom style="thin">
        <color indexed="64"/>
      </bottom>
      <diagonal/>
    </border>
    <border>
      <left/>
      <right/>
      <top/>
      <bottom style="thin">
        <color indexed="64"/>
      </bottom>
      <diagonal/>
    </border>
    <border>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122">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0" borderId="1" xfId="0" applyFont="1" applyBorder="1" applyAlignment="1">
      <alignment horizontal="center"/>
    </xf>
    <xf numFmtId="0" fontId="1" fillId="0" borderId="0" xfId="0" applyFont="1"/>
    <xf numFmtId="0" fontId="0" fillId="0" borderId="2" xfId="0" applyBorder="1" applyAlignment="1">
      <alignment horizontal="center"/>
    </xf>
    <xf numFmtId="0" fontId="1" fillId="0" borderId="1" xfId="0" applyFont="1" applyBorder="1"/>
    <xf numFmtId="0" fontId="0" fillId="0" borderId="1" xfId="0" applyBorder="1"/>
    <xf numFmtId="0" fontId="0" fillId="0" borderId="1"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0" xfId="0"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9" fontId="0" fillId="0" borderId="1" xfId="0" applyNumberFormat="1" applyBorder="1" applyAlignment="1">
      <alignment horizontal="center"/>
    </xf>
    <xf numFmtId="9" fontId="1" fillId="0" borderId="1" xfId="0" applyNumberFormat="1" applyFont="1" applyBorder="1" applyAlignment="1">
      <alignment horizontal="center"/>
    </xf>
    <xf numFmtId="2" fontId="0" fillId="0" borderId="1" xfId="0" applyNumberFormat="1" applyBorder="1" applyAlignment="1">
      <alignment horizontal="center"/>
    </xf>
    <xf numFmtId="164" fontId="1" fillId="0" borderId="1" xfId="0" applyNumberFormat="1" applyFont="1" applyBorder="1" applyAlignment="1">
      <alignment horizontal="center"/>
    </xf>
    <xf numFmtId="0" fontId="3" fillId="0" borderId="12" xfId="0" applyFont="1" applyBorder="1" applyAlignment="1">
      <alignment readingOrder="1"/>
    </xf>
    <xf numFmtId="0" fontId="3" fillId="0" borderId="16" xfId="0" applyFont="1" applyBorder="1" applyAlignment="1">
      <alignment readingOrder="1"/>
    </xf>
    <xf numFmtId="0" fontId="3" fillId="0" borderId="17" xfId="0" applyFont="1" applyBorder="1" applyAlignment="1">
      <alignment readingOrder="1"/>
    </xf>
    <xf numFmtId="0" fontId="1" fillId="0" borderId="3" xfId="0" applyFont="1" applyBorder="1" applyAlignment="1">
      <alignment horizontal="center"/>
    </xf>
    <xf numFmtId="0" fontId="3" fillId="0" borderId="13" xfId="0" applyFont="1" applyBorder="1" applyAlignment="1">
      <alignment readingOrder="1"/>
    </xf>
    <xf numFmtId="0" fontId="0" fillId="0" borderId="3" xfId="0" applyBorder="1" applyAlignment="1">
      <alignment horizontal="center"/>
    </xf>
    <xf numFmtId="164" fontId="0" fillId="0" borderId="3" xfId="0" applyNumberFormat="1" applyBorder="1" applyAlignment="1">
      <alignment horizontal="center"/>
    </xf>
    <xf numFmtId="10" fontId="0" fillId="0" borderId="3" xfId="0" applyNumberFormat="1" applyBorder="1" applyAlignment="1">
      <alignment horizontal="center"/>
    </xf>
    <xf numFmtId="9" fontId="0" fillId="0" borderId="3" xfId="0" applyNumberFormat="1" applyBorder="1" applyAlignment="1">
      <alignment horizontal="center"/>
    </xf>
    <xf numFmtId="0" fontId="1" fillId="0" borderId="11" xfId="0" applyFont="1" applyBorder="1" applyAlignment="1">
      <alignment horizontal="center"/>
    </xf>
    <xf numFmtId="0" fontId="0" fillId="0" borderId="24" xfId="0" applyBorder="1" applyAlignment="1">
      <alignment horizontal="center"/>
    </xf>
    <xf numFmtId="0" fontId="0" fillId="2" borderId="2" xfId="0" applyFill="1" applyBorder="1" applyAlignment="1">
      <alignment horizontal="center"/>
    </xf>
    <xf numFmtId="0" fontId="1" fillId="2" borderId="1" xfId="0" applyFont="1" applyFill="1" applyBorder="1"/>
    <xf numFmtId="0" fontId="0" fillId="2" borderId="1" xfId="0" applyFill="1" applyBorder="1"/>
    <xf numFmtId="0" fontId="0" fillId="2" borderId="1" xfId="0" applyFill="1" applyBorder="1" applyAlignment="1">
      <alignment horizontal="center"/>
    </xf>
    <xf numFmtId="0" fontId="1" fillId="2" borderId="1" xfId="0" applyFont="1" applyFill="1" applyBorder="1" applyAlignment="1">
      <alignment horizontal="center"/>
    </xf>
    <xf numFmtId="0" fontId="0" fillId="2" borderId="3" xfId="0" applyFill="1" applyBorder="1" applyAlignment="1">
      <alignment horizontal="center"/>
    </xf>
    <xf numFmtId="0" fontId="0" fillId="2" borderId="0" xfId="0" applyFill="1"/>
    <xf numFmtId="0" fontId="0" fillId="2" borderId="7"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3" fillId="0" borderId="25" xfId="0" applyFont="1" applyBorder="1" applyAlignment="1">
      <alignment readingOrder="1"/>
    </xf>
    <xf numFmtId="0" fontId="0" fillId="0" borderId="20" xfId="0" applyBorder="1"/>
    <xf numFmtId="0" fontId="0" fillId="0" borderId="11" xfId="0" applyBorder="1"/>
    <xf numFmtId="0" fontId="5" fillId="0" borderId="0" xfId="1"/>
    <xf numFmtId="0" fontId="6" fillId="0" borderId="11" xfId="0" applyFont="1" applyBorder="1" applyAlignment="1">
      <alignment horizontal="center" vertical="center"/>
    </xf>
    <xf numFmtId="0" fontId="6" fillId="0" borderId="10" xfId="0" applyFont="1" applyBorder="1"/>
    <xf numFmtId="17" fontId="6" fillId="0" borderId="10" xfId="0" applyNumberFormat="1" applyFont="1" applyBorder="1"/>
    <xf numFmtId="0" fontId="7" fillId="0" borderId="0" xfId="0" applyFont="1"/>
    <xf numFmtId="0" fontId="7" fillId="0" borderId="20" xfId="0" applyFont="1" applyBorder="1" applyAlignment="1">
      <alignment horizontal="center" vertical="center"/>
    </xf>
    <xf numFmtId="0" fontId="7" fillId="0" borderId="26" xfId="0" applyFont="1" applyBorder="1" applyAlignment="1">
      <alignment wrapText="1"/>
    </xf>
    <xf numFmtId="0" fontId="7" fillId="0" borderId="27" xfId="0" applyFont="1" applyBorder="1" applyAlignment="1">
      <alignment wrapText="1"/>
    </xf>
    <xf numFmtId="0" fontId="7" fillId="0" borderId="26" xfId="0" applyFont="1" applyBorder="1"/>
    <xf numFmtId="0" fontId="7" fillId="0" borderId="19" xfId="0" applyFont="1" applyBorder="1" applyAlignment="1">
      <alignment horizontal="center" vertical="center"/>
    </xf>
    <xf numFmtId="0" fontId="7" fillId="0" borderId="2" xfId="0" applyFont="1" applyBorder="1" applyAlignment="1">
      <alignment wrapText="1"/>
    </xf>
    <xf numFmtId="0" fontId="7" fillId="0" borderId="6" xfId="0" applyFont="1" applyBorder="1" applyAlignment="1">
      <alignment wrapText="1"/>
    </xf>
    <xf numFmtId="0" fontId="8" fillId="0" borderId="26" xfId="0" applyFont="1" applyBorder="1"/>
    <xf numFmtId="0" fontId="7" fillId="0" borderId="30" xfId="0" applyFont="1" applyBorder="1"/>
    <xf numFmtId="0" fontId="8" fillId="0" borderId="26" xfId="0" applyFont="1" applyBorder="1" applyAlignment="1">
      <alignment wrapText="1"/>
    </xf>
    <xf numFmtId="0" fontId="7" fillId="3" borderId="26" xfId="0" applyFont="1" applyFill="1" applyBorder="1"/>
    <xf numFmtId="0" fontId="8" fillId="3" borderId="26" xfId="0" applyFont="1" applyFill="1" applyBorder="1"/>
    <xf numFmtId="0" fontId="7" fillId="3" borderId="30" xfId="0" applyFont="1" applyFill="1" applyBorder="1"/>
    <xf numFmtId="0" fontId="7" fillId="3" borderId="27" xfId="0" applyFont="1" applyFill="1" applyBorder="1"/>
    <xf numFmtId="0" fontId="8" fillId="0" borderId="1" xfId="0" applyFont="1" applyBorder="1"/>
    <xf numFmtId="0" fontId="7" fillId="3" borderId="6" xfId="0" applyFont="1" applyFill="1" applyBorder="1"/>
    <xf numFmtId="0" fontId="7" fillId="0" borderId="6" xfId="0" applyFont="1" applyBorder="1"/>
    <xf numFmtId="0" fontId="7" fillId="0" borderId="0" xfId="0" applyFont="1" applyAlignment="1">
      <alignment horizontal="center" vertical="center"/>
    </xf>
    <xf numFmtId="0" fontId="6" fillId="0" borderId="0" xfId="0" applyFont="1"/>
    <xf numFmtId="1" fontId="6" fillId="0" borderId="0" xfId="0" applyNumberFormat="1" applyFont="1"/>
    <xf numFmtId="0" fontId="7" fillId="0" borderId="1" xfId="0" applyFont="1" applyBorder="1"/>
    <xf numFmtId="0" fontId="8" fillId="0" borderId="11" xfId="0" applyFont="1" applyBorder="1"/>
    <xf numFmtId="0" fontId="7" fillId="0" borderId="11" xfId="0" applyFont="1" applyBorder="1"/>
    <xf numFmtId="0" fontId="8" fillId="0" borderId="27" xfId="0" applyFont="1" applyBorder="1"/>
    <xf numFmtId="164" fontId="0" fillId="0" borderId="11" xfId="0" applyNumberFormat="1" applyBorder="1" applyAlignment="1">
      <alignment horizontal="center"/>
    </xf>
    <xf numFmtId="0" fontId="0" fillId="0" borderId="11" xfId="0" applyBorder="1" applyAlignment="1">
      <alignment horizontal="center"/>
    </xf>
    <xf numFmtId="10" fontId="0" fillId="0" borderId="11" xfId="0" applyNumberFormat="1" applyBorder="1" applyAlignment="1">
      <alignment horizontal="center"/>
    </xf>
    <xf numFmtId="9" fontId="0" fillId="0" borderId="11" xfId="0" applyNumberFormat="1" applyBorder="1" applyAlignment="1">
      <alignment horizontal="center"/>
    </xf>
    <xf numFmtId="0" fontId="0" fillId="0" borderId="29" xfId="0" applyBorder="1" applyAlignment="1">
      <alignment horizontal="center"/>
    </xf>
    <xf numFmtId="0" fontId="3" fillId="0" borderId="11" xfId="0" applyFont="1" applyBorder="1" applyAlignment="1">
      <alignment horizontal="center" readingOrder="1"/>
    </xf>
    <xf numFmtId="0" fontId="7" fillId="0" borderId="0" xfId="0" applyFont="1" applyAlignment="1">
      <alignment wrapText="1"/>
    </xf>
    <xf numFmtId="17" fontId="6" fillId="0" borderId="33" xfId="0" applyNumberFormat="1" applyFont="1" applyBorder="1"/>
    <xf numFmtId="0" fontId="9" fillId="0" borderId="26" xfId="0" applyFont="1" applyBorder="1"/>
    <xf numFmtId="0" fontId="3" fillId="0" borderId="0" xfId="0" applyFont="1" applyAlignment="1">
      <alignment readingOrder="1"/>
    </xf>
    <xf numFmtId="0" fontId="4" fillId="0" borderId="0" xfId="0" applyFont="1" applyAlignment="1">
      <alignment readingOrder="1"/>
    </xf>
    <xf numFmtId="0" fontId="3" fillId="0" borderId="0" xfId="0" applyFont="1" applyAlignment="1">
      <alignment wrapText="1" readingOrder="1"/>
    </xf>
    <xf numFmtId="0" fontId="3" fillId="0" borderId="0" xfId="0" applyFont="1" applyAlignment="1">
      <alignment horizontal="center" readingOrder="1"/>
    </xf>
    <xf numFmtId="0" fontId="1" fillId="0" borderId="11"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7" fillId="0" borderId="4" xfId="0" applyFont="1" applyBorder="1" applyAlignment="1">
      <alignment wrapText="1"/>
    </xf>
    <xf numFmtId="0" fontId="7" fillId="0" borderId="31" xfId="0" applyFont="1" applyBorder="1" applyAlignment="1">
      <alignment wrapText="1"/>
    </xf>
    <xf numFmtId="0" fontId="4" fillId="0" borderId="13" xfId="0" applyFont="1" applyBorder="1" applyAlignment="1">
      <alignment readingOrder="1"/>
    </xf>
    <xf numFmtId="0" fontId="4" fillId="0" borderId="15" xfId="0" applyFont="1" applyBorder="1" applyAlignment="1">
      <alignment readingOrder="1"/>
    </xf>
    <xf numFmtId="0" fontId="10" fillId="0" borderId="28" xfId="0" applyFont="1" applyBorder="1" applyAlignment="1">
      <alignment horizontal="left"/>
    </xf>
    <xf numFmtId="0" fontId="1" fillId="0" borderId="28" xfId="0" applyFont="1" applyBorder="1" applyAlignment="1">
      <alignment horizontal="left"/>
    </xf>
    <xf numFmtId="0" fontId="7" fillId="0" borderId="28" xfId="0" applyFont="1" applyBorder="1" applyAlignment="1">
      <alignment horizontal="center" wrapText="1"/>
    </xf>
    <xf numFmtId="0" fontId="7" fillId="0" borderId="0" xfId="0" applyFont="1" applyAlignment="1">
      <alignment horizontal="center" wrapText="1"/>
    </xf>
    <xf numFmtId="0" fontId="7" fillId="0" borderId="32" xfId="0" applyFont="1" applyBorder="1" applyAlignment="1">
      <alignment horizontal="center" wrapText="1"/>
    </xf>
    <xf numFmtId="0" fontId="7" fillId="0" borderId="29"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3" fillId="0" borderId="13" xfId="0" applyFont="1" applyBorder="1" applyAlignment="1">
      <alignment readingOrder="1"/>
    </xf>
    <xf numFmtId="0" fontId="3" fillId="0" borderId="14" xfId="0" applyFont="1" applyBorder="1" applyAlignment="1">
      <alignment readingOrder="1"/>
    </xf>
    <xf numFmtId="0" fontId="3" fillId="0" borderId="15" xfId="0" applyFont="1" applyBorder="1" applyAlignment="1">
      <alignment readingOrder="1"/>
    </xf>
    <xf numFmtId="0" fontId="3" fillId="0" borderId="18" xfId="0" applyFont="1" applyBorder="1" applyAlignment="1">
      <alignment readingOrder="1"/>
    </xf>
    <xf numFmtId="0" fontId="3" fillId="0" borderId="19" xfId="0" applyFont="1" applyBorder="1" applyAlignment="1">
      <alignment readingOrder="1"/>
    </xf>
    <xf numFmtId="0" fontId="3" fillId="0" borderId="20" xfId="0" applyFont="1" applyBorder="1" applyAlignment="1">
      <alignment readingOrder="1"/>
    </xf>
    <xf numFmtId="0" fontId="3" fillId="0" borderId="21" xfId="0" applyFont="1" applyBorder="1" applyAlignment="1">
      <alignment wrapText="1" readingOrder="1"/>
    </xf>
    <xf numFmtId="0" fontId="3" fillId="0" borderId="22" xfId="0" applyFont="1" applyBorder="1" applyAlignment="1">
      <alignment wrapText="1" readingOrder="1"/>
    </xf>
    <xf numFmtId="0" fontId="3" fillId="0" borderId="23" xfId="0" applyFont="1" applyBorder="1" applyAlignment="1">
      <alignment wrapText="1" readingOrder="1"/>
    </xf>
    <xf numFmtId="0" fontId="6" fillId="0" borderId="9" xfId="0" applyFont="1" applyBorder="1" applyAlignment="1"/>
    <xf numFmtId="0" fontId="6" fillId="0" borderId="10" xfId="0" applyFont="1" applyBorder="1" applyAlignment="1"/>
    <xf numFmtId="0" fontId="8" fillId="0" borderId="9" xfId="0" applyFont="1" applyBorder="1" applyAlignment="1"/>
    <xf numFmtId="0" fontId="8" fillId="0" borderId="28" xfId="0" applyFont="1" applyBorder="1" applyAlignment="1"/>
    <xf numFmtId="0" fontId="8" fillId="0" borderId="4" xfId="0" applyFont="1" applyBorder="1" applyAlignment="1"/>
    <xf numFmtId="0" fontId="8" fillId="0" borderId="5" xfId="0" applyFont="1" applyBorder="1" applyAlignment="1"/>
    <xf numFmtId="0" fontId="7" fillId="0" borderId="4" xfId="0" applyFont="1" applyBorder="1" applyAlignment="1"/>
    <xf numFmtId="0" fontId="7" fillId="0" borderId="5"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2B5E-01DF-4E1B-A440-17D26F422FBE}">
  <dimension ref="A2:X60"/>
  <sheetViews>
    <sheetView showGridLines="0" tabSelected="1" zoomScale="70" zoomScaleNormal="70" workbookViewId="0">
      <pane xSplit="5" topLeftCell="R12" activePane="topRight" state="frozen"/>
      <selection pane="topRight" activeCell="B19" sqref="B19"/>
    </sheetView>
  </sheetViews>
  <sheetFormatPr defaultColWidth="8.75" defaultRowHeight="16.5"/>
  <cols>
    <col min="1" max="1" width="5" style="14" customWidth="1"/>
    <col min="2" max="2" width="5" customWidth="1"/>
    <col min="3" max="3" width="27.25" customWidth="1"/>
    <col min="4" max="5" width="14.75" customWidth="1"/>
    <col min="18" max="18" width="9.5" style="5" bestFit="1" customWidth="1"/>
  </cols>
  <sheetData>
    <row r="2" spans="1:24">
      <c r="A2" s="1" t="s">
        <v>0</v>
      </c>
    </row>
    <row r="3" spans="1:24">
      <c r="A3" s="2" t="s">
        <v>1</v>
      </c>
    </row>
    <row r="4" spans="1:24" ht="20.25">
      <c r="A4" s="3" t="s">
        <v>2</v>
      </c>
    </row>
    <row r="6" spans="1:24" s="5" customFormat="1" ht="16.899999999999999" customHeight="1">
      <c r="A6" s="88" t="s">
        <v>3</v>
      </c>
      <c r="B6" s="88" t="s">
        <v>4</v>
      </c>
      <c r="C6" s="88"/>
      <c r="D6" s="88" t="s">
        <v>5</v>
      </c>
      <c r="E6" s="89" t="s">
        <v>6</v>
      </c>
      <c r="F6" s="91">
        <v>2025</v>
      </c>
      <c r="G6" s="92"/>
      <c r="H6" s="92"/>
      <c r="I6" s="92"/>
      <c r="J6" s="92"/>
      <c r="K6" s="92"/>
      <c r="L6" s="92"/>
      <c r="M6" s="92"/>
      <c r="N6" s="92"/>
      <c r="O6" s="92"/>
      <c r="P6" s="92"/>
      <c r="Q6" s="92"/>
      <c r="R6" s="92"/>
      <c r="S6" s="87">
        <v>2026</v>
      </c>
      <c r="T6" s="87"/>
      <c r="U6" s="87"/>
      <c r="V6" s="87"/>
      <c r="W6" s="87"/>
      <c r="X6" s="87"/>
    </row>
    <row r="7" spans="1:24" s="5" customFormat="1">
      <c r="A7" s="88"/>
      <c r="B7" s="88"/>
      <c r="C7" s="88"/>
      <c r="D7" s="88"/>
      <c r="E7" s="90"/>
      <c r="F7" s="4" t="s">
        <v>7</v>
      </c>
      <c r="G7" s="4" t="s">
        <v>8</v>
      </c>
      <c r="H7" s="4" t="s">
        <v>9</v>
      </c>
      <c r="I7" s="4" t="s">
        <v>10</v>
      </c>
      <c r="J7" s="4" t="s">
        <v>11</v>
      </c>
      <c r="K7" s="4" t="s">
        <v>12</v>
      </c>
      <c r="L7" s="4" t="s">
        <v>13</v>
      </c>
      <c r="M7" s="4" t="s">
        <v>14</v>
      </c>
      <c r="N7" s="4" t="s">
        <v>15</v>
      </c>
      <c r="O7" s="4" t="s">
        <v>16</v>
      </c>
      <c r="P7" s="4" t="s">
        <v>17</v>
      </c>
      <c r="Q7" s="4" t="s">
        <v>18</v>
      </c>
      <c r="R7" s="24" t="s">
        <v>19</v>
      </c>
      <c r="S7" s="30" t="s">
        <v>7</v>
      </c>
      <c r="T7" s="30" t="s">
        <v>8</v>
      </c>
      <c r="U7" s="30" t="s">
        <v>9</v>
      </c>
      <c r="V7" s="30" t="s">
        <v>10</v>
      </c>
      <c r="W7" s="30" t="s">
        <v>11</v>
      </c>
      <c r="X7" s="30" t="s">
        <v>20</v>
      </c>
    </row>
    <row r="8" spans="1:24">
      <c r="A8" s="6">
        <v>1</v>
      </c>
      <c r="B8" s="7" t="s">
        <v>21</v>
      </c>
      <c r="C8" s="8"/>
      <c r="D8" s="9" t="s">
        <v>5</v>
      </c>
      <c r="E8" s="9"/>
      <c r="F8" s="9"/>
      <c r="G8" s="9"/>
      <c r="H8" s="9"/>
      <c r="I8" s="9"/>
      <c r="J8" s="9"/>
      <c r="K8" s="9"/>
      <c r="L8" s="9"/>
      <c r="M8" s="9"/>
      <c r="N8" s="9"/>
      <c r="O8" s="9"/>
      <c r="P8" s="9"/>
      <c r="Q8" s="9"/>
      <c r="R8" s="4"/>
      <c r="S8" s="12"/>
      <c r="T8" s="12"/>
      <c r="U8" s="12"/>
      <c r="V8" s="12"/>
      <c r="W8" s="31"/>
      <c r="X8" s="43"/>
    </row>
    <row r="9" spans="1:24">
      <c r="A9" s="10"/>
      <c r="B9" s="11" t="s">
        <v>22</v>
      </c>
      <c r="C9" s="8" t="s">
        <v>23</v>
      </c>
      <c r="D9" s="9" t="s">
        <v>24</v>
      </c>
      <c r="E9" s="9">
        <v>4.5</v>
      </c>
      <c r="F9" s="9" t="s">
        <v>25</v>
      </c>
      <c r="G9" s="9" t="s">
        <v>25</v>
      </c>
      <c r="H9" s="9" t="s">
        <v>25</v>
      </c>
      <c r="I9" s="9" t="s">
        <v>25</v>
      </c>
      <c r="J9" s="9" t="s">
        <v>25</v>
      </c>
      <c r="K9" s="9" t="s">
        <v>25</v>
      </c>
      <c r="L9" s="9" t="s">
        <v>25</v>
      </c>
      <c r="M9" s="9" t="s">
        <v>25</v>
      </c>
      <c r="N9" s="19">
        <v>4.58</v>
      </c>
      <c r="O9" s="9">
        <v>4.58</v>
      </c>
      <c r="P9" s="9">
        <v>4.58</v>
      </c>
      <c r="Q9" s="9">
        <v>4.58</v>
      </c>
      <c r="R9" s="20">
        <f>AVERAGE(N9:Q9)</f>
        <v>4.58</v>
      </c>
      <c r="S9" s="9">
        <v>4.58</v>
      </c>
      <c r="T9" s="9">
        <v>4.58</v>
      </c>
      <c r="U9" s="9">
        <v>4.58</v>
      </c>
      <c r="V9" s="9">
        <v>4.63</v>
      </c>
      <c r="W9" s="26">
        <v>4.6399999999999997</v>
      </c>
      <c r="X9" s="75">
        <v>4.4400000000000004</v>
      </c>
    </row>
    <row r="10" spans="1:24">
      <c r="A10" s="10"/>
      <c r="B10" s="11" t="s">
        <v>26</v>
      </c>
      <c r="C10" s="8" t="s">
        <v>27</v>
      </c>
      <c r="D10" s="9" t="s">
        <v>24</v>
      </c>
      <c r="E10" s="9"/>
      <c r="F10" s="9" t="s">
        <v>25</v>
      </c>
      <c r="G10" s="9" t="s">
        <v>25</v>
      </c>
      <c r="H10" s="9" t="s">
        <v>25</v>
      </c>
      <c r="I10" s="9" t="s">
        <v>25</v>
      </c>
      <c r="J10" s="9" t="s">
        <v>25</v>
      </c>
      <c r="K10" s="9" t="s">
        <v>25</v>
      </c>
      <c r="L10" s="9" t="s">
        <v>25</v>
      </c>
      <c r="M10" s="9" t="s">
        <v>25</v>
      </c>
      <c r="N10" s="9">
        <v>4.57</v>
      </c>
      <c r="O10" s="9">
        <v>4.57</v>
      </c>
      <c r="P10" s="9">
        <v>4.57</v>
      </c>
      <c r="Q10" s="9">
        <v>4.57</v>
      </c>
      <c r="R10" s="20">
        <f t="shared" ref="R10:R17" si="0">AVERAGE(N10:Q10)</f>
        <v>4.57</v>
      </c>
      <c r="S10" s="9">
        <v>4.57</v>
      </c>
      <c r="T10" s="9">
        <v>4.57</v>
      </c>
      <c r="U10" s="9">
        <v>4.57</v>
      </c>
      <c r="V10" s="9">
        <v>4.43</v>
      </c>
      <c r="W10" s="26">
        <v>4.57</v>
      </c>
      <c r="X10" s="75">
        <v>4.4400000000000004</v>
      </c>
    </row>
    <row r="11" spans="1:24">
      <c r="A11" s="10"/>
      <c r="B11" s="11" t="s">
        <v>28</v>
      </c>
      <c r="C11" s="8" t="s">
        <v>29</v>
      </c>
      <c r="D11" s="9" t="s">
        <v>24</v>
      </c>
      <c r="E11" s="9"/>
      <c r="F11" s="9" t="s">
        <v>25</v>
      </c>
      <c r="G11" s="9" t="s">
        <v>25</v>
      </c>
      <c r="H11" s="9" t="s">
        <v>25</v>
      </c>
      <c r="I11" s="9" t="s">
        <v>25</v>
      </c>
      <c r="J11" s="9" t="s">
        <v>25</v>
      </c>
      <c r="K11" s="9" t="s">
        <v>25</v>
      </c>
      <c r="L11" s="9" t="s">
        <v>25</v>
      </c>
      <c r="M11" s="9" t="s">
        <v>25</v>
      </c>
      <c r="N11" s="9">
        <v>4.78</v>
      </c>
      <c r="O11" s="9">
        <v>4.78</v>
      </c>
      <c r="P11" s="9">
        <v>4.78</v>
      </c>
      <c r="Q11" s="9">
        <v>4.78</v>
      </c>
      <c r="R11" s="20">
        <f t="shared" si="0"/>
        <v>4.78</v>
      </c>
      <c r="S11" s="9">
        <v>4.78</v>
      </c>
      <c r="T11" s="9">
        <v>4.78</v>
      </c>
      <c r="U11" s="9">
        <v>4.78</v>
      </c>
      <c r="V11" s="9">
        <v>4.87</v>
      </c>
      <c r="W11" s="26">
        <v>4.87</v>
      </c>
      <c r="X11" s="75">
        <v>4.72</v>
      </c>
    </row>
    <row r="12" spans="1:24">
      <c r="A12" s="10"/>
      <c r="B12" s="11" t="s">
        <v>30</v>
      </c>
      <c r="C12" s="8" t="s">
        <v>31</v>
      </c>
      <c r="D12" s="9" t="s">
        <v>24</v>
      </c>
      <c r="E12" s="9"/>
      <c r="F12" s="9" t="s">
        <v>25</v>
      </c>
      <c r="G12" s="9" t="s">
        <v>25</v>
      </c>
      <c r="H12" s="9" t="s">
        <v>25</v>
      </c>
      <c r="I12" s="9" t="s">
        <v>25</v>
      </c>
      <c r="J12" s="9" t="s">
        <v>25</v>
      </c>
      <c r="K12" s="9" t="s">
        <v>25</v>
      </c>
      <c r="L12" s="9" t="s">
        <v>25</v>
      </c>
      <c r="M12" s="9" t="s">
        <v>25</v>
      </c>
      <c r="N12" s="9">
        <v>4.6399999999999997</v>
      </c>
      <c r="O12" s="9">
        <v>4.6399999999999997</v>
      </c>
      <c r="P12" s="9">
        <v>4.6399999999999997</v>
      </c>
      <c r="Q12" s="9">
        <v>4.6399999999999997</v>
      </c>
      <c r="R12" s="20">
        <f t="shared" si="0"/>
        <v>4.6399999999999997</v>
      </c>
      <c r="S12" s="9">
        <v>4.6399999999999997</v>
      </c>
      <c r="T12" s="9">
        <v>4.6399999999999997</v>
      </c>
      <c r="U12" s="9">
        <v>4.6399999999999997</v>
      </c>
      <c r="V12" s="9">
        <v>4.8499999999999996</v>
      </c>
      <c r="W12" s="26">
        <v>4.76</v>
      </c>
      <c r="X12" s="75">
        <v>4.68</v>
      </c>
    </row>
    <row r="13" spans="1:24">
      <c r="A13" s="10"/>
      <c r="B13" s="9" t="s">
        <v>32</v>
      </c>
      <c r="C13" s="8" t="s">
        <v>33</v>
      </c>
      <c r="D13" s="9" t="s">
        <v>24</v>
      </c>
      <c r="E13" s="9"/>
      <c r="F13" s="9" t="s">
        <v>25</v>
      </c>
      <c r="G13" s="9" t="s">
        <v>25</v>
      </c>
      <c r="H13" s="9" t="s">
        <v>25</v>
      </c>
      <c r="I13" s="9" t="s">
        <v>25</v>
      </c>
      <c r="J13" s="9" t="s">
        <v>25</v>
      </c>
      <c r="K13" s="9" t="s">
        <v>25</v>
      </c>
      <c r="L13" s="9" t="s">
        <v>25</v>
      </c>
      <c r="M13" s="9" t="s">
        <v>25</v>
      </c>
      <c r="N13" s="9">
        <v>4.5599999999999996</v>
      </c>
      <c r="O13" s="9">
        <v>4.5599999999999996</v>
      </c>
      <c r="P13" s="9">
        <v>4.5599999999999996</v>
      </c>
      <c r="Q13" s="9">
        <v>4.5599999999999996</v>
      </c>
      <c r="R13" s="20">
        <f t="shared" si="0"/>
        <v>4.5599999999999996</v>
      </c>
      <c r="S13" s="9">
        <v>4.5599999999999996</v>
      </c>
      <c r="T13" s="9">
        <v>4.5599999999999996</v>
      </c>
      <c r="U13" s="9">
        <v>4.5599999999999996</v>
      </c>
      <c r="V13" s="9">
        <v>4.6100000000000003</v>
      </c>
      <c r="W13" s="26">
        <v>4.54</v>
      </c>
      <c r="X13" s="75">
        <v>4.51</v>
      </c>
    </row>
    <row r="14" spans="1:24">
      <c r="A14" s="12"/>
      <c r="B14" s="9" t="s">
        <v>34</v>
      </c>
      <c r="C14" s="8" t="s">
        <v>35</v>
      </c>
      <c r="D14" s="9" t="s">
        <v>24</v>
      </c>
      <c r="E14" s="9"/>
      <c r="F14" s="9" t="s">
        <v>25</v>
      </c>
      <c r="G14" s="9" t="s">
        <v>25</v>
      </c>
      <c r="H14" s="9" t="s">
        <v>25</v>
      </c>
      <c r="I14" s="9" t="s">
        <v>25</v>
      </c>
      <c r="J14" s="9" t="s">
        <v>25</v>
      </c>
      <c r="K14" s="9" t="s">
        <v>25</v>
      </c>
      <c r="L14" s="9" t="s">
        <v>25</v>
      </c>
      <c r="M14" s="9" t="s">
        <v>25</v>
      </c>
      <c r="N14" s="9">
        <v>4.37</v>
      </c>
      <c r="O14" s="9">
        <v>4.37</v>
      </c>
      <c r="P14" s="9">
        <v>4.37</v>
      </c>
      <c r="Q14" s="9">
        <v>4.37</v>
      </c>
      <c r="R14" s="20">
        <f t="shared" si="0"/>
        <v>4.37</v>
      </c>
      <c r="S14" s="9">
        <v>4.37</v>
      </c>
      <c r="T14" s="9">
        <v>4.37</v>
      </c>
      <c r="U14" s="9">
        <v>4.37</v>
      </c>
      <c r="V14" s="9">
        <v>4.3499999999999996</v>
      </c>
      <c r="W14" s="26">
        <v>4.33</v>
      </c>
      <c r="X14" s="75">
        <v>4.24</v>
      </c>
    </row>
    <row r="15" spans="1:24">
      <c r="A15" s="10"/>
      <c r="B15" s="9" t="s">
        <v>36</v>
      </c>
      <c r="C15" s="8" t="s">
        <v>37</v>
      </c>
      <c r="D15" s="9" t="s">
        <v>24</v>
      </c>
      <c r="E15" s="9"/>
      <c r="F15" s="9" t="s">
        <v>25</v>
      </c>
      <c r="G15" s="9" t="s">
        <v>25</v>
      </c>
      <c r="H15" s="9" t="s">
        <v>25</v>
      </c>
      <c r="I15" s="9" t="s">
        <v>25</v>
      </c>
      <c r="J15" s="9" t="s">
        <v>25</v>
      </c>
      <c r="K15" s="9" t="s">
        <v>25</v>
      </c>
      <c r="L15" s="9" t="s">
        <v>25</v>
      </c>
      <c r="M15" s="9" t="s">
        <v>25</v>
      </c>
      <c r="N15" s="9">
        <v>4.53</v>
      </c>
      <c r="O15" s="9">
        <v>4.7300000000000004</v>
      </c>
      <c r="P15" s="9">
        <v>4.74</v>
      </c>
      <c r="Q15" s="9">
        <v>4.5599999999999996</v>
      </c>
      <c r="R15" s="20">
        <f t="shared" si="0"/>
        <v>4.6400000000000006</v>
      </c>
      <c r="S15" s="9">
        <v>4.67</v>
      </c>
      <c r="T15" s="9">
        <v>4.83</v>
      </c>
      <c r="U15" s="9">
        <v>4.55</v>
      </c>
      <c r="V15" s="9">
        <v>4.5</v>
      </c>
      <c r="W15" s="26">
        <v>4.13</v>
      </c>
      <c r="X15" s="75">
        <v>4.8899999999999997</v>
      </c>
    </row>
    <row r="16" spans="1:24">
      <c r="A16" s="10"/>
      <c r="B16" s="9" t="s">
        <v>38</v>
      </c>
      <c r="C16" s="8" t="s">
        <v>39</v>
      </c>
      <c r="D16" s="9" t="s">
        <v>24</v>
      </c>
      <c r="E16" s="9"/>
      <c r="F16" s="9" t="s">
        <v>25</v>
      </c>
      <c r="G16" s="9" t="s">
        <v>25</v>
      </c>
      <c r="H16" s="9" t="s">
        <v>25</v>
      </c>
      <c r="I16" s="9" t="s">
        <v>25</v>
      </c>
      <c r="J16" s="9" t="s">
        <v>25</v>
      </c>
      <c r="K16" s="9" t="s">
        <v>25</v>
      </c>
      <c r="L16" s="9" t="s">
        <v>25</v>
      </c>
      <c r="M16" s="9" t="s">
        <v>25</v>
      </c>
      <c r="N16" s="9">
        <v>4.6100000000000003</v>
      </c>
      <c r="O16" s="9">
        <v>4.6500000000000004</v>
      </c>
      <c r="P16" s="9">
        <v>4.5999999999999996</v>
      </c>
      <c r="Q16" s="9">
        <v>4.59</v>
      </c>
      <c r="R16" s="20">
        <f t="shared" si="0"/>
        <v>4.6125000000000007</v>
      </c>
      <c r="S16" s="9">
        <v>4.6900000000000004</v>
      </c>
      <c r="T16" s="9">
        <v>4.8</v>
      </c>
      <c r="U16" s="9">
        <v>4.74</v>
      </c>
      <c r="V16" s="9">
        <v>4.74</v>
      </c>
      <c r="W16" s="26">
        <v>4.71</v>
      </c>
      <c r="X16" s="75">
        <v>4.5599999999999996</v>
      </c>
    </row>
    <row r="17" spans="1:24">
      <c r="A17" s="10"/>
      <c r="B17" s="9" t="s">
        <v>40</v>
      </c>
      <c r="C17" s="8" t="s">
        <v>41</v>
      </c>
      <c r="D17" s="9" t="s">
        <v>24</v>
      </c>
      <c r="E17" s="9"/>
      <c r="F17" s="9" t="s">
        <v>25</v>
      </c>
      <c r="G17" s="9" t="s">
        <v>25</v>
      </c>
      <c r="H17" s="9" t="s">
        <v>25</v>
      </c>
      <c r="I17" s="9" t="s">
        <v>25</v>
      </c>
      <c r="J17" s="9" t="s">
        <v>25</v>
      </c>
      <c r="K17" s="9" t="s">
        <v>25</v>
      </c>
      <c r="L17" s="9" t="s">
        <v>25</v>
      </c>
      <c r="M17" s="9" t="s">
        <v>25</v>
      </c>
      <c r="N17" s="9">
        <v>4.71</v>
      </c>
      <c r="O17" s="9">
        <v>4.7300000000000004</v>
      </c>
      <c r="P17" s="9">
        <v>4.75</v>
      </c>
      <c r="Q17" s="9">
        <v>4.55</v>
      </c>
      <c r="R17" s="20">
        <f t="shared" si="0"/>
        <v>4.6850000000000005</v>
      </c>
      <c r="S17" s="9">
        <v>4.71</v>
      </c>
      <c r="T17" s="9">
        <v>4.8499999999999996</v>
      </c>
      <c r="U17" s="9">
        <v>4.7</v>
      </c>
      <c r="V17" s="9">
        <v>4.72</v>
      </c>
      <c r="W17" s="26">
        <v>4.8</v>
      </c>
      <c r="X17" s="75">
        <v>4.62</v>
      </c>
    </row>
    <row r="18" spans="1:24">
      <c r="A18" s="6">
        <v>2</v>
      </c>
      <c r="B18" s="7" t="s">
        <v>42</v>
      </c>
      <c r="C18" s="8"/>
      <c r="D18" s="8"/>
      <c r="E18" s="8"/>
      <c r="F18" s="9"/>
      <c r="G18" s="9"/>
      <c r="H18" s="9"/>
      <c r="I18" s="9"/>
      <c r="J18" s="9"/>
      <c r="K18" s="9"/>
      <c r="L18" s="9"/>
      <c r="M18" s="9"/>
      <c r="N18" s="9"/>
      <c r="O18" s="9"/>
      <c r="P18" s="9"/>
      <c r="Q18" s="9"/>
      <c r="R18" s="4"/>
      <c r="S18" s="9"/>
      <c r="T18" s="9"/>
      <c r="U18" s="9"/>
      <c r="V18" s="9"/>
      <c r="W18" s="26"/>
      <c r="X18" s="44"/>
    </row>
    <row r="19" spans="1:24">
      <c r="A19" s="10"/>
      <c r="B19" s="11" t="s">
        <v>22</v>
      </c>
      <c r="C19" s="8" t="s">
        <v>43</v>
      </c>
      <c r="D19" s="9" t="s">
        <v>24</v>
      </c>
      <c r="E19" s="9">
        <v>4.5</v>
      </c>
      <c r="F19" s="9">
        <v>4.8</v>
      </c>
      <c r="G19" s="9">
        <v>4.7</v>
      </c>
      <c r="H19" s="9">
        <v>4.8</v>
      </c>
      <c r="I19" s="9">
        <v>4.8</v>
      </c>
      <c r="J19" s="9">
        <v>4.5999999999999996</v>
      </c>
      <c r="K19" s="9">
        <v>4.7</v>
      </c>
      <c r="L19" s="9">
        <v>4.5</v>
      </c>
      <c r="M19" s="9">
        <v>4.5999999999999996</v>
      </c>
      <c r="N19" s="9">
        <v>4.5</v>
      </c>
      <c r="O19" s="9">
        <v>4.8</v>
      </c>
      <c r="P19" s="9">
        <v>4.8</v>
      </c>
      <c r="Q19" s="9">
        <v>4.5999999999999996</v>
      </c>
      <c r="R19" s="20">
        <f>AVERAGE(F19:Q19)</f>
        <v>4.6833333333333336</v>
      </c>
      <c r="S19" s="9">
        <v>4.9000000000000004</v>
      </c>
      <c r="T19" s="9">
        <v>4.9000000000000004</v>
      </c>
      <c r="U19" s="9">
        <v>4.8</v>
      </c>
      <c r="V19" s="9" t="s">
        <v>44</v>
      </c>
      <c r="W19" s="26">
        <v>4.8099999999999996</v>
      </c>
      <c r="X19" s="74">
        <f>92.42/20</f>
        <v>4.6210000000000004</v>
      </c>
    </row>
    <row r="20" spans="1:24">
      <c r="A20" s="10"/>
      <c r="B20" s="11" t="s">
        <v>26</v>
      </c>
      <c r="C20" s="8" t="s">
        <v>45</v>
      </c>
      <c r="D20" s="9" t="s">
        <v>24</v>
      </c>
      <c r="E20" s="9"/>
      <c r="F20" s="15">
        <f>99.4/20</f>
        <v>4.9700000000000006</v>
      </c>
      <c r="G20" s="15">
        <f>93.49/20</f>
        <v>4.6745000000000001</v>
      </c>
      <c r="H20" s="15">
        <f>93.67/20</f>
        <v>4.6835000000000004</v>
      </c>
      <c r="I20" s="15">
        <f>87.75/20</f>
        <v>4.3875000000000002</v>
      </c>
      <c r="J20" s="15">
        <f>89.37/20</f>
        <v>4.4685000000000006</v>
      </c>
      <c r="K20" s="15">
        <f>89.06/20</f>
        <v>4.4530000000000003</v>
      </c>
      <c r="L20" s="15">
        <f>86.28/20</f>
        <v>4.3140000000000001</v>
      </c>
      <c r="M20" s="15">
        <f>89.97/20</f>
        <v>4.4984999999999999</v>
      </c>
      <c r="N20" s="15">
        <f>94.05/20</f>
        <v>4.7024999999999997</v>
      </c>
      <c r="O20" s="15">
        <f>93.15/20</f>
        <v>4.6575000000000006</v>
      </c>
      <c r="P20" s="15">
        <f>93.42/20</f>
        <v>4.6710000000000003</v>
      </c>
      <c r="Q20" s="15">
        <f>89.36/20</f>
        <v>4.468</v>
      </c>
      <c r="R20" s="20">
        <f>AVERAGE(F20:Q20)</f>
        <v>4.579041666666666</v>
      </c>
      <c r="S20" s="9">
        <v>4.3</v>
      </c>
      <c r="T20" s="9">
        <v>4.5</v>
      </c>
      <c r="U20" s="9">
        <v>4.3</v>
      </c>
      <c r="V20" s="15">
        <f>93.18/20</f>
        <v>4.6590000000000007</v>
      </c>
      <c r="W20" s="27">
        <f>90.61/20</f>
        <v>4.5305</v>
      </c>
      <c r="X20" s="74">
        <f>90.42/20</f>
        <v>4.5209999999999999</v>
      </c>
    </row>
    <row r="21" spans="1:24">
      <c r="A21" s="10"/>
      <c r="B21" s="11" t="s">
        <v>28</v>
      </c>
      <c r="C21" s="8" t="s">
        <v>46</v>
      </c>
      <c r="D21" s="9" t="s">
        <v>24</v>
      </c>
      <c r="E21" s="9"/>
      <c r="F21" s="15">
        <f>90.83/20</f>
        <v>4.5415000000000001</v>
      </c>
      <c r="G21" s="15">
        <f>96.58/20</f>
        <v>4.8289999999999997</v>
      </c>
      <c r="H21" s="15">
        <f>92.77/20</f>
        <v>4.6384999999999996</v>
      </c>
      <c r="I21" s="15">
        <f>93.81/20</f>
        <v>4.6905000000000001</v>
      </c>
      <c r="J21" s="15">
        <f>91.54/20</f>
        <v>4.577</v>
      </c>
      <c r="K21" s="15">
        <f>94.88/20</f>
        <v>4.7439999999999998</v>
      </c>
      <c r="L21" s="15">
        <f>92.97/20</f>
        <v>4.6485000000000003</v>
      </c>
      <c r="M21" s="15">
        <f>92.59/20</f>
        <v>4.6295000000000002</v>
      </c>
      <c r="N21" s="15">
        <f>96.28/20</f>
        <v>4.8140000000000001</v>
      </c>
      <c r="O21" s="15">
        <f>94.15/20</f>
        <v>4.7075000000000005</v>
      </c>
      <c r="P21" s="15">
        <f>94.41/20</f>
        <v>4.7204999999999995</v>
      </c>
      <c r="Q21" s="15">
        <f>93.62/20</f>
        <v>4.681</v>
      </c>
      <c r="R21" s="20">
        <f t="shared" ref="R21:R27" si="1">AVERAGE(F21:Q21)</f>
        <v>4.6851250000000002</v>
      </c>
      <c r="S21" s="9">
        <v>4.7</v>
      </c>
      <c r="T21" s="9">
        <v>4.5</v>
      </c>
      <c r="U21" s="9">
        <v>4.7</v>
      </c>
      <c r="V21" s="15">
        <f>96.92/20</f>
        <v>4.8460000000000001</v>
      </c>
      <c r="W21" s="27">
        <f>95.92/20</f>
        <v>4.7960000000000003</v>
      </c>
      <c r="X21" s="74">
        <f>94.4/20</f>
        <v>4.7200000000000006</v>
      </c>
    </row>
    <row r="22" spans="1:24">
      <c r="A22" s="10"/>
      <c r="B22" s="11" t="s">
        <v>30</v>
      </c>
      <c r="C22" s="8" t="s">
        <v>47</v>
      </c>
      <c r="D22" s="9" t="s">
        <v>24</v>
      </c>
      <c r="E22" s="9"/>
      <c r="F22" s="15">
        <f>93.1/20</f>
        <v>4.6549999999999994</v>
      </c>
      <c r="G22" s="15">
        <f>98.29/20</f>
        <v>4.9145000000000003</v>
      </c>
      <c r="H22" s="15">
        <f>96.39/20</f>
        <v>4.8194999999999997</v>
      </c>
      <c r="I22" s="15">
        <f>94.7/20</f>
        <v>4.7350000000000003</v>
      </c>
      <c r="J22" s="15">
        <f>94.49/20</f>
        <v>4.7244999999999999</v>
      </c>
      <c r="K22" s="15">
        <f>94.69/20</f>
        <v>4.7344999999999997</v>
      </c>
      <c r="L22" s="15">
        <f>91.3/20</f>
        <v>4.5649999999999995</v>
      </c>
      <c r="M22" s="15">
        <f>93.24/20</f>
        <v>4.6619999999999999</v>
      </c>
      <c r="N22" s="15">
        <f>95.44/20</f>
        <v>4.7720000000000002</v>
      </c>
      <c r="O22" s="15">
        <f>94.4/20</f>
        <v>4.7200000000000006</v>
      </c>
      <c r="P22" s="15">
        <f>94.74/20</f>
        <v>4.7370000000000001</v>
      </c>
      <c r="Q22" s="15">
        <f>95.47/20</f>
        <v>4.7735000000000003</v>
      </c>
      <c r="R22" s="20">
        <f t="shared" si="1"/>
        <v>4.7343749999999991</v>
      </c>
      <c r="S22" s="9">
        <v>4.5999999999999996</v>
      </c>
      <c r="T22" s="9">
        <v>4.7</v>
      </c>
      <c r="U22" s="9" t="s">
        <v>48</v>
      </c>
      <c r="V22" s="15">
        <f>96.54/20</f>
        <v>4.827</v>
      </c>
      <c r="W22" s="27">
        <f>96.24/20</f>
        <v>4.8119999999999994</v>
      </c>
      <c r="X22" s="74">
        <f>95.53/20</f>
        <v>4.7765000000000004</v>
      </c>
    </row>
    <row r="23" spans="1:24">
      <c r="A23" s="10"/>
      <c r="B23" s="9" t="s">
        <v>32</v>
      </c>
      <c r="C23" s="8" t="s">
        <v>49</v>
      </c>
      <c r="D23" s="9" t="s">
        <v>24</v>
      </c>
      <c r="E23" s="9"/>
      <c r="F23" s="15">
        <f>87.5/20</f>
        <v>4.375</v>
      </c>
      <c r="G23" s="15">
        <f>87.68/20</f>
        <v>4.3840000000000003</v>
      </c>
      <c r="H23" s="15">
        <f>87.65/20</f>
        <v>4.3825000000000003</v>
      </c>
      <c r="I23" s="15">
        <f>81.57/20</f>
        <v>4.0785</v>
      </c>
      <c r="J23" s="15">
        <f>79.69/20</f>
        <v>3.9844999999999997</v>
      </c>
      <c r="K23" s="15">
        <f>84.92/20</f>
        <v>4.2460000000000004</v>
      </c>
      <c r="L23" s="15">
        <f>82.71/20</f>
        <v>4.1354999999999995</v>
      </c>
      <c r="M23" s="15">
        <f>84.66/20</f>
        <v>4.2329999999999997</v>
      </c>
      <c r="N23" s="15">
        <f>87.16/20</f>
        <v>4.3579999999999997</v>
      </c>
      <c r="O23" s="15">
        <f>86.09/20</f>
        <v>4.3045</v>
      </c>
      <c r="P23" s="15">
        <f>89.33/20</f>
        <v>4.4664999999999999</v>
      </c>
      <c r="Q23" s="15">
        <f>82.07/20</f>
        <v>4.1034999999999995</v>
      </c>
      <c r="R23" s="20">
        <f t="shared" si="1"/>
        <v>4.2542916666666661</v>
      </c>
      <c r="S23" s="9">
        <v>4.0999999999999996</v>
      </c>
      <c r="T23" s="9" t="s">
        <v>50</v>
      </c>
      <c r="U23" s="9">
        <v>4.2</v>
      </c>
      <c r="V23" s="15">
        <f>86.92/20</f>
        <v>4.3460000000000001</v>
      </c>
      <c r="W23" s="27">
        <f>84.87/20</f>
        <v>4.2435</v>
      </c>
      <c r="X23" s="74">
        <f>86.38/20</f>
        <v>4.319</v>
      </c>
    </row>
    <row r="24" spans="1:24">
      <c r="A24" s="10"/>
      <c r="B24" s="9" t="s">
        <v>34</v>
      </c>
      <c r="C24" s="8" t="s">
        <v>51</v>
      </c>
      <c r="D24" s="9" t="s">
        <v>24</v>
      </c>
      <c r="E24" s="9"/>
      <c r="F24" s="15">
        <f>92.53/20</f>
        <v>4.6265000000000001</v>
      </c>
      <c r="G24" s="15">
        <f>94.18/20</f>
        <v>4.7090000000000005</v>
      </c>
      <c r="H24" s="15">
        <f>94.28/20</f>
        <v>4.7140000000000004</v>
      </c>
      <c r="I24" s="15">
        <f>88.97/20</f>
        <v>4.4485000000000001</v>
      </c>
      <c r="J24" s="15">
        <f>89.68/20</f>
        <v>4.484</v>
      </c>
      <c r="K24" s="15">
        <f>88.78/20</f>
        <v>4.4390000000000001</v>
      </c>
      <c r="L24" s="15">
        <f>91.62/20</f>
        <v>4.5810000000000004</v>
      </c>
      <c r="M24" s="15">
        <f>92.9/20</f>
        <v>4.6450000000000005</v>
      </c>
      <c r="N24" s="15">
        <f>92.4/20</f>
        <v>4.62</v>
      </c>
      <c r="O24" s="15">
        <f>90.85/20</f>
        <v>4.5424999999999995</v>
      </c>
      <c r="P24" s="15">
        <f>95/20</f>
        <v>4.75</v>
      </c>
      <c r="Q24" s="15">
        <f>89.67/20</f>
        <v>4.4835000000000003</v>
      </c>
      <c r="R24" s="20">
        <f t="shared" si="1"/>
        <v>4.5869166666666663</v>
      </c>
      <c r="S24" s="9">
        <v>4.5999999999999996</v>
      </c>
      <c r="T24" s="9">
        <v>4.7</v>
      </c>
      <c r="U24" s="9">
        <v>4.7</v>
      </c>
      <c r="V24" s="15">
        <f>95.45/20</f>
        <v>4.7725</v>
      </c>
      <c r="W24" s="27">
        <f>93.85/20</f>
        <v>4.6924999999999999</v>
      </c>
      <c r="X24" s="74">
        <f>94.17/20</f>
        <v>4.7084999999999999</v>
      </c>
    </row>
    <row r="25" spans="1:24">
      <c r="A25" s="10"/>
      <c r="B25" s="9" t="s">
        <v>36</v>
      </c>
      <c r="C25" s="8" t="s">
        <v>52</v>
      </c>
      <c r="D25" s="9" t="s">
        <v>24</v>
      </c>
      <c r="E25" s="9"/>
      <c r="F25" s="15">
        <f>92.37/20</f>
        <v>4.6185</v>
      </c>
      <c r="G25" s="15">
        <f>96.96/20</f>
        <v>4.8479999999999999</v>
      </c>
      <c r="H25" s="15">
        <f>96.34/20</f>
        <v>4.8170000000000002</v>
      </c>
      <c r="I25" s="15">
        <f>90.59/20</f>
        <v>4.5295000000000005</v>
      </c>
      <c r="J25" s="15">
        <f>93/20</f>
        <v>4.6500000000000004</v>
      </c>
      <c r="K25" s="15">
        <f>91.99/20</f>
        <v>4.5994999999999999</v>
      </c>
      <c r="L25" s="15">
        <f>92.57/20</f>
        <v>4.6284999999999998</v>
      </c>
      <c r="M25" s="15">
        <f>93.27/20</f>
        <v>4.6635</v>
      </c>
      <c r="N25" s="15">
        <f>92.23/20</f>
        <v>4.6115000000000004</v>
      </c>
      <c r="O25" s="15">
        <f>93.35/20</f>
        <v>4.6674999999999995</v>
      </c>
      <c r="P25" s="15">
        <f>96.62/20</f>
        <v>4.8310000000000004</v>
      </c>
      <c r="Q25" s="15">
        <f>94.79/20</f>
        <v>4.7395000000000005</v>
      </c>
      <c r="R25" s="20">
        <f t="shared" si="1"/>
        <v>4.6836666666666664</v>
      </c>
      <c r="S25" s="9">
        <v>4.4000000000000004</v>
      </c>
      <c r="T25" s="9">
        <v>4.7</v>
      </c>
      <c r="U25" s="9">
        <v>4.5999999999999996</v>
      </c>
      <c r="V25" s="15">
        <f>93.18/20</f>
        <v>4.6590000000000007</v>
      </c>
      <c r="W25" s="27">
        <f>94.16/20</f>
        <v>4.7080000000000002</v>
      </c>
      <c r="X25" s="74">
        <f>94.31/20</f>
        <v>4.7155000000000005</v>
      </c>
    </row>
    <row r="26" spans="1:24">
      <c r="A26" s="10"/>
      <c r="B26" s="9" t="s">
        <v>53</v>
      </c>
      <c r="C26" s="8" t="s">
        <v>54</v>
      </c>
      <c r="D26" s="9" t="s">
        <v>24</v>
      </c>
      <c r="E26" s="9"/>
      <c r="F26" s="15">
        <f>86.32/20</f>
        <v>4.3159999999999998</v>
      </c>
      <c r="G26" s="15">
        <f>92.36/20</f>
        <v>4.6180000000000003</v>
      </c>
      <c r="H26" s="15">
        <f>90.79/20</f>
        <v>4.5395000000000003</v>
      </c>
      <c r="I26" s="15">
        <f>86.2/20</f>
        <v>4.3100000000000005</v>
      </c>
      <c r="J26" s="15">
        <f>87.39/20</f>
        <v>4.3695000000000004</v>
      </c>
      <c r="K26" s="15">
        <f>85.08/20</f>
        <v>4.2539999999999996</v>
      </c>
      <c r="L26" s="15">
        <f>87.7/20</f>
        <v>4.3849999999999998</v>
      </c>
      <c r="M26" s="15">
        <f>88.85/20</f>
        <v>4.4424999999999999</v>
      </c>
      <c r="N26" s="15">
        <f>92.5/20</f>
        <v>4.625</v>
      </c>
      <c r="O26" s="15">
        <f>86.9/20</f>
        <v>4.3450000000000006</v>
      </c>
      <c r="P26" s="15">
        <f>93.1/20</f>
        <v>4.6549999999999994</v>
      </c>
      <c r="Q26" s="15">
        <f>85.98/20</f>
        <v>4.2990000000000004</v>
      </c>
      <c r="R26" s="20">
        <f t="shared" si="1"/>
        <v>4.429875</v>
      </c>
      <c r="S26" s="9">
        <v>4.4000000000000004</v>
      </c>
      <c r="T26" s="9">
        <v>4.4000000000000004</v>
      </c>
      <c r="U26" s="9">
        <v>4.2</v>
      </c>
      <c r="V26" s="15">
        <f>88.1/20</f>
        <v>4.4049999999999994</v>
      </c>
      <c r="W26" s="27">
        <f>89.36/20</f>
        <v>4.468</v>
      </c>
      <c r="X26" s="74">
        <f>92.22/20</f>
        <v>4.6109999999999998</v>
      </c>
    </row>
    <row r="27" spans="1:24">
      <c r="A27" s="12"/>
      <c r="B27" s="9" t="s">
        <v>55</v>
      </c>
      <c r="C27" s="8" t="s">
        <v>56</v>
      </c>
      <c r="D27" s="9" t="s">
        <v>24</v>
      </c>
      <c r="E27" s="9">
        <v>4.5999999999999996</v>
      </c>
      <c r="F27" s="15">
        <f>85.53/20</f>
        <v>4.2765000000000004</v>
      </c>
      <c r="G27" s="15">
        <f>95.77/20</f>
        <v>4.7885</v>
      </c>
      <c r="H27" s="15">
        <f>91.78/20</f>
        <v>4.5890000000000004</v>
      </c>
      <c r="I27" s="15">
        <f>87.24/20</f>
        <v>4.3620000000000001</v>
      </c>
      <c r="J27" s="15">
        <f>89.79/20</f>
        <v>4.4895000000000005</v>
      </c>
      <c r="K27" s="15">
        <f>90.83/20</f>
        <v>4.5415000000000001</v>
      </c>
      <c r="L27" s="15">
        <f>89.67/20</f>
        <v>4.4835000000000003</v>
      </c>
      <c r="M27" s="15">
        <f>90.35/20</f>
        <v>4.5175000000000001</v>
      </c>
      <c r="N27" s="15">
        <f>93.84/20</f>
        <v>4.6920000000000002</v>
      </c>
      <c r="O27" s="15">
        <f>91.74/20</f>
        <v>4.5869999999999997</v>
      </c>
      <c r="P27" s="15">
        <f>92.96/20</f>
        <v>4.6479999999999997</v>
      </c>
      <c r="Q27" s="15">
        <f>84.78/20</f>
        <v>4.2389999999999999</v>
      </c>
      <c r="R27" s="20">
        <f t="shared" si="1"/>
        <v>4.5178333333333329</v>
      </c>
      <c r="S27" s="9">
        <v>4.0999999999999996</v>
      </c>
      <c r="T27" s="9">
        <v>4.7</v>
      </c>
      <c r="U27" s="9">
        <v>4.5</v>
      </c>
      <c r="V27" s="15">
        <f>92.21/20</f>
        <v>4.6105</v>
      </c>
      <c r="W27" s="27">
        <f>91.94/20</f>
        <v>4.5969999999999995</v>
      </c>
      <c r="X27" s="74">
        <f>92.26/20</f>
        <v>4.6130000000000004</v>
      </c>
    </row>
    <row r="28" spans="1:24">
      <c r="A28" s="6">
        <v>3</v>
      </c>
      <c r="B28" s="7" t="s">
        <v>57</v>
      </c>
      <c r="C28" s="8"/>
      <c r="D28" s="8"/>
      <c r="E28" s="9"/>
      <c r="F28" s="9"/>
      <c r="G28" s="9"/>
      <c r="H28" s="9"/>
      <c r="I28" s="9"/>
      <c r="J28" s="9"/>
      <c r="K28" s="9"/>
      <c r="L28" s="9"/>
      <c r="M28" s="9"/>
      <c r="N28" s="9"/>
      <c r="O28" s="9"/>
      <c r="P28" s="9"/>
      <c r="Q28" s="9"/>
      <c r="R28" s="4"/>
      <c r="S28" s="9"/>
      <c r="T28" s="9"/>
      <c r="U28" s="9"/>
      <c r="V28" s="9"/>
      <c r="W28" s="26"/>
      <c r="X28" s="74"/>
    </row>
    <row r="29" spans="1:24">
      <c r="A29" s="10"/>
      <c r="B29" s="11" t="s">
        <v>22</v>
      </c>
      <c r="C29" s="8" t="s">
        <v>43</v>
      </c>
      <c r="D29" s="9" t="s">
        <v>24</v>
      </c>
      <c r="E29" s="9">
        <v>4.5</v>
      </c>
      <c r="F29" s="9">
        <v>4.7</v>
      </c>
      <c r="G29" s="9">
        <v>4.7</v>
      </c>
      <c r="H29" s="9">
        <v>4.7</v>
      </c>
      <c r="I29" s="9">
        <v>4.5999999999999996</v>
      </c>
      <c r="J29" s="9">
        <v>4.5999999999999996</v>
      </c>
      <c r="K29" s="9">
        <v>4.7</v>
      </c>
      <c r="L29" s="9">
        <v>4.4000000000000004</v>
      </c>
      <c r="M29" s="9">
        <v>4.5</v>
      </c>
      <c r="N29" s="9">
        <v>4.7</v>
      </c>
      <c r="O29" s="9">
        <v>4.5999999999999996</v>
      </c>
      <c r="P29" s="9">
        <v>4.7</v>
      </c>
      <c r="Q29" s="9">
        <v>4.7</v>
      </c>
      <c r="R29" s="20">
        <f>AVERAGE(F29:Q29)</f>
        <v>4.6333333333333346</v>
      </c>
      <c r="S29" s="9">
        <v>4.8</v>
      </c>
      <c r="T29" s="9">
        <v>4.7</v>
      </c>
      <c r="U29" s="9">
        <v>4.7</v>
      </c>
      <c r="V29" s="9" t="s">
        <v>48</v>
      </c>
      <c r="W29" s="26">
        <v>4.74</v>
      </c>
      <c r="X29" s="74">
        <f>89.96/20</f>
        <v>4.4979999999999993</v>
      </c>
    </row>
    <row r="30" spans="1:24">
      <c r="A30" s="10"/>
      <c r="B30" s="11" t="s">
        <v>26</v>
      </c>
      <c r="C30" s="8" t="s">
        <v>45</v>
      </c>
      <c r="D30" s="9" t="s">
        <v>24</v>
      </c>
      <c r="E30" s="9"/>
      <c r="F30" s="15">
        <f>95.28/20</f>
        <v>4.7640000000000002</v>
      </c>
      <c r="G30" s="15">
        <f>95.13/20</f>
        <v>4.7565</v>
      </c>
      <c r="H30" s="15">
        <f>93.94/20</f>
        <v>4.6970000000000001</v>
      </c>
      <c r="I30" s="15">
        <f>92.18/20</f>
        <v>4.609</v>
      </c>
      <c r="J30" s="15">
        <f>90.82/20</f>
        <v>4.5409999999999995</v>
      </c>
      <c r="K30" s="15">
        <f>89.09/20</f>
        <v>4.4545000000000003</v>
      </c>
      <c r="L30" s="15">
        <f>86.26/20</f>
        <v>4.3130000000000006</v>
      </c>
      <c r="M30" s="15">
        <f>88.61/20</f>
        <v>4.4305000000000003</v>
      </c>
      <c r="N30" s="15">
        <f>94.75/20</f>
        <v>4.7374999999999998</v>
      </c>
      <c r="O30" s="15">
        <f>94.23/20</f>
        <v>4.7115</v>
      </c>
      <c r="P30" s="15">
        <f>91.23/20</f>
        <v>4.5615000000000006</v>
      </c>
      <c r="Q30" s="15">
        <f>89.81/20</f>
        <v>4.4904999999999999</v>
      </c>
      <c r="R30" s="20">
        <f t="shared" ref="R30:R37" si="2">AVERAGE(F30:Q30)</f>
        <v>4.5888750000000007</v>
      </c>
      <c r="S30" s="9">
        <v>4.5</v>
      </c>
      <c r="T30" s="9">
        <v>4.7</v>
      </c>
      <c r="U30" s="9" t="s">
        <v>58</v>
      </c>
      <c r="V30" s="15">
        <f>87.27/20</f>
        <v>4.3635000000000002</v>
      </c>
      <c r="W30" s="27">
        <f>90.59/20</f>
        <v>4.5295000000000005</v>
      </c>
      <c r="X30" s="74">
        <f>88.15/20</f>
        <v>4.4075000000000006</v>
      </c>
    </row>
    <row r="31" spans="1:24">
      <c r="A31" s="10"/>
      <c r="B31" s="11" t="s">
        <v>28</v>
      </c>
      <c r="C31" s="8" t="s">
        <v>46</v>
      </c>
      <c r="D31" s="9" t="s">
        <v>24</v>
      </c>
      <c r="E31" s="9"/>
      <c r="F31" s="15">
        <f>92.3/20</f>
        <v>4.6150000000000002</v>
      </c>
      <c r="G31" s="15">
        <f>92.53/20</f>
        <v>4.6265000000000001</v>
      </c>
      <c r="H31" s="15">
        <f>85.61/20</f>
        <v>4.2805</v>
      </c>
      <c r="I31" s="15">
        <f>91.48/20</f>
        <v>4.5739999999999998</v>
      </c>
      <c r="J31" s="15">
        <f>89.38/20</f>
        <v>4.4689999999999994</v>
      </c>
      <c r="K31" s="15">
        <f>91.56/20</f>
        <v>4.5780000000000003</v>
      </c>
      <c r="L31" s="15">
        <f>86.67/20</f>
        <v>4.3334999999999999</v>
      </c>
      <c r="M31" s="15">
        <f>90.75/20</f>
        <v>4.5374999999999996</v>
      </c>
      <c r="N31" s="15">
        <f>91.88/20</f>
        <v>4.5939999999999994</v>
      </c>
      <c r="O31" s="15">
        <f>92.71/20</f>
        <v>4.6354999999999995</v>
      </c>
      <c r="P31" s="15">
        <f>90.58/20</f>
        <v>4.5289999999999999</v>
      </c>
      <c r="Q31" s="15">
        <f>91.35/20</f>
        <v>4.5674999999999999</v>
      </c>
      <c r="R31" s="20">
        <f t="shared" si="2"/>
        <v>4.5283333333333333</v>
      </c>
      <c r="S31" s="9">
        <v>4.4000000000000004</v>
      </c>
      <c r="T31" s="9">
        <v>4.5</v>
      </c>
      <c r="U31" s="9">
        <v>4.5</v>
      </c>
      <c r="V31" s="15">
        <f>91.04/20</f>
        <v>4.5520000000000005</v>
      </c>
      <c r="W31" s="27">
        <f>90.87/20</f>
        <v>4.5434999999999999</v>
      </c>
      <c r="X31" s="74">
        <f>86.85/20</f>
        <v>4.3424999999999994</v>
      </c>
    </row>
    <row r="32" spans="1:24">
      <c r="A32" s="10"/>
      <c r="B32" s="11" t="s">
        <v>30</v>
      </c>
      <c r="C32" s="8" t="s">
        <v>47</v>
      </c>
      <c r="D32" s="9" t="s">
        <v>24</v>
      </c>
      <c r="E32" s="9"/>
      <c r="F32" s="15">
        <f>94.38/20</f>
        <v>4.7189999999999994</v>
      </c>
      <c r="G32" s="15">
        <f>95.13/20</f>
        <v>4.7565</v>
      </c>
      <c r="H32" s="15">
        <f>92.19/20</f>
        <v>4.6094999999999997</v>
      </c>
      <c r="I32" s="15">
        <f>94.27/20</f>
        <v>4.7134999999999998</v>
      </c>
      <c r="J32" s="15">
        <f>92.29/20</f>
        <v>4.6145000000000005</v>
      </c>
      <c r="K32" s="15">
        <f>89.9/20</f>
        <v>4.4950000000000001</v>
      </c>
      <c r="L32" s="15">
        <f>87.5/20</f>
        <v>4.375</v>
      </c>
      <c r="M32" s="15">
        <f>93.23/20</f>
        <v>4.6615000000000002</v>
      </c>
      <c r="N32" s="15">
        <f>94.28/20</f>
        <v>4.7140000000000004</v>
      </c>
      <c r="O32" s="15">
        <f>95.1/20</f>
        <v>4.7549999999999999</v>
      </c>
      <c r="P32" s="15">
        <f>93.51/20</f>
        <v>4.6755000000000004</v>
      </c>
      <c r="Q32" s="15">
        <f>92.13/20</f>
        <v>4.6064999999999996</v>
      </c>
      <c r="R32" s="20">
        <f t="shared" si="2"/>
        <v>4.6412916666666666</v>
      </c>
      <c r="S32" s="9">
        <v>4.5</v>
      </c>
      <c r="T32" s="9">
        <v>4.4000000000000004</v>
      </c>
      <c r="U32" s="9">
        <v>4.5999999999999996</v>
      </c>
      <c r="V32" s="15">
        <f>91.9/20</f>
        <v>4.5950000000000006</v>
      </c>
      <c r="W32" s="27">
        <f>92.52/20</f>
        <v>4.6259999999999994</v>
      </c>
      <c r="X32" s="74">
        <f>91.81/20</f>
        <v>4.5905000000000005</v>
      </c>
    </row>
    <row r="33" spans="1:24">
      <c r="A33" s="10"/>
      <c r="B33" s="9" t="s">
        <v>32</v>
      </c>
      <c r="C33" s="8" t="s">
        <v>49</v>
      </c>
      <c r="D33" s="9" t="s">
        <v>24</v>
      </c>
      <c r="E33" s="9"/>
      <c r="F33" s="15">
        <f>89.71/20</f>
        <v>4.4855</v>
      </c>
      <c r="G33" s="15">
        <f>93.24/20</f>
        <v>4.6619999999999999</v>
      </c>
      <c r="H33" s="15">
        <f>90.91/20</f>
        <v>4.5454999999999997</v>
      </c>
      <c r="I33" s="15">
        <f>85.74/20</f>
        <v>4.2869999999999999</v>
      </c>
      <c r="J33" s="15">
        <f>83.16/20</f>
        <v>4.1579999999999995</v>
      </c>
      <c r="K33" s="15">
        <f>85.45/20</f>
        <v>4.2725</v>
      </c>
      <c r="L33" s="15">
        <f>84.59/20</f>
        <v>4.2294999999999998</v>
      </c>
      <c r="M33" s="15">
        <f>88.13/20</f>
        <v>4.4064999999999994</v>
      </c>
      <c r="N33" s="15">
        <f>88.87/20</f>
        <v>4.4435000000000002</v>
      </c>
      <c r="O33" s="15">
        <f>91.84/20</f>
        <v>4.5920000000000005</v>
      </c>
      <c r="P33" s="15">
        <f>89.86/20</f>
        <v>4.4930000000000003</v>
      </c>
      <c r="Q33" s="15">
        <f>82.87/20</f>
        <v>4.1435000000000004</v>
      </c>
      <c r="R33" s="20">
        <f t="shared" si="2"/>
        <v>4.3932083333333338</v>
      </c>
      <c r="S33" s="9">
        <v>4.0999999999999996</v>
      </c>
      <c r="T33" s="9">
        <v>4.4000000000000004</v>
      </c>
      <c r="U33" s="9">
        <v>4.4000000000000004</v>
      </c>
      <c r="V33" s="15">
        <f>85.82/20</f>
        <v>4.2909999999999995</v>
      </c>
      <c r="W33" s="27">
        <f>88/20</f>
        <v>4.4000000000000004</v>
      </c>
      <c r="X33" s="74">
        <f>87.83/20</f>
        <v>4.3914999999999997</v>
      </c>
    </row>
    <row r="34" spans="1:24">
      <c r="A34" s="10"/>
      <c r="B34" s="9" t="s">
        <v>34</v>
      </c>
      <c r="C34" s="8" t="s">
        <v>51</v>
      </c>
      <c r="D34" s="9" t="s">
        <v>24</v>
      </c>
      <c r="E34" s="9"/>
      <c r="F34" s="15">
        <f>94.17/20</f>
        <v>4.7084999999999999</v>
      </c>
      <c r="G34" s="15">
        <f>92.43/20</f>
        <v>4.6215000000000002</v>
      </c>
      <c r="H34" s="15">
        <f>93.75/20</f>
        <v>4.6875</v>
      </c>
      <c r="I34" s="15">
        <f>94.42/20</f>
        <v>4.7210000000000001</v>
      </c>
      <c r="J34" s="15">
        <f>91.95/20</f>
        <v>4.5975000000000001</v>
      </c>
      <c r="K34" s="15">
        <f>91.55/20</f>
        <v>4.5774999999999997</v>
      </c>
      <c r="L34" s="15">
        <f>90.65/20</f>
        <v>4.5325000000000006</v>
      </c>
      <c r="M34" s="15">
        <f>91.21/20</f>
        <v>4.5604999999999993</v>
      </c>
      <c r="N34" s="15">
        <f>96.34/20</f>
        <v>4.8170000000000002</v>
      </c>
      <c r="O34" s="15">
        <f>94.44/20</f>
        <v>4.7219999999999995</v>
      </c>
      <c r="P34" s="15">
        <f>95.45/20</f>
        <v>4.7725</v>
      </c>
      <c r="Q34" s="15">
        <f>91.36/20</f>
        <v>4.5679999999999996</v>
      </c>
      <c r="R34" s="20">
        <f t="shared" si="2"/>
        <v>4.6571666666666669</v>
      </c>
      <c r="S34" s="9">
        <v>4.5</v>
      </c>
      <c r="T34" s="9">
        <v>4.7</v>
      </c>
      <c r="U34" s="9">
        <v>4.7</v>
      </c>
      <c r="V34" s="15">
        <f>94.39/20</f>
        <v>4.7195</v>
      </c>
      <c r="W34" s="27">
        <f>93.86/20</f>
        <v>4.6929999999999996</v>
      </c>
      <c r="X34" s="74">
        <f>94.47/20</f>
        <v>4.7234999999999996</v>
      </c>
    </row>
    <row r="35" spans="1:24">
      <c r="A35" s="10"/>
      <c r="B35" s="9" t="s">
        <v>36</v>
      </c>
      <c r="C35" s="8" t="s">
        <v>52</v>
      </c>
      <c r="D35" s="9" t="s">
        <v>24</v>
      </c>
      <c r="E35" s="9"/>
      <c r="F35" s="15">
        <f>94.44/20</f>
        <v>4.7219999999999995</v>
      </c>
      <c r="G35" s="15">
        <f>96.38/20</f>
        <v>4.819</v>
      </c>
      <c r="H35" s="15">
        <f>91.41/20</f>
        <v>4.5705</v>
      </c>
      <c r="I35" s="15">
        <f>93.4/20</f>
        <v>4.67</v>
      </c>
      <c r="J35" s="15">
        <f>91.84/20</f>
        <v>4.5920000000000005</v>
      </c>
      <c r="K35" s="15">
        <f>94.13/20</f>
        <v>4.7065000000000001</v>
      </c>
      <c r="L35" s="15">
        <f>92.4/20</f>
        <v>4.62</v>
      </c>
      <c r="M35" s="15">
        <f>95.31/20</f>
        <v>4.7655000000000003</v>
      </c>
      <c r="N35" s="15">
        <f>95.17/20</f>
        <v>4.7584999999999997</v>
      </c>
      <c r="O35" s="15">
        <f>96.72/20</f>
        <v>4.8360000000000003</v>
      </c>
      <c r="P35" s="15">
        <f>95.07/20</f>
        <v>4.7534999999999998</v>
      </c>
      <c r="Q35" s="15">
        <f>93.18/20</f>
        <v>4.6590000000000007</v>
      </c>
      <c r="R35" s="20">
        <f t="shared" si="2"/>
        <v>4.7060416666666667</v>
      </c>
      <c r="S35" s="9">
        <v>4.7</v>
      </c>
      <c r="T35" s="9">
        <v>4.8</v>
      </c>
      <c r="U35" s="9">
        <v>4.7</v>
      </c>
      <c r="V35" s="15">
        <f>95.37/20</f>
        <v>4.7685000000000004</v>
      </c>
      <c r="W35" s="27">
        <f>95.25/20</f>
        <v>4.7625000000000002</v>
      </c>
      <c r="X35" s="74">
        <f>94.4/20</f>
        <v>4.7200000000000006</v>
      </c>
    </row>
    <row r="36" spans="1:24">
      <c r="A36" s="10"/>
      <c r="B36" s="9" t="s">
        <v>53</v>
      </c>
      <c r="C36" s="8" t="s">
        <v>54</v>
      </c>
      <c r="D36" s="9" t="s">
        <v>24</v>
      </c>
      <c r="E36" s="9"/>
      <c r="F36" s="15">
        <f>95.43/20</f>
        <v>4.7715000000000005</v>
      </c>
      <c r="G36" s="15">
        <f>94.93/20</f>
        <v>4.7465000000000002</v>
      </c>
      <c r="H36" s="15">
        <f>85.48/20</f>
        <v>4.274</v>
      </c>
      <c r="I36" s="15">
        <f>90.16/20</f>
        <v>4.508</v>
      </c>
      <c r="J36" s="15">
        <f>88.22/20</f>
        <v>4.4109999999999996</v>
      </c>
      <c r="K36" s="15">
        <f>86.88/20</f>
        <v>4.3439999999999994</v>
      </c>
      <c r="L36" s="15">
        <f>87.41/20</f>
        <v>4.3704999999999998</v>
      </c>
      <c r="M36" s="15">
        <f>88.78/20</f>
        <v>4.4390000000000001</v>
      </c>
      <c r="N36" s="15">
        <f>90.79/20</f>
        <v>4.5395000000000003</v>
      </c>
      <c r="O36" s="15">
        <f>92.08/20</f>
        <v>4.6040000000000001</v>
      </c>
      <c r="P36" s="15">
        <f>89.9/20</f>
        <v>4.4950000000000001</v>
      </c>
      <c r="Q36" s="15">
        <f>90.22/20</f>
        <v>4.5110000000000001</v>
      </c>
      <c r="R36" s="20">
        <f t="shared" si="2"/>
        <v>4.5011666666666663</v>
      </c>
      <c r="S36" s="9">
        <v>4.3</v>
      </c>
      <c r="T36" s="9">
        <v>4.5</v>
      </c>
      <c r="U36" s="9">
        <v>4.5999999999999996</v>
      </c>
      <c r="V36" s="15">
        <f>92.86/20</f>
        <v>4.6429999999999998</v>
      </c>
      <c r="W36" s="27">
        <f>92.63/20</f>
        <v>4.6315</v>
      </c>
      <c r="X36" s="74">
        <f>93.01/20</f>
        <v>4.6505000000000001</v>
      </c>
    </row>
    <row r="37" spans="1:24">
      <c r="A37" s="12"/>
      <c r="B37" s="9" t="s">
        <v>55</v>
      </c>
      <c r="C37" s="8" t="s">
        <v>56</v>
      </c>
      <c r="D37" s="9" t="s">
        <v>24</v>
      </c>
      <c r="E37" s="9">
        <v>4.5</v>
      </c>
      <c r="F37" s="15">
        <f>92.35/20</f>
        <v>4.6174999999999997</v>
      </c>
      <c r="G37" s="15">
        <f>93.58/20</f>
        <v>4.6790000000000003</v>
      </c>
      <c r="H37" s="15">
        <f>91.07/20</f>
        <v>4.5534999999999997</v>
      </c>
      <c r="I37" s="15">
        <f>91.54/20</f>
        <v>4.577</v>
      </c>
      <c r="J37" s="15">
        <f>88.74/20</f>
        <v>4.4369999999999994</v>
      </c>
      <c r="K37" s="15">
        <f>88.09/20</f>
        <v>4.4045000000000005</v>
      </c>
      <c r="L37" s="15">
        <f>85.77/20</f>
        <v>4.2885</v>
      </c>
      <c r="M37" s="15">
        <f>90.98/20</f>
        <v>4.5490000000000004</v>
      </c>
      <c r="N37" s="15">
        <f>91.23/20</f>
        <v>4.5615000000000006</v>
      </c>
      <c r="O37" s="15">
        <f>90.19/20</f>
        <v>4.5095000000000001</v>
      </c>
      <c r="P37" s="15">
        <f>89.44/20</f>
        <v>4.4719999999999995</v>
      </c>
      <c r="Q37" s="15">
        <f>85.42/20</f>
        <v>4.2709999999999999</v>
      </c>
      <c r="R37" s="20">
        <f t="shared" si="2"/>
        <v>4.4933333333333332</v>
      </c>
      <c r="S37" s="9">
        <v>4.4000000000000004</v>
      </c>
      <c r="T37" s="9">
        <v>4.5</v>
      </c>
      <c r="U37" s="9">
        <v>4.5</v>
      </c>
      <c r="V37" s="15">
        <f>89.06/20</f>
        <v>4.4530000000000003</v>
      </c>
      <c r="W37" s="27">
        <f>90.45/20</f>
        <v>4.5225</v>
      </c>
      <c r="X37" s="74">
        <f>84.43/20</f>
        <v>4.2215000000000007</v>
      </c>
    </row>
    <row r="38" spans="1:24">
      <c r="A38" s="9"/>
      <c r="B38" s="7" t="s">
        <v>59</v>
      </c>
      <c r="C38" s="8"/>
      <c r="D38" s="8"/>
      <c r="E38" s="8"/>
      <c r="F38" s="9"/>
      <c r="G38" s="9"/>
      <c r="H38" s="9"/>
      <c r="I38" s="9"/>
      <c r="J38" s="9"/>
      <c r="K38" s="9"/>
      <c r="L38" s="9"/>
      <c r="M38" s="9"/>
      <c r="N38" s="9"/>
      <c r="O38" s="9"/>
      <c r="P38" s="9"/>
      <c r="Q38" s="9"/>
      <c r="R38" s="4"/>
      <c r="S38" s="9"/>
      <c r="T38" s="9"/>
      <c r="U38" s="9"/>
      <c r="V38" s="9"/>
      <c r="W38" s="26"/>
      <c r="X38" s="75"/>
    </row>
    <row r="39" spans="1:24">
      <c r="A39" s="6">
        <v>4</v>
      </c>
      <c r="B39" s="7" t="s">
        <v>60</v>
      </c>
      <c r="C39" s="8"/>
      <c r="D39" s="9"/>
      <c r="E39" s="8"/>
      <c r="F39" s="9"/>
      <c r="G39" s="9"/>
      <c r="H39" s="9"/>
      <c r="I39" s="9"/>
      <c r="J39" s="9"/>
      <c r="K39" s="9"/>
      <c r="L39" s="9"/>
      <c r="M39" s="9"/>
      <c r="N39" s="9"/>
      <c r="O39" s="9"/>
      <c r="P39" s="9"/>
      <c r="Q39" s="9"/>
      <c r="R39" s="4"/>
      <c r="S39" s="9"/>
      <c r="T39" s="9"/>
      <c r="U39" s="9"/>
      <c r="V39" s="9"/>
      <c r="W39" s="26"/>
      <c r="X39" s="75"/>
    </row>
    <row r="40" spans="1:24">
      <c r="A40" s="13"/>
      <c r="B40" s="11" t="s">
        <v>22</v>
      </c>
      <c r="C40" s="8" t="s">
        <v>61</v>
      </c>
      <c r="D40" s="9" t="s">
        <v>24</v>
      </c>
      <c r="E40" s="9" t="s">
        <v>50</v>
      </c>
      <c r="F40" s="9" t="s">
        <v>25</v>
      </c>
      <c r="G40" s="9" t="s">
        <v>25</v>
      </c>
      <c r="H40" s="9" t="s">
        <v>25</v>
      </c>
      <c r="I40" s="9" t="s">
        <v>25</v>
      </c>
      <c r="J40" s="9" t="s">
        <v>25</v>
      </c>
      <c r="K40" s="9" t="s">
        <v>25</v>
      </c>
      <c r="L40" s="9" t="s">
        <v>25</v>
      </c>
      <c r="M40" s="9" t="s">
        <v>25</v>
      </c>
      <c r="N40" s="9">
        <v>4.63</v>
      </c>
      <c r="O40" s="9">
        <v>4.5599999999999996</v>
      </c>
      <c r="P40" s="9">
        <v>4.58</v>
      </c>
      <c r="Q40" s="9">
        <v>4.55</v>
      </c>
      <c r="R40" s="20">
        <f>AVERAGE(N40:Q40)</f>
        <v>4.58</v>
      </c>
      <c r="S40" s="9">
        <v>4.59</v>
      </c>
      <c r="T40" s="9">
        <v>4.6399999999999997</v>
      </c>
      <c r="U40" s="9">
        <v>4.6399999999999997</v>
      </c>
      <c r="V40" s="9">
        <v>4.7</v>
      </c>
      <c r="W40" s="26">
        <v>4.6500000000000004</v>
      </c>
      <c r="X40" s="75">
        <v>4.68</v>
      </c>
    </row>
    <row r="41" spans="1:24">
      <c r="A41" s="13"/>
      <c r="B41" s="11" t="s">
        <v>26</v>
      </c>
      <c r="C41" s="8" t="s">
        <v>62</v>
      </c>
      <c r="D41" s="9" t="s">
        <v>24</v>
      </c>
      <c r="E41" s="9" t="s">
        <v>50</v>
      </c>
      <c r="F41" s="9" t="s">
        <v>25</v>
      </c>
      <c r="G41" s="9" t="s">
        <v>25</v>
      </c>
      <c r="H41" s="9" t="s">
        <v>25</v>
      </c>
      <c r="I41" s="9" t="s">
        <v>25</v>
      </c>
      <c r="J41" s="9" t="s">
        <v>25</v>
      </c>
      <c r="K41" s="9" t="s">
        <v>25</v>
      </c>
      <c r="L41" s="9" t="s">
        <v>25</v>
      </c>
      <c r="M41" s="9" t="s">
        <v>25</v>
      </c>
      <c r="N41" s="9">
        <v>4.8099999999999996</v>
      </c>
      <c r="O41" s="9">
        <v>4.71</v>
      </c>
      <c r="P41" s="9">
        <v>4.7300000000000004</v>
      </c>
      <c r="Q41" s="9">
        <v>4.6900000000000004</v>
      </c>
      <c r="R41" s="20">
        <f>AVERAGE(N41:Q41)</f>
        <v>4.7350000000000003</v>
      </c>
      <c r="S41" s="9">
        <v>4.79</v>
      </c>
      <c r="T41" s="9">
        <v>4.79</v>
      </c>
      <c r="U41" s="9">
        <v>4.78</v>
      </c>
      <c r="V41" s="9">
        <v>4.79</v>
      </c>
      <c r="W41" s="26">
        <v>4.79</v>
      </c>
      <c r="X41" s="75">
        <v>4.79</v>
      </c>
    </row>
    <row r="42" spans="1:24">
      <c r="A42" s="13"/>
      <c r="B42" s="11" t="s">
        <v>28</v>
      </c>
      <c r="C42" s="8" t="s">
        <v>63</v>
      </c>
      <c r="D42" s="9" t="s">
        <v>24</v>
      </c>
      <c r="E42" s="9" t="s">
        <v>50</v>
      </c>
      <c r="F42" s="9" t="s">
        <v>25</v>
      </c>
      <c r="G42" s="9" t="s">
        <v>25</v>
      </c>
      <c r="H42" s="9" t="s">
        <v>25</v>
      </c>
      <c r="I42" s="9" t="s">
        <v>25</v>
      </c>
      <c r="J42" s="9" t="s">
        <v>25</v>
      </c>
      <c r="K42" s="9" t="s">
        <v>25</v>
      </c>
      <c r="L42" s="9" t="s">
        <v>25</v>
      </c>
      <c r="M42" s="9" t="s">
        <v>25</v>
      </c>
      <c r="N42" s="9">
        <v>4.68</v>
      </c>
      <c r="O42" s="9">
        <v>4.62</v>
      </c>
      <c r="P42" s="9">
        <v>4.6100000000000003</v>
      </c>
      <c r="Q42" s="9">
        <v>4.53</v>
      </c>
      <c r="R42" s="20">
        <f>AVERAGE(N42:Q42)</f>
        <v>4.6100000000000003</v>
      </c>
      <c r="S42" s="9">
        <v>4.59</v>
      </c>
      <c r="T42" s="9">
        <v>4.68</v>
      </c>
      <c r="U42" s="9">
        <v>4.67</v>
      </c>
      <c r="V42" s="9">
        <v>4.7</v>
      </c>
      <c r="W42" s="26">
        <v>4.67</v>
      </c>
      <c r="X42" s="75">
        <v>4.7</v>
      </c>
    </row>
    <row r="43" spans="1:24">
      <c r="A43" s="10"/>
      <c r="B43" s="11" t="s">
        <v>30</v>
      </c>
      <c r="C43" s="8" t="s">
        <v>64</v>
      </c>
      <c r="D43" s="9" t="s">
        <v>24</v>
      </c>
      <c r="E43" s="9" t="s">
        <v>50</v>
      </c>
      <c r="F43" s="9" t="s">
        <v>25</v>
      </c>
      <c r="G43" s="9" t="s">
        <v>25</v>
      </c>
      <c r="H43" s="9" t="s">
        <v>25</v>
      </c>
      <c r="I43" s="9" t="s">
        <v>25</v>
      </c>
      <c r="J43" s="9" t="s">
        <v>25</v>
      </c>
      <c r="K43" s="9" t="s">
        <v>25</v>
      </c>
      <c r="L43" s="9" t="s">
        <v>25</v>
      </c>
      <c r="M43" s="9" t="s">
        <v>25</v>
      </c>
      <c r="N43" s="9">
        <v>4.54</v>
      </c>
      <c r="O43" s="9">
        <v>4.53</v>
      </c>
      <c r="P43" s="9">
        <v>4.4800000000000004</v>
      </c>
      <c r="Q43" s="9">
        <v>4.4400000000000004</v>
      </c>
      <c r="R43" s="20">
        <f>AVERAGE(N43:Q43)</f>
        <v>4.4975000000000005</v>
      </c>
      <c r="S43" s="9">
        <v>4.57</v>
      </c>
      <c r="T43" s="9">
        <v>4.5599999999999996</v>
      </c>
      <c r="U43" s="9">
        <v>4.5599999999999996</v>
      </c>
      <c r="V43" s="9">
        <v>4.62</v>
      </c>
      <c r="W43" s="26">
        <v>4.57</v>
      </c>
      <c r="X43" s="75">
        <v>4.62</v>
      </c>
    </row>
    <row r="44" spans="1:24" s="38" customFormat="1">
      <c r="A44" s="32">
        <v>5</v>
      </c>
      <c r="B44" s="33" t="s">
        <v>65</v>
      </c>
      <c r="C44" s="34"/>
      <c r="D44" s="35"/>
      <c r="E44" s="35"/>
      <c r="F44" s="35"/>
      <c r="G44" s="35"/>
      <c r="H44" s="35"/>
      <c r="I44" s="35"/>
      <c r="J44" s="35"/>
      <c r="K44" s="35"/>
      <c r="L44" s="35"/>
      <c r="M44" s="35"/>
      <c r="N44" s="35"/>
      <c r="O44" s="35"/>
      <c r="P44" s="35"/>
      <c r="Q44" s="35"/>
      <c r="R44" s="36"/>
      <c r="S44" s="35"/>
      <c r="T44" s="35"/>
      <c r="U44" s="35"/>
      <c r="V44" s="35"/>
      <c r="W44" s="37"/>
      <c r="X44" s="44"/>
    </row>
    <row r="45" spans="1:24" s="38" customFormat="1">
      <c r="A45" s="39"/>
      <c r="B45" s="40" t="s">
        <v>22</v>
      </c>
      <c r="C45" s="34" t="s">
        <v>66</v>
      </c>
      <c r="D45" s="35" t="s">
        <v>67</v>
      </c>
      <c r="E45" s="35"/>
      <c r="F45" s="35"/>
      <c r="G45" s="35"/>
      <c r="H45" s="35"/>
      <c r="I45" s="35"/>
      <c r="J45" s="35"/>
      <c r="K45" s="35"/>
      <c r="L45" s="35"/>
      <c r="M45" s="35"/>
      <c r="N45" s="35"/>
      <c r="O45" s="35"/>
      <c r="P45" s="35"/>
      <c r="Q45" s="35"/>
      <c r="R45" s="36"/>
      <c r="S45" s="35"/>
      <c r="T45" s="35"/>
      <c r="U45" s="35"/>
      <c r="V45" s="35"/>
      <c r="W45" s="37"/>
      <c r="X45" s="44"/>
    </row>
    <row r="46" spans="1:24" s="38" customFormat="1">
      <c r="A46" s="39"/>
      <c r="B46" s="40" t="s">
        <v>26</v>
      </c>
      <c r="C46" s="34" t="s">
        <v>68</v>
      </c>
      <c r="D46" s="35" t="s">
        <v>69</v>
      </c>
      <c r="E46" s="35"/>
      <c r="F46" s="35"/>
      <c r="G46" s="35"/>
      <c r="H46" s="35"/>
      <c r="I46" s="35"/>
      <c r="J46" s="35"/>
      <c r="K46" s="35"/>
      <c r="L46" s="35"/>
      <c r="M46" s="35"/>
      <c r="N46" s="35"/>
      <c r="O46" s="35"/>
      <c r="P46" s="35"/>
      <c r="Q46" s="35"/>
      <c r="R46" s="36"/>
      <c r="S46" s="35"/>
      <c r="T46" s="35"/>
      <c r="U46" s="35"/>
      <c r="V46" s="35"/>
      <c r="W46" s="37"/>
      <c r="X46" s="44"/>
    </row>
    <row r="47" spans="1:24" s="38" customFormat="1">
      <c r="A47" s="41"/>
      <c r="B47" s="40" t="s">
        <v>28</v>
      </c>
      <c r="C47" s="34" t="s">
        <v>70</v>
      </c>
      <c r="D47" s="35" t="s">
        <v>69</v>
      </c>
      <c r="E47" s="35"/>
      <c r="F47" s="35"/>
      <c r="G47" s="35"/>
      <c r="H47" s="35"/>
      <c r="I47" s="35"/>
      <c r="J47" s="35"/>
      <c r="K47" s="35"/>
      <c r="L47" s="35"/>
      <c r="M47" s="35"/>
      <c r="N47" s="35"/>
      <c r="O47" s="35"/>
      <c r="P47" s="35"/>
      <c r="Q47" s="35"/>
      <c r="R47" s="36"/>
      <c r="S47" s="35"/>
      <c r="T47" s="35"/>
      <c r="U47" s="35"/>
      <c r="V47" s="35"/>
      <c r="W47" s="37"/>
      <c r="X47" s="44"/>
    </row>
    <row r="48" spans="1:24">
      <c r="A48" s="6">
        <v>6</v>
      </c>
      <c r="B48" s="7" t="s">
        <v>71</v>
      </c>
      <c r="C48" s="8"/>
      <c r="D48" s="8"/>
      <c r="E48" s="8"/>
      <c r="F48" s="9"/>
      <c r="G48" s="9"/>
      <c r="H48" s="9"/>
      <c r="I48" s="9"/>
      <c r="J48" s="9"/>
      <c r="K48" s="9"/>
      <c r="L48" s="9"/>
      <c r="M48" s="9"/>
      <c r="N48" s="9"/>
      <c r="O48" s="9"/>
      <c r="P48" s="9"/>
      <c r="Q48" s="9"/>
      <c r="R48" s="4"/>
      <c r="S48" s="9"/>
      <c r="T48" s="9"/>
      <c r="U48" s="9"/>
      <c r="V48" s="9"/>
      <c r="W48" s="26"/>
      <c r="X48" s="44"/>
    </row>
    <row r="49" spans="1:24">
      <c r="A49" s="10"/>
      <c r="B49" s="11" t="s">
        <v>22</v>
      </c>
      <c r="C49" s="8" t="s">
        <v>72</v>
      </c>
      <c r="D49" s="9" t="s">
        <v>67</v>
      </c>
      <c r="E49" s="9"/>
      <c r="F49" s="9">
        <v>2100</v>
      </c>
      <c r="G49" s="9">
        <v>418</v>
      </c>
      <c r="H49" s="9">
        <v>491</v>
      </c>
      <c r="I49" s="9">
        <v>1500</v>
      </c>
      <c r="J49" s="9">
        <v>1000</v>
      </c>
      <c r="K49" s="9">
        <v>1600</v>
      </c>
      <c r="L49" s="9">
        <v>393</v>
      </c>
      <c r="M49" s="9">
        <v>1300</v>
      </c>
      <c r="N49" s="9">
        <v>390</v>
      </c>
      <c r="O49" s="9">
        <v>519</v>
      </c>
      <c r="P49" s="9">
        <v>838</v>
      </c>
      <c r="Q49" s="9">
        <v>568</v>
      </c>
      <c r="R49" s="4">
        <f>AVERAGE(F49:Q49)</f>
        <v>926.41666666666663</v>
      </c>
      <c r="S49" s="9">
        <v>968</v>
      </c>
      <c r="T49" s="9">
        <v>676</v>
      </c>
      <c r="U49" s="9">
        <v>448</v>
      </c>
      <c r="V49" s="9">
        <v>699</v>
      </c>
      <c r="W49" s="26">
        <v>1900</v>
      </c>
      <c r="X49" s="75">
        <v>2600</v>
      </c>
    </row>
    <row r="50" spans="1:24">
      <c r="A50" s="10"/>
      <c r="B50" s="11" t="s">
        <v>26</v>
      </c>
      <c r="C50" s="8" t="s">
        <v>73</v>
      </c>
      <c r="D50" s="9" t="s">
        <v>69</v>
      </c>
      <c r="E50" s="9"/>
      <c r="F50" s="16">
        <v>0.2069</v>
      </c>
      <c r="G50" s="16">
        <v>-0.2</v>
      </c>
      <c r="H50" s="16">
        <v>0.76400000000000001</v>
      </c>
      <c r="I50" s="16">
        <v>0.35289999999999999</v>
      </c>
      <c r="J50" s="16">
        <v>0.1724</v>
      </c>
      <c r="K50" s="16">
        <v>0.20749999999999999</v>
      </c>
      <c r="L50" s="16">
        <v>5.8799999999999998E-2</v>
      </c>
      <c r="M50" s="16">
        <v>0.38890000000000002</v>
      </c>
      <c r="N50" s="16">
        <v>0.21879999999999999</v>
      </c>
      <c r="O50" s="16">
        <v>0.37209999999999999</v>
      </c>
      <c r="P50" s="16">
        <v>0.38100000000000001</v>
      </c>
      <c r="Q50" s="16">
        <v>9.3799999999999994E-2</v>
      </c>
      <c r="R50" s="4">
        <f t="shared" ref="R50:R52" si="3">AVERAGE(F50:Q50)</f>
        <v>0.25142500000000001</v>
      </c>
      <c r="S50" s="9" t="s">
        <v>74</v>
      </c>
      <c r="T50" s="9" t="s">
        <v>75</v>
      </c>
      <c r="U50" s="9" t="s">
        <v>76</v>
      </c>
      <c r="V50" s="16" t="s">
        <v>77</v>
      </c>
      <c r="W50" s="28" t="s">
        <v>78</v>
      </c>
      <c r="X50" s="76" t="s">
        <v>79</v>
      </c>
    </row>
    <row r="51" spans="1:24">
      <c r="A51" s="10"/>
      <c r="B51" s="11" t="s">
        <v>28</v>
      </c>
      <c r="C51" s="8" t="s">
        <v>80</v>
      </c>
      <c r="D51" s="9" t="s">
        <v>81</v>
      </c>
      <c r="E51" s="9"/>
      <c r="F51" s="9" t="s">
        <v>25</v>
      </c>
      <c r="G51" s="9" t="s">
        <v>25</v>
      </c>
      <c r="H51" s="9">
        <v>9</v>
      </c>
      <c r="I51" s="9">
        <v>33</v>
      </c>
      <c r="J51" s="9" t="s">
        <v>25</v>
      </c>
      <c r="K51" s="9" t="s">
        <v>25</v>
      </c>
      <c r="L51" s="9" t="s">
        <v>25</v>
      </c>
      <c r="M51" s="9">
        <v>61</v>
      </c>
      <c r="N51" s="9">
        <v>48</v>
      </c>
      <c r="O51" s="9">
        <v>42</v>
      </c>
      <c r="P51" s="9">
        <v>52</v>
      </c>
      <c r="Q51" s="9" t="s">
        <v>25</v>
      </c>
      <c r="R51" s="4">
        <f t="shared" si="3"/>
        <v>40.833333333333336</v>
      </c>
      <c r="S51" s="9">
        <v>37</v>
      </c>
      <c r="T51" s="9" t="s">
        <v>25</v>
      </c>
      <c r="U51" s="9" t="s">
        <v>25</v>
      </c>
      <c r="V51" s="9" t="s">
        <v>25</v>
      </c>
      <c r="W51" s="26">
        <v>57</v>
      </c>
      <c r="X51" s="75" t="s">
        <v>25</v>
      </c>
    </row>
    <row r="52" spans="1:24">
      <c r="A52" s="12"/>
      <c r="B52" s="11" t="s">
        <v>30</v>
      </c>
      <c r="C52" s="8" t="s">
        <v>82</v>
      </c>
      <c r="D52" s="9" t="s">
        <v>83</v>
      </c>
      <c r="E52" s="9"/>
      <c r="F52" s="9" t="s">
        <v>25</v>
      </c>
      <c r="G52" s="9" t="s">
        <v>25</v>
      </c>
      <c r="H52" s="9">
        <v>0.09</v>
      </c>
      <c r="I52" s="9">
        <v>0.33</v>
      </c>
      <c r="J52" s="9">
        <v>0.2</v>
      </c>
      <c r="K52" s="9" t="s">
        <v>25</v>
      </c>
      <c r="L52" s="9" t="s">
        <v>25</v>
      </c>
      <c r="M52" s="9">
        <v>0.14000000000000001</v>
      </c>
      <c r="N52" s="9">
        <v>0.28999999999999998</v>
      </c>
      <c r="O52" s="9">
        <v>0.38</v>
      </c>
      <c r="P52" s="9">
        <v>0.25</v>
      </c>
      <c r="Q52" s="9" t="s">
        <v>25</v>
      </c>
      <c r="R52" s="4">
        <f t="shared" si="3"/>
        <v>0.24000000000000002</v>
      </c>
      <c r="S52" s="9" t="s">
        <v>84</v>
      </c>
      <c r="T52" s="9" t="s">
        <v>25</v>
      </c>
      <c r="U52" s="9" t="s">
        <v>25</v>
      </c>
      <c r="V52" s="9" t="s">
        <v>25</v>
      </c>
      <c r="W52" s="26" t="s">
        <v>85</v>
      </c>
      <c r="X52" s="75" t="s">
        <v>25</v>
      </c>
    </row>
    <row r="53" spans="1:24">
      <c r="A53" s="6">
        <v>7</v>
      </c>
      <c r="B53" s="7" t="s">
        <v>86</v>
      </c>
      <c r="C53" s="8"/>
      <c r="D53" s="8"/>
      <c r="E53" s="8"/>
      <c r="F53" s="9"/>
      <c r="G53" s="9"/>
      <c r="H53" s="9"/>
      <c r="I53" s="9"/>
      <c r="J53" s="9"/>
      <c r="K53" s="9"/>
      <c r="L53" s="9"/>
      <c r="M53" s="9"/>
      <c r="N53" s="9"/>
      <c r="O53" s="9"/>
      <c r="P53" s="9"/>
      <c r="Q53" s="9"/>
      <c r="R53" s="4"/>
      <c r="S53" s="9"/>
      <c r="T53" s="9"/>
      <c r="U53" s="9"/>
      <c r="V53" s="9"/>
      <c r="W53" s="26"/>
      <c r="X53" s="44"/>
    </row>
    <row r="54" spans="1:24">
      <c r="A54" s="10"/>
      <c r="B54" s="11" t="s">
        <v>22</v>
      </c>
      <c r="C54" s="8" t="s">
        <v>87</v>
      </c>
      <c r="D54" s="9" t="s">
        <v>67</v>
      </c>
      <c r="E54" s="9"/>
      <c r="F54" s="9">
        <v>686</v>
      </c>
      <c r="G54" s="9">
        <v>497</v>
      </c>
      <c r="H54" s="9">
        <v>535</v>
      </c>
      <c r="I54" s="9">
        <v>1085</v>
      </c>
      <c r="J54" s="9">
        <v>837</v>
      </c>
      <c r="K54" s="9">
        <v>1318</v>
      </c>
      <c r="L54" s="9">
        <v>1242</v>
      </c>
      <c r="M54" s="9">
        <v>1144</v>
      </c>
      <c r="N54" s="9">
        <v>965</v>
      </c>
      <c r="O54" s="9">
        <v>1007</v>
      </c>
      <c r="P54" s="9">
        <v>726</v>
      </c>
      <c r="Q54" s="9">
        <v>802</v>
      </c>
      <c r="R54" s="4">
        <f>SUM(F54:Q54)</f>
        <v>10844</v>
      </c>
      <c r="S54" s="9">
        <v>361</v>
      </c>
      <c r="T54" s="9">
        <v>288</v>
      </c>
      <c r="U54" s="9">
        <v>394</v>
      </c>
      <c r="V54" s="9">
        <v>288</v>
      </c>
      <c r="W54" s="26">
        <v>274</v>
      </c>
      <c r="X54" s="75">
        <v>403</v>
      </c>
    </row>
    <row r="55" spans="1:24">
      <c r="A55" s="10"/>
      <c r="B55" s="11" t="s">
        <v>26</v>
      </c>
      <c r="C55" s="8" t="s">
        <v>88</v>
      </c>
      <c r="D55" s="9" t="s">
        <v>67</v>
      </c>
      <c r="E55" s="9"/>
      <c r="F55" s="9">
        <v>686</v>
      </c>
      <c r="G55" s="9">
        <v>497</v>
      </c>
      <c r="H55" s="9">
        <v>535</v>
      </c>
      <c r="I55" s="9">
        <v>1085</v>
      </c>
      <c r="J55" s="9">
        <v>837</v>
      </c>
      <c r="K55" s="9">
        <v>1318</v>
      </c>
      <c r="L55" s="9">
        <v>1242</v>
      </c>
      <c r="M55" s="9">
        <v>1144</v>
      </c>
      <c r="N55" s="9">
        <v>965</v>
      </c>
      <c r="O55" s="9">
        <v>1007</v>
      </c>
      <c r="P55" s="9">
        <v>726</v>
      </c>
      <c r="Q55" s="9">
        <v>802</v>
      </c>
      <c r="R55" s="4">
        <f>SUM(F55:Q55)</f>
        <v>10844</v>
      </c>
      <c r="S55" s="9">
        <v>361</v>
      </c>
      <c r="T55" s="9">
        <v>288</v>
      </c>
      <c r="U55" s="9">
        <v>394</v>
      </c>
      <c r="V55" s="9">
        <v>288</v>
      </c>
      <c r="W55" s="26">
        <v>274</v>
      </c>
      <c r="X55" s="75">
        <v>403</v>
      </c>
    </row>
    <row r="56" spans="1:24">
      <c r="A56" s="10"/>
      <c r="B56" s="11" t="s">
        <v>28</v>
      </c>
      <c r="C56" s="8" t="s">
        <v>89</v>
      </c>
      <c r="D56" s="9" t="s">
        <v>67</v>
      </c>
      <c r="E56" s="9"/>
      <c r="F56" s="9">
        <v>0</v>
      </c>
      <c r="G56" s="9">
        <v>0</v>
      </c>
      <c r="H56" s="9">
        <v>0</v>
      </c>
      <c r="I56" s="9">
        <v>0</v>
      </c>
      <c r="J56" s="9">
        <v>0</v>
      </c>
      <c r="K56" s="9">
        <v>0</v>
      </c>
      <c r="L56" s="9">
        <v>0</v>
      </c>
      <c r="M56" s="9">
        <v>0</v>
      </c>
      <c r="N56" s="9">
        <v>0</v>
      </c>
      <c r="O56" s="9">
        <v>0</v>
      </c>
      <c r="P56" s="9">
        <v>0</v>
      </c>
      <c r="Q56" s="9">
        <v>0</v>
      </c>
      <c r="R56" s="4">
        <f>SUM(F56:Q56)</f>
        <v>0</v>
      </c>
      <c r="S56" s="9">
        <v>0</v>
      </c>
      <c r="T56" s="9">
        <v>0</v>
      </c>
      <c r="U56" s="9">
        <v>0</v>
      </c>
      <c r="V56" s="9">
        <v>0</v>
      </c>
      <c r="W56" s="26">
        <v>0</v>
      </c>
      <c r="X56" s="75">
        <v>0</v>
      </c>
    </row>
    <row r="57" spans="1:24">
      <c r="A57" s="10"/>
      <c r="B57" s="11" t="s">
        <v>30</v>
      </c>
      <c r="C57" s="8" t="s">
        <v>90</v>
      </c>
      <c r="D57" s="9" t="s">
        <v>67</v>
      </c>
      <c r="E57" s="9"/>
      <c r="F57" s="9">
        <v>0</v>
      </c>
      <c r="G57" s="9">
        <v>0</v>
      </c>
      <c r="H57" s="9">
        <v>0</v>
      </c>
      <c r="I57" s="9">
        <v>0</v>
      </c>
      <c r="J57" s="9">
        <v>0</v>
      </c>
      <c r="K57" s="9">
        <v>0</v>
      </c>
      <c r="L57" s="9">
        <v>0</v>
      </c>
      <c r="M57" s="9">
        <v>0</v>
      </c>
      <c r="N57" s="9">
        <v>0</v>
      </c>
      <c r="O57" s="9">
        <v>0</v>
      </c>
      <c r="P57" s="9">
        <v>0</v>
      </c>
      <c r="Q57" s="9">
        <v>0</v>
      </c>
      <c r="R57" s="4">
        <f>SUM(F57:Q57)</f>
        <v>0</v>
      </c>
      <c r="S57" s="9">
        <v>0</v>
      </c>
      <c r="T57" s="9">
        <v>0</v>
      </c>
      <c r="U57" s="9">
        <v>0</v>
      </c>
      <c r="V57" s="9">
        <v>0</v>
      </c>
      <c r="W57" s="26">
        <v>0</v>
      </c>
      <c r="X57" s="78">
        <v>0</v>
      </c>
    </row>
    <row r="58" spans="1:24">
      <c r="A58" s="10"/>
      <c r="B58" s="9" t="s">
        <v>32</v>
      </c>
      <c r="C58" s="8" t="s">
        <v>91</v>
      </c>
      <c r="D58" s="9" t="s">
        <v>69</v>
      </c>
      <c r="E58" s="9"/>
      <c r="F58" s="17">
        <f>F54/F55*100%</f>
        <v>1</v>
      </c>
      <c r="G58" s="17">
        <f t="shared" ref="G58:U58" si="4">G54/G55*100%</f>
        <v>1</v>
      </c>
      <c r="H58" s="17">
        <f t="shared" si="4"/>
        <v>1</v>
      </c>
      <c r="I58" s="17">
        <f t="shared" si="4"/>
        <v>1</v>
      </c>
      <c r="J58" s="17">
        <f t="shared" si="4"/>
        <v>1</v>
      </c>
      <c r="K58" s="17">
        <f t="shared" si="4"/>
        <v>1</v>
      </c>
      <c r="L58" s="17">
        <f t="shared" si="4"/>
        <v>1</v>
      </c>
      <c r="M58" s="17">
        <f t="shared" si="4"/>
        <v>1</v>
      </c>
      <c r="N58" s="17">
        <f t="shared" si="4"/>
        <v>1</v>
      </c>
      <c r="O58" s="17">
        <f>O54/O55*100%</f>
        <v>1</v>
      </c>
      <c r="P58" s="17">
        <f t="shared" si="4"/>
        <v>1</v>
      </c>
      <c r="Q58" s="17">
        <f t="shared" si="4"/>
        <v>1</v>
      </c>
      <c r="R58" s="18">
        <f t="shared" si="4"/>
        <v>1</v>
      </c>
      <c r="S58" s="17">
        <f t="shared" si="4"/>
        <v>1</v>
      </c>
      <c r="T58" s="17">
        <f t="shared" si="4"/>
        <v>1</v>
      </c>
      <c r="U58" s="17">
        <f t="shared" si="4"/>
        <v>1</v>
      </c>
      <c r="V58" s="17">
        <f>V54/V55*100%</f>
        <v>1</v>
      </c>
      <c r="W58" s="29">
        <f>W54/W55*100%</f>
        <v>1</v>
      </c>
      <c r="X58" s="77">
        <f>X54/X55*100%</f>
        <v>1</v>
      </c>
    </row>
    <row r="59" spans="1:24">
      <c r="A59" s="12"/>
      <c r="B59" s="9" t="s">
        <v>34</v>
      </c>
      <c r="C59" s="8" t="s">
        <v>92</v>
      </c>
      <c r="D59" s="9" t="s">
        <v>93</v>
      </c>
      <c r="E59" s="9"/>
      <c r="F59" s="9"/>
      <c r="G59" s="9"/>
      <c r="H59" s="9"/>
      <c r="I59" s="9"/>
      <c r="J59" s="9"/>
      <c r="K59" s="9"/>
      <c r="L59" s="9"/>
      <c r="M59" s="9"/>
      <c r="N59" s="9"/>
      <c r="O59" s="9"/>
      <c r="P59" s="9"/>
      <c r="Q59" s="9"/>
      <c r="R59" s="4"/>
      <c r="S59" s="9"/>
      <c r="T59" s="9"/>
      <c r="U59" s="9"/>
      <c r="V59" s="9"/>
      <c r="W59" s="26"/>
      <c r="X59" s="43"/>
    </row>
    <row r="60" spans="1:24">
      <c r="D60" s="14"/>
      <c r="E60" s="14"/>
    </row>
  </sheetData>
  <mergeCells count="6">
    <mergeCell ref="S6:X6"/>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18A01-3CD7-446E-B266-5E48B2582061}">
  <dimension ref="A1:AZ118"/>
  <sheetViews>
    <sheetView workbookViewId="0">
      <selection activeCell="R15" sqref="R15"/>
    </sheetView>
  </sheetViews>
  <sheetFormatPr defaultRowHeight="16.5"/>
  <cols>
    <col min="1" max="1" width="3.125" bestFit="1" customWidth="1"/>
    <col min="2" max="2" width="1.875" bestFit="1" customWidth="1"/>
    <col min="3" max="3" width="24.125" customWidth="1"/>
    <col min="4" max="4" width="33.125" customWidth="1"/>
    <col min="5" max="5" width="53.625" customWidth="1"/>
    <col min="18" max="18" width="14.25" customWidth="1"/>
    <col min="19" max="19" width="15.625" customWidth="1"/>
    <col min="20" max="20" width="14.875" customWidth="1"/>
    <col min="21" max="21" width="15.375" customWidth="1"/>
    <col min="22" max="22" width="13.75" customWidth="1"/>
    <col min="23" max="23" width="13.5" customWidth="1"/>
  </cols>
  <sheetData>
    <row r="1" spans="1:52" s="45" customFormat="1">
      <c r="A1" s="46" t="s">
        <v>3</v>
      </c>
      <c r="B1" s="114" t="s">
        <v>94</v>
      </c>
      <c r="C1" s="114"/>
      <c r="D1" s="115"/>
      <c r="E1" s="47" t="s">
        <v>95</v>
      </c>
      <c r="F1" s="48">
        <v>45658</v>
      </c>
      <c r="G1" s="48">
        <v>45689</v>
      </c>
      <c r="H1" s="48">
        <v>45717</v>
      </c>
      <c r="I1" s="48">
        <v>45748</v>
      </c>
      <c r="J1" s="48">
        <v>45778</v>
      </c>
      <c r="K1" s="48">
        <v>45809</v>
      </c>
      <c r="L1" s="48">
        <v>45839</v>
      </c>
      <c r="M1" s="48">
        <v>45870</v>
      </c>
      <c r="N1" s="48">
        <v>45901</v>
      </c>
      <c r="O1" s="48">
        <v>45931</v>
      </c>
      <c r="P1" s="48">
        <v>45962</v>
      </c>
      <c r="Q1" s="48">
        <v>45992</v>
      </c>
      <c r="R1" s="48">
        <v>46023</v>
      </c>
      <c r="S1" s="48">
        <v>46054</v>
      </c>
      <c r="T1" s="48">
        <v>46082</v>
      </c>
      <c r="U1" s="48">
        <v>46113</v>
      </c>
      <c r="V1" s="81">
        <v>46143</v>
      </c>
      <c r="W1" s="81">
        <v>46174</v>
      </c>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row>
    <row r="2" spans="1:52">
      <c r="A2" s="50">
        <v>1</v>
      </c>
      <c r="B2" s="114" t="s">
        <v>96</v>
      </c>
      <c r="C2" s="114"/>
      <c r="D2" s="115"/>
      <c r="E2" s="51" t="s">
        <v>97</v>
      </c>
      <c r="F2" s="21"/>
      <c r="G2" s="21"/>
      <c r="H2" s="21"/>
      <c r="I2" s="21"/>
      <c r="J2" s="21"/>
      <c r="K2" s="21"/>
      <c r="L2" s="21"/>
      <c r="M2" s="21"/>
      <c r="N2" s="21"/>
      <c r="O2" s="21"/>
      <c r="P2" s="21"/>
      <c r="Q2" s="21"/>
      <c r="R2" s="21">
        <v>3998</v>
      </c>
      <c r="S2" s="21">
        <v>6699</v>
      </c>
      <c r="T2" s="21">
        <v>3555</v>
      </c>
      <c r="U2" s="25">
        <v>2755</v>
      </c>
      <c r="V2" s="79">
        <v>2528</v>
      </c>
      <c r="W2" s="79">
        <v>2740</v>
      </c>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row>
    <row r="3" spans="1:52" ht="24">
      <c r="A3" s="50">
        <v>2</v>
      </c>
      <c r="B3" s="114" t="s">
        <v>98</v>
      </c>
      <c r="C3" s="114"/>
      <c r="D3" s="115"/>
      <c r="E3" s="52" t="s">
        <v>99</v>
      </c>
      <c r="F3" s="53">
        <f>SUM(F5:F11)</f>
        <v>0</v>
      </c>
      <c r="G3" s="53">
        <f t="shared" ref="G3:W3" si="0">SUM(G5:G11)</f>
        <v>0</v>
      </c>
      <c r="H3" s="53">
        <f t="shared" si="0"/>
        <v>0</v>
      </c>
      <c r="I3" s="53">
        <f t="shared" si="0"/>
        <v>0</v>
      </c>
      <c r="J3" s="53">
        <f t="shared" si="0"/>
        <v>0</v>
      </c>
      <c r="K3" s="53">
        <f t="shared" si="0"/>
        <v>0</v>
      </c>
      <c r="L3" s="53">
        <f t="shared" si="0"/>
        <v>0</v>
      </c>
      <c r="M3" s="53">
        <f t="shared" si="0"/>
        <v>0</v>
      </c>
      <c r="N3" s="53">
        <f t="shared" si="0"/>
        <v>0</v>
      </c>
      <c r="O3" s="53">
        <f t="shared" si="0"/>
        <v>0</v>
      </c>
      <c r="P3" s="53">
        <f t="shared" si="0"/>
        <v>0</v>
      </c>
      <c r="Q3" s="53">
        <f t="shared" si="0"/>
        <v>0</v>
      </c>
      <c r="R3" s="53">
        <f t="shared" si="0"/>
        <v>84</v>
      </c>
      <c r="S3" s="53">
        <f t="shared" si="0"/>
        <v>55</v>
      </c>
      <c r="T3" s="53">
        <f t="shared" si="0"/>
        <v>64</v>
      </c>
      <c r="U3" s="53">
        <f t="shared" si="0"/>
        <v>79</v>
      </c>
      <c r="V3" s="53">
        <f t="shared" si="0"/>
        <v>62</v>
      </c>
      <c r="W3" s="53">
        <f t="shared" si="0"/>
        <v>106</v>
      </c>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row>
    <row r="4" spans="1:52">
      <c r="A4" s="103">
        <v>3</v>
      </c>
      <c r="B4" s="114" t="s">
        <v>100</v>
      </c>
      <c r="C4" s="114"/>
      <c r="D4" s="114"/>
      <c r="E4" s="55" t="s">
        <v>101</v>
      </c>
      <c r="F4" s="53" t="s">
        <v>101</v>
      </c>
      <c r="G4" s="53" t="s">
        <v>101</v>
      </c>
      <c r="H4" s="53" t="s">
        <v>101</v>
      </c>
      <c r="I4" s="53" t="s">
        <v>101</v>
      </c>
      <c r="J4" s="53" t="s">
        <v>101</v>
      </c>
      <c r="K4" s="53" t="s">
        <v>101</v>
      </c>
      <c r="L4" s="53" t="s">
        <v>101</v>
      </c>
      <c r="M4" s="53" t="s">
        <v>101</v>
      </c>
      <c r="N4" s="53" t="s">
        <v>101</v>
      </c>
      <c r="O4" s="53" t="s">
        <v>101</v>
      </c>
      <c r="P4" s="53" t="s">
        <v>101</v>
      </c>
      <c r="Q4" s="53" t="s">
        <v>101</v>
      </c>
      <c r="R4" s="53" t="s">
        <v>101</v>
      </c>
      <c r="S4" s="53" t="s">
        <v>101</v>
      </c>
      <c r="T4" s="53" t="s">
        <v>101</v>
      </c>
      <c r="U4" s="58" t="s">
        <v>101</v>
      </c>
      <c r="V4" s="58" t="s">
        <v>101</v>
      </c>
      <c r="W4" s="58" t="s">
        <v>101</v>
      </c>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row>
    <row r="5" spans="1:52" ht="16.5" customHeight="1">
      <c r="A5" s="103"/>
      <c r="B5" s="53" t="s">
        <v>102</v>
      </c>
      <c r="C5" s="116" t="s">
        <v>103</v>
      </c>
      <c r="D5" s="116"/>
      <c r="E5" s="99" t="s">
        <v>104</v>
      </c>
      <c r="F5" s="53">
        <v>0</v>
      </c>
      <c r="G5" s="53">
        <v>0</v>
      </c>
      <c r="H5" s="53">
        <v>0</v>
      </c>
      <c r="I5" s="53">
        <v>0</v>
      </c>
      <c r="J5" s="53">
        <v>0</v>
      </c>
      <c r="K5" s="53">
        <v>0</v>
      </c>
      <c r="L5" s="53">
        <v>0</v>
      </c>
      <c r="M5" s="53">
        <v>0</v>
      </c>
      <c r="N5" s="53">
        <v>0</v>
      </c>
      <c r="O5" s="53">
        <v>0</v>
      </c>
      <c r="P5" s="53">
        <v>0</v>
      </c>
      <c r="Q5" s="53">
        <v>0</v>
      </c>
      <c r="R5" s="53">
        <v>0</v>
      </c>
      <c r="S5" s="53">
        <v>0</v>
      </c>
      <c r="T5" s="53">
        <v>0</v>
      </c>
      <c r="U5" s="58">
        <v>0</v>
      </c>
      <c r="V5" s="58">
        <v>0</v>
      </c>
      <c r="W5" s="58">
        <v>0</v>
      </c>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row>
    <row r="6" spans="1:52">
      <c r="A6" s="103"/>
      <c r="B6" s="53" t="s">
        <v>105</v>
      </c>
      <c r="C6" s="116" t="s">
        <v>106</v>
      </c>
      <c r="D6" s="116"/>
      <c r="E6" s="100"/>
      <c r="F6" s="53">
        <v>0</v>
      </c>
      <c r="G6" s="53">
        <v>0</v>
      </c>
      <c r="H6" s="53">
        <v>0</v>
      </c>
      <c r="I6" s="53">
        <v>0</v>
      </c>
      <c r="J6" s="53">
        <v>0</v>
      </c>
      <c r="K6" s="53">
        <v>0</v>
      </c>
      <c r="L6" s="53">
        <v>0</v>
      </c>
      <c r="M6" s="53">
        <v>0</v>
      </c>
      <c r="N6" s="53">
        <v>0</v>
      </c>
      <c r="O6" s="53">
        <v>0</v>
      </c>
      <c r="P6" s="53">
        <v>0</v>
      </c>
      <c r="Q6" s="53">
        <v>0</v>
      </c>
      <c r="R6" s="53">
        <v>0</v>
      </c>
      <c r="S6" s="53">
        <v>0</v>
      </c>
      <c r="T6" s="53">
        <v>0</v>
      </c>
      <c r="U6" s="58">
        <v>0</v>
      </c>
      <c r="V6" s="58">
        <v>0</v>
      </c>
      <c r="W6" s="58">
        <v>0</v>
      </c>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row>
    <row r="7" spans="1:52">
      <c r="A7" s="103"/>
      <c r="B7" s="53" t="s">
        <v>107</v>
      </c>
      <c r="C7" s="116" t="s">
        <v>108</v>
      </c>
      <c r="D7" s="116"/>
      <c r="E7" s="100"/>
      <c r="F7" s="53">
        <v>0</v>
      </c>
      <c r="G7" s="53">
        <v>0</v>
      </c>
      <c r="H7" s="53">
        <v>0</v>
      </c>
      <c r="I7" s="53">
        <v>0</v>
      </c>
      <c r="J7" s="53">
        <v>0</v>
      </c>
      <c r="K7" s="53">
        <v>0</v>
      </c>
      <c r="L7" s="53">
        <v>0</v>
      </c>
      <c r="M7" s="53">
        <v>0</v>
      </c>
      <c r="N7" s="53">
        <v>0</v>
      </c>
      <c r="O7" s="53">
        <v>0</v>
      </c>
      <c r="P7" s="53">
        <v>0</v>
      </c>
      <c r="Q7" s="53">
        <v>0</v>
      </c>
      <c r="R7" s="53">
        <v>0</v>
      </c>
      <c r="S7" s="53">
        <v>0</v>
      </c>
      <c r="T7" s="53">
        <v>0</v>
      </c>
      <c r="U7" s="58">
        <v>0</v>
      </c>
      <c r="V7" s="58">
        <v>0</v>
      </c>
      <c r="W7" s="58">
        <v>0</v>
      </c>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row>
    <row r="8" spans="1:52">
      <c r="A8" s="103"/>
      <c r="B8" s="53" t="s">
        <v>109</v>
      </c>
      <c r="C8" s="116" t="s">
        <v>110</v>
      </c>
      <c r="D8" s="116"/>
      <c r="E8" s="100"/>
      <c r="F8" s="53">
        <f>F16+F23+F30+F37+F44+F51+F56+F63+F70+F77+F84</f>
        <v>0</v>
      </c>
      <c r="G8" s="53">
        <f t="shared" ref="G8:W8" si="1">G16+G23+G30+G37+G44+G51+G56+G63+G70+G77+G84</f>
        <v>0</v>
      </c>
      <c r="H8" s="53">
        <f t="shared" si="1"/>
        <v>0</v>
      </c>
      <c r="I8" s="53">
        <f t="shared" si="1"/>
        <v>0</v>
      </c>
      <c r="J8" s="53">
        <f t="shared" si="1"/>
        <v>0</v>
      </c>
      <c r="K8" s="53">
        <f t="shared" si="1"/>
        <v>0</v>
      </c>
      <c r="L8" s="53">
        <f t="shared" si="1"/>
        <v>0</v>
      </c>
      <c r="M8" s="53">
        <f t="shared" si="1"/>
        <v>0</v>
      </c>
      <c r="N8" s="53">
        <f t="shared" si="1"/>
        <v>0</v>
      </c>
      <c r="O8" s="53">
        <f t="shared" si="1"/>
        <v>0</v>
      </c>
      <c r="P8" s="53">
        <f t="shared" si="1"/>
        <v>0</v>
      </c>
      <c r="Q8" s="53">
        <f t="shared" si="1"/>
        <v>0</v>
      </c>
      <c r="R8" s="53">
        <f t="shared" si="1"/>
        <v>84</v>
      </c>
      <c r="S8" s="53">
        <f t="shared" si="1"/>
        <v>55</v>
      </c>
      <c r="T8" s="53">
        <f t="shared" si="1"/>
        <v>64</v>
      </c>
      <c r="U8" s="53">
        <f t="shared" si="1"/>
        <v>79</v>
      </c>
      <c r="V8" s="53">
        <f t="shared" si="1"/>
        <v>62</v>
      </c>
      <c r="W8" s="53">
        <f t="shared" si="1"/>
        <v>106</v>
      </c>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row>
    <row r="9" spans="1:52">
      <c r="A9" s="103"/>
      <c r="B9" s="53" t="s">
        <v>111</v>
      </c>
      <c r="C9" s="117" t="s">
        <v>112</v>
      </c>
      <c r="D9" s="117"/>
      <c r="E9" s="100"/>
      <c r="F9" s="53">
        <f>F17+F24+F31+F38+F45+F52+F57+F64+F71+F78+F85</f>
        <v>0</v>
      </c>
      <c r="G9" s="53">
        <f t="shared" ref="G9:W9" si="2">G17+G24+G31+G38+G45+G52+G57+G64+G71+G78+G85</f>
        <v>0</v>
      </c>
      <c r="H9" s="53">
        <f t="shared" si="2"/>
        <v>0</v>
      </c>
      <c r="I9" s="53">
        <f t="shared" si="2"/>
        <v>0</v>
      </c>
      <c r="J9" s="53">
        <f t="shared" si="2"/>
        <v>0</v>
      </c>
      <c r="K9" s="53">
        <f t="shared" si="2"/>
        <v>0</v>
      </c>
      <c r="L9" s="53">
        <f t="shared" si="2"/>
        <v>0</v>
      </c>
      <c r="M9" s="53">
        <f t="shared" si="2"/>
        <v>0</v>
      </c>
      <c r="N9" s="53">
        <f t="shared" si="2"/>
        <v>0</v>
      </c>
      <c r="O9" s="53">
        <f t="shared" si="2"/>
        <v>0</v>
      </c>
      <c r="P9" s="53">
        <f t="shared" si="2"/>
        <v>0</v>
      </c>
      <c r="Q9" s="53">
        <f t="shared" si="2"/>
        <v>0</v>
      </c>
      <c r="R9" s="53">
        <f t="shared" si="2"/>
        <v>0</v>
      </c>
      <c r="S9" s="53">
        <f t="shared" si="2"/>
        <v>0</v>
      </c>
      <c r="T9" s="53">
        <f t="shared" si="2"/>
        <v>0</v>
      </c>
      <c r="U9" s="53">
        <f t="shared" si="2"/>
        <v>0</v>
      </c>
      <c r="V9" s="53">
        <f t="shared" si="2"/>
        <v>0</v>
      </c>
      <c r="W9" s="53">
        <f t="shared" si="2"/>
        <v>0</v>
      </c>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row>
    <row r="10" spans="1:52">
      <c r="A10" s="54" t="s">
        <v>101</v>
      </c>
      <c r="B10" s="53" t="s">
        <v>113</v>
      </c>
      <c r="C10" s="118" t="s">
        <v>114</v>
      </c>
      <c r="D10" s="119"/>
      <c r="E10" s="100"/>
      <c r="F10" s="53" t="s">
        <v>101</v>
      </c>
      <c r="G10" s="53" t="s">
        <v>101</v>
      </c>
      <c r="H10" s="53" t="s">
        <v>101</v>
      </c>
      <c r="I10" s="53" t="s">
        <v>101</v>
      </c>
      <c r="J10" s="53" t="s">
        <v>101</v>
      </c>
      <c r="K10" s="53" t="s">
        <v>101</v>
      </c>
      <c r="L10" s="53" t="s">
        <v>101</v>
      </c>
      <c r="M10" s="53" t="s">
        <v>101</v>
      </c>
      <c r="N10" s="53" t="s">
        <v>101</v>
      </c>
      <c r="O10" s="53" t="s">
        <v>101</v>
      </c>
      <c r="P10" s="53" t="s">
        <v>101</v>
      </c>
      <c r="Q10" s="53" t="s">
        <v>101</v>
      </c>
      <c r="R10" s="53" t="s">
        <v>101</v>
      </c>
      <c r="S10" s="53" t="s">
        <v>101</v>
      </c>
      <c r="T10" s="53" t="s">
        <v>101</v>
      </c>
      <c r="U10" s="58" t="s">
        <v>101</v>
      </c>
      <c r="V10" s="72"/>
      <c r="W10" s="72"/>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row>
    <row r="11" spans="1:52">
      <c r="A11" s="54" t="s">
        <v>101</v>
      </c>
      <c r="B11" s="53" t="s">
        <v>115</v>
      </c>
      <c r="C11" s="118" t="s">
        <v>116</v>
      </c>
      <c r="D11" s="119"/>
      <c r="E11" s="101"/>
      <c r="F11" s="53" t="s">
        <v>101</v>
      </c>
      <c r="G11" s="53" t="s">
        <v>101</v>
      </c>
      <c r="H11" s="53" t="s">
        <v>101</v>
      </c>
      <c r="I11" s="53" t="s">
        <v>101</v>
      </c>
      <c r="J11" s="53" t="s">
        <v>101</v>
      </c>
      <c r="K11" s="53" t="s">
        <v>101</v>
      </c>
      <c r="L11" s="53" t="s">
        <v>101</v>
      </c>
      <c r="M11" s="53" t="s">
        <v>101</v>
      </c>
      <c r="N11" s="53" t="s">
        <v>101</v>
      </c>
      <c r="O11" s="53" t="s">
        <v>101</v>
      </c>
      <c r="P11" s="53" t="s">
        <v>101</v>
      </c>
      <c r="Q11" s="53" t="s">
        <v>101</v>
      </c>
      <c r="R11" s="53" t="s">
        <v>101</v>
      </c>
      <c r="S11" s="53" t="s">
        <v>101</v>
      </c>
      <c r="T11" s="53" t="s">
        <v>101</v>
      </c>
      <c r="U11" s="58" t="s">
        <v>101</v>
      </c>
      <c r="V11" s="72"/>
      <c r="W11" s="72"/>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row>
    <row r="12" spans="1:52">
      <c r="A12" s="102">
        <v>4</v>
      </c>
      <c r="B12" s="114" t="s">
        <v>117</v>
      </c>
      <c r="C12" s="114"/>
      <c r="D12" s="114"/>
      <c r="E12" s="56" t="s">
        <v>101</v>
      </c>
      <c r="F12" s="53" t="s">
        <v>101</v>
      </c>
      <c r="G12" s="53" t="s">
        <v>101</v>
      </c>
      <c r="H12" s="53" t="s">
        <v>101</v>
      </c>
      <c r="I12" s="53" t="s">
        <v>101</v>
      </c>
      <c r="J12" s="53" t="s">
        <v>101</v>
      </c>
      <c r="K12" s="53" t="s">
        <v>101</v>
      </c>
      <c r="L12" s="53" t="s">
        <v>101</v>
      </c>
      <c r="M12" s="53" t="s">
        <v>101</v>
      </c>
      <c r="N12" s="53" t="s">
        <v>101</v>
      </c>
      <c r="O12" s="53" t="s">
        <v>101</v>
      </c>
      <c r="P12" s="53" t="s">
        <v>101</v>
      </c>
      <c r="Q12" s="53" t="s">
        <v>101</v>
      </c>
      <c r="R12" s="53" t="s">
        <v>101</v>
      </c>
      <c r="S12" s="53" t="s">
        <v>101</v>
      </c>
      <c r="T12" s="53" t="s">
        <v>101</v>
      </c>
      <c r="U12" s="58" t="s">
        <v>101</v>
      </c>
      <c r="V12" s="72"/>
      <c r="W12" s="72"/>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row>
    <row r="13" spans="1:52">
      <c r="A13" s="103"/>
      <c r="B13" s="53" t="s">
        <v>102</v>
      </c>
      <c r="C13" s="57" t="s">
        <v>118</v>
      </c>
      <c r="D13" s="58" t="s">
        <v>103</v>
      </c>
      <c r="E13" s="56" t="s">
        <v>101</v>
      </c>
      <c r="F13" s="82">
        <v>0</v>
      </c>
      <c r="G13" s="82">
        <v>0</v>
      </c>
      <c r="H13" s="82">
        <v>0</v>
      </c>
      <c r="I13" s="82">
        <v>0</v>
      </c>
      <c r="J13" s="82">
        <v>0</v>
      </c>
      <c r="K13" s="82">
        <v>0</v>
      </c>
      <c r="L13" s="82">
        <v>0</v>
      </c>
      <c r="M13" s="82">
        <v>0</v>
      </c>
      <c r="N13" s="82">
        <v>0</v>
      </c>
      <c r="O13" s="82">
        <v>0</v>
      </c>
      <c r="P13" s="82">
        <v>0</v>
      </c>
      <c r="Q13" s="82">
        <v>0</v>
      </c>
      <c r="R13" s="82">
        <v>0</v>
      </c>
      <c r="S13" s="53" t="s">
        <v>101</v>
      </c>
      <c r="T13" s="53" t="s">
        <v>101</v>
      </c>
      <c r="U13" s="58" t="s">
        <v>101</v>
      </c>
      <c r="V13" s="72"/>
      <c r="W13" s="72"/>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row>
    <row r="14" spans="1:52">
      <c r="A14" s="103"/>
      <c r="B14" s="53" t="s">
        <v>101</v>
      </c>
      <c r="C14" s="57" t="s">
        <v>101</v>
      </c>
      <c r="D14" s="58" t="s">
        <v>106</v>
      </c>
      <c r="E14" s="56" t="s">
        <v>101</v>
      </c>
      <c r="F14" s="82">
        <v>0</v>
      </c>
      <c r="G14" s="82">
        <v>0</v>
      </c>
      <c r="H14" s="82">
        <v>0</v>
      </c>
      <c r="I14" s="82">
        <v>0</v>
      </c>
      <c r="J14" s="82">
        <v>0</v>
      </c>
      <c r="K14" s="82">
        <v>0</v>
      </c>
      <c r="L14" s="82">
        <v>0</v>
      </c>
      <c r="M14" s="82">
        <v>0</v>
      </c>
      <c r="N14" s="82">
        <v>0</v>
      </c>
      <c r="O14" s="82">
        <v>0</v>
      </c>
      <c r="P14" s="82">
        <v>0</v>
      </c>
      <c r="Q14" s="82">
        <v>0</v>
      </c>
      <c r="R14" s="82">
        <v>0</v>
      </c>
      <c r="S14" s="53" t="s">
        <v>101</v>
      </c>
      <c r="T14" s="53" t="s">
        <v>101</v>
      </c>
      <c r="U14" s="58" t="s">
        <v>101</v>
      </c>
      <c r="V14" s="72"/>
      <c r="W14" s="72"/>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row>
    <row r="15" spans="1:52">
      <c r="A15" s="103"/>
      <c r="B15" s="53" t="s">
        <v>101</v>
      </c>
      <c r="C15" s="57" t="s">
        <v>101</v>
      </c>
      <c r="D15" s="58" t="s">
        <v>108</v>
      </c>
      <c r="E15" s="56" t="s">
        <v>101</v>
      </c>
      <c r="F15" s="82">
        <v>0</v>
      </c>
      <c r="G15" s="82">
        <v>0</v>
      </c>
      <c r="H15" s="82">
        <v>0</v>
      </c>
      <c r="I15" s="82">
        <v>0</v>
      </c>
      <c r="J15" s="82">
        <v>0</v>
      </c>
      <c r="K15" s="82">
        <v>0</v>
      </c>
      <c r="L15" s="82">
        <v>0</v>
      </c>
      <c r="M15" s="82">
        <v>0</v>
      </c>
      <c r="N15" s="82">
        <v>0</v>
      </c>
      <c r="O15" s="82">
        <v>0</v>
      </c>
      <c r="P15" s="82">
        <v>0</v>
      </c>
      <c r="Q15" s="82">
        <v>0</v>
      </c>
      <c r="R15" s="82">
        <v>0</v>
      </c>
      <c r="S15" s="53" t="s">
        <v>101</v>
      </c>
      <c r="T15" s="53" t="s">
        <v>101</v>
      </c>
      <c r="U15" s="58" t="s">
        <v>101</v>
      </c>
      <c r="V15" s="72"/>
      <c r="W15" s="72"/>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row>
    <row r="16" spans="1:52">
      <c r="A16" s="103"/>
      <c r="B16" s="53" t="s">
        <v>101</v>
      </c>
      <c r="C16" s="57" t="s">
        <v>101</v>
      </c>
      <c r="D16" s="58" t="s">
        <v>110</v>
      </c>
      <c r="E16" s="56" t="s">
        <v>101</v>
      </c>
      <c r="F16" s="82">
        <v>0</v>
      </c>
      <c r="G16" s="82">
        <v>0</v>
      </c>
      <c r="H16" s="82">
        <v>0</v>
      </c>
      <c r="I16" s="82">
        <v>0</v>
      </c>
      <c r="J16" s="82">
        <v>0</v>
      </c>
      <c r="K16" s="82">
        <v>0</v>
      </c>
      <c r="L16" s="82">
        <v>0</v>
      </c>
      <c r="M16" s="82">
        <v>0</v>
      </c>
      <c r="N16" s="82">
        <v>0</v>
      </c>
      <c r="O16" s="82">
        <v>0</v>
      </c>
      <c r="P16" s="82">
        <v>0</v>
      </c>
      <c r="Q16" s="82">
        <v>0</v>
      </c>
      <c r="R16" s="21">
        <v>1</v>
      </c>
      <c r="S16" s="21">
        <v>11</v>
      </c>
      <c r="T16" s="21">
        <v>16</v>
      </c>
      <c r="U16" s="25">
        <v>8</v>
      </c>
      <c r="V16" s="79">
        <v>2</v>
      </c>
      <c r="W16" s="79">
        <v>25</v>
      </c>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row>
    <row r="17" spans="1:51">
      <c r="A17" s="103"/>
      <c r="B17" s="53" t="s">
        <v>101</v>
      </c>
      <c r="C17" s="57" t="s">
        <v>101</v>
      </c>
      <c r="D17" s="58" t="s">
        <v>112</v>
      </c>
      <c r="E17" s="56" t="s">
        <v>101</v>
      </c>
      <c r="F17" s="82">
        <v>0</v>
      </c>
      <c r="G17" s="82">
        <v>0</v>
      </c>
      <c r="H17" s="82">
        <v>0</v>
      </c>
      <c r="I17" s="82">
        <v>0</v>
      </c>
      <c r="J17" s="82">
        <v>0</v>
      </c>
      <c r="K17" s="82">
        <v>0</v>
      </c>
      <c r="L17" s="82">
        <v>0</v>
      </c>
      <c r="M17" s="82">
        <v>0</v>
      </c>
      <c r="N17" s="82">
        <v>0</v>
      </c>
      <c r="O17" s="82">
        <v>0</v>
      </c>
      <c r="P17" s="82">
        <v>0</v>
      </c>
      <c r="Q17" s="82">
        <v>0</v>
      </c>
      <c r="R17" s="82">
        <v>0</v>
      </c>
      <c r="S17" s="82">
        <v>0</v>
      </c>
      <c r="T17" s="82">
        <v>0</v>
      </c>
      <c r="U17" s="82">
        <v>0</v>
      </c>
      <c r="V17" s="82">
        <v>0</v>
      </c>
      <c r="W17" s="82">
        <v>0</v>
      </c>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row>
    <row r="18" spans="1:51">
      <c r="A18" s="103"/>
      <c r="B18" s="53" t="s">
        <v>101</v>
      </c>
      <c r="C18" s="57" t="s">
        <v>101</v>
      </c>
      <c r="D18" s="58" t="s">
        <v>114</v>
      </c>
      <c r="E18" s="56" t="s">
        <v>101</v>
      </c>
      <c r="F18" s="82">
        <v>0</v>
      </c>
      <c r="G18" s="82">
        <v>0</v>
      </c>
      <c r="H18" s="82">
        <v>0</v>
      </c>
      <c r="I18" s="82">
        <v>0</v>
      </c>
      <c r="J18" s="82">
        <v>0</v>
      </c>
      <c r="K18" s="82">
        <v>0</v>
      </c>
      <c r="L18" s="82">
        <v>0</v>
      </c>
      <c r="M18" s="82">
        <v>0</v>
      </c>
      <c r="N18" s="82">
        <v>0</v>
      </c>
      <c r="O18" s="82">
        <v>0</v>
      </c>
      <c r="P18" s="82">
        <v>0</v>
      </c>
      <c r="Q18" s="82">
        <v>0</v>
      </c>
      <c r="R18" s="82">
        <v>0</v>
      </c>
      <c r="S18" s="82">
        <v>0</v>
      </c>
      <c r="T18" s="82">
        <v>0</v>
      </c>
      <c r="U18" s="82">
        <v>0</v>
      </c>
      <c r="V18" s="82">
        <v>0</v>
      </c>
      <c r="W18" s="82">
        <v>0</v>
      </c>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row>
    <row r="19" spans="1:51">
      <c r="A19" s="103"/>
      <c r="B19" s="53" t="s">
        <v>101</v>
      </c>
      <c r="C19" s="57" t="s">
        <v>101</v>
      </c>
      <c r="D19" s="58" t="s">
        <v>116</v>
      </c>
      <c r="E19" s="56" t="s">
        <v>101</v>
      </c>
      <c r="F19" s="82">
        <v>0</v>
      </c>
      <c r="G19" s="82">
        <v>0</v>
      </c>
      <c r="H19" s="82">
        <v>0</v>
      </c>
      <c r="I19" s="82">
        <v>0</v>
      </c>
      <c r="J19" s="82">
        <v>0</v>
      </c>
      <c r="K19" s="82">
        <v>0</v>
      </c>
      <c r="L19" s="82">
        <v>0</v>
      </c>
      <c r="M19" s="82">
        <v>0</v>
      </c>
      <c r="N19" s="82">
        <v>0</v>
      </c>
      <c r="O19" s="82">
        <v>0</v>
      </c>
      <c r="P19" s="82">
        <v>0</v>
      </c>
      <c r="Q19" s="82">
        <v>0</v>
      </c>
      <c r="R19" s="82">
        <v>0</v>
      </c>
      <c r="S19" s="82">
        <v>0</v>
      </c>
      <c r="T19" s="82">
        <v>0</v>
      </c>
      <c r="U19" s="82">
        <v>0</v>
      </c>
      <c r="V19" s="82">
        <v>0</v>
      </c>
      <c r="W19" s="82">
        <v>0</v>
      </c>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row>
    <row r="20" spans="1:51">
      <c r="A20" s="103"/>
      <c r="B20" s="53" t="s">
        <v>105</v>
      </c>
      <c r="C20" s="59" t="s">
        <v>119</v>
      </c>
      <c r="D20" s="58" t="s">
        <v>103</v>
      </c>
      <c r="E20" s="56" t="s">
        <v>101</v>
      </c>
      <c r="F20" s="82">
        <v>0</v>
      </c>
      <c r="G20" s="82">
        <v>0</v>
      </c>
      <c r="H20" s="82">
        <v>0</v>
      </c>
      <c r="I20" s="82">
        <v>0</v>
      </c>
      <c r="J20" s="82">
        <v>0</v>
      </c>
      <c r="K20" s="82">
        <v>0</v>
      </c>
      <c r="L20" s="82">
        <v>0</v>
      </c>
      <c r="M20" s="82">
        <v>0</v>
      </c>
      <c r="N20" s="82">
        <v>0</v>
      </c>
      <c r="O20" s="82">
        <v>0</v>
      </c>
      <c r="P20" s="82">
        <v>0</v>
      </c>
      <c r="Q20" s="82">
        <v>0</v>
      </c>
      <c r="R20" s="82">
        <v>0</v>
      </c>
      <c r="S20" s="82">
        <v>0</v>
      </c>
      <c r="T20" s="82">
        <v>0</v>
      </c>
      <c r="U20" s="82">
        <v>0</v>
      </c>
      <c r="V20" s="82">
        <v>0</v>
      </c>
      <c r="W20" s="82">
        <v>0</v>
      </c>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row>
    <row r="21" spans="1:51">
      <c r="A21" s="103"/>
      <c r="B21" s="53" t="s">
        <v>101</v>
      </c>
      <c r="C21" s="57" t="s">
        <v>101</v>
      </c>
      <c r="D21" s="58" t="s">
        <v>106</v>
      </c>
      <c r="E21" s="56" t="s">
        <v>101</v>
      </c>
      <c r="F21" s="82">
        <v>0</v>
      </c>
      <c r="G21" s="82">
        <v>0</v>
      </c>
      <c r="H21" s="82">
        <v>0</v>
      </c>
      <c r="I21" s="82">
        <v>0</v>
      </c>
      <c r="J21" s="82">
        <v>0</v>
      </c>
      <c r="K21" s="82">
        <v>0</v>
      </c>
      <c r="L21" s="82">
        <v>0</v>
      </c>
      <c r="M21" s="82">
        <v>0</v>
      </c>
      <c r="N21" s="82">
        <v>0</v>
      </c>
      <c r="O21" s="82">
        <v>0</v>
      </c>
      <c r="P21" s="82">
        <v>0</v>
      </c>
      <c r="Q21" s="82">
        <v>0</v>
      </c>
      <c r="R21" s="82">
        <v>0</v>
      </c>
      <c r="S21" s="82">
        <v>0</v>
      </c>
      <c r="T21" s="82">
        <v>0</v>
      </c>
      <c r="U21" s="82">
        <v>0</v>
      </c>
      <c r="V21" s="82">
        <v>0</v>
      </c>
      <c r="W21" s="82">
        <v>0</v>
      </c>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row>
    <row r="22" spans="1:51">
      <c r="A22" s="103"/>
      <c r="B22" s="53" t="s">
        <v>101</v>
      </c>
      <c r="C22" s="57" t="s">
        <v>101</v>
      </c>
      <c r="D22" s="58" t="s">
        <v>108</v>
      </c>
      <c r="E22" s="56" t="s">
        <v>101</v>
      </c>
      <c r="F22" s="82">
        <v>0</v>
      </c>
      <c r="G22" s="82">
        <v>0</v>
      </c>
      <c r="H22" s="82">
        <v>0</v>
      </c>
      <c r="I22" s="82">
        <v>0</v>
      </c>
      <c r="J22" s="82">
        <v>0</v>
      </c>
      <c r="K22" s="82">
        <v>0</v>
      </c>
      <c r="L22" s="82">
        <v>0</v>
      </c>
      <c r="M22" s="82">
        <v>0</v>
      </c>
      <c r="N22" s="82">
        <v>0</v>
      </c>
      <c r="O22" s="82">
        <v>0</v>
      </c>
      <c r="P22" s="82">
        <v>0</v>
      </c>
      <c r="Q22" s="82">
        <v>0</v>
      </c>
      <c r="R22" s="82">
        <v>0</v>
      </c>
      <c r="S22" s="82">
        <v>0</v>
      </c>
      <c r="T22" s="82">
        <v>0</v>
      </c>
      <c r="U22" s="82">
        <v>0</v>
      </c>
      <c r="V22" s="82">
        <v>0</v>
      </c>
      <c r="W22" s="82">
        <v>0</v>
      </c>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row>
    <row r="23" spans="1:51">
      <c r="A23" s="103"/>
      <c r="B23" s="53" t="s">
        <v>101</v>
      </c>
      <c r="C23" s="57" t="s">
        <v>101</v>
      </c>
      <c r="D23" s="58" t="s">
        <v>110</v>
      </c>
      <c r="E23" s="56" t="s">
        <v>101</v>
      </c>
      <c r="F23" s="82">
        <v>0</v>
      </c>
      <c r="G23" s="82">
        <v>0</v>
      </c>
      <c r="H23" s="82">
        <v>0</v>
      </c>
      <c r="I23" s="82">
        <v>0</v>
      </c>
      <c r="J23" s="82">
        <v>0</v>
      </c>
      <c r="K23" s="82">
        <v>0</v>
      </c>
      <c r="L23" s="82">
        <v>0</v>
      </c>
      <c r="M23" s="82">
        <v>0</v>
      </c>
      <c r="N23" s="82">
        <v>0</v>
      </c>
      <c r="O23" s="82">
        <v>0</v>
      </c>
      <c r="P23" s="82">
        <v>0</v>
      </c>
      <c r="Q23" s="82">
        <v>0</v>
      </c>
      <c r="R23" s="82">
        <v>0</v>
      </c>
      <c r="S23" s="82">
        <v>0</v>
      </c>
      <c r="T23" s="82">
        <v>0</v>
      </c>
      <c r="U23" s="82">
        <v>0</v>
      </c>
      <c r="V23" s="82">
        <v>0</v>
      </c>
      <c r="W23" s="82">
        <v>0</v>
      </c>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row>
    <row r="24" spans="1:51">
      <c r="A24" s="103"/>
      <c r="B24" s="53" t="s">
        <v>101</v>
      </c>
      <c r="C24" s="73" t="s">
        <v>101</v>
      </c>
      <c r="D24" s="58" t="s">
        <v>112</v>
      </c>
      <c r="E24" s="56" t="s">
        <v>101</v>
      </c>
      <c r="F24" s="82">
        <v>0</v>
      </c>
      <c r="G24" s="82">
        <v>0</v>
      </c>
      <c r="H24" s="82">
        <v>0</v>
      </c>
      <c r="I24" s="82">
        <v>0</v>
      </c>
      <c r="J24" s="82">
        <v>0</v>
      </c>
      <c r="K24" s="82">
        <v>0</v>
      </c>
      <c r="L24" s="82">
        <v>0</v>
      </c>
      <c r="M24" s="82">
        <v>0</v>
      </c>
      <c r="N24" s="82">
        <v>0</v>
      </c>
      <c r="O24" s="82">
        <v>0</v>
      </c>
      <c r="P24" s="82">
        <v>0</v>
      </c>
      <c r="Q24" s="82">
        <v>0</v>
      </c>
      <c r="R24" s="82">
        <v>0</v>
      </c>
      <c r="S24" s="82">
        <v>0</v>
      </c>
      <c r="T24" s="82">
        <v>0</v>
      </c>
      <c r="U24" s="82">
        <v>0</v>
      </c>
      <c r="V24" s="82">
        <v>0</v>
      </c>
      <c r="W24" s="82">
        <v>0</v>
      </c>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row>
    <row r="25" spans="1:51">
      <c r="A25" s="103"/>
      <c r="B25" s="58" t="s">
        <v>101</v>
      </c>
      <c r="C25" s="71" t="s">
        <v>101</v>
      </c>
      <c r="D25" s="58" t="s">
        <v>114</v>
      </c>
      <c r="E25" s="56" t="s">
        <v>101</v>
      </c>
      <c r="F25" s="82">
        <v>0</v>
      </c>
      <c r="G25" s="82">
        <v>0</v>
      </c>
      <c r="H25" s="82">
        <v>0</v>
      </c>
      <c r="I25" s="82">
        <v>0</v>
      </c>
      <c r="J25" s="82">
        <v>0</v>
      </c>
      <c r="K25" s="82">
        <v>0</v>
      </c>
      <c r="L25" s="82">
        <v>0</v>
      </c>
      <c r="M25" s="82">
        <v>0</v>
      </c>
      <c r="N25" s="82">
        <v>0</v>
      </c>
      <c r="O25" s="82">
        <v>0</v>
      </c>
      <c r="P25" s="82">
        <v>0</v>
      </c>
      <c r="Q25" s="82">
        <v>0</v>
      </c>
      <c r="R25" s="82">
        <v>0</v>
      </c>
      <c r="S25" s="82">
        <v>0</v>
      </c>
      <c r="T25" s="82">
        <v>0</v>
      </c>
      <c r="U25" s="82">
        <v>0</v>
      </c>
      <c r="V25" s="82">
        <v>0</v>
      </c>
      <c r="W25" s="82">
        <v>0</v>
      </c>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row>
    <row r="26" spans="1:51">
      <c r="A26" s="103"/>
      <c r="B26" s="58" t="s">
        <v>101</v>
      </c>
      <c r="C26" s="71" t="s">
        <v>101</v>
      </c>
      <c r="D26" s="58" t="s">
        <v>116</v>
      </c>
      <c r="E26" s="56" t="s">
        <v>101</v>
      </c>
      <c r="F26" s="82">
        <v>0</v>
      </c>
      <c r="G26" s="82">
        <v>0</v>
      </c>
      <c r="H26" s="82">
        <v>0</v>
      </c>
      <c r="I26" s="82">
        <v>0</v>
      </c>
      <c r="J26" s="82">
        <v>0</v>
      </c>
      <c r="K26" s="82">
        <v>0</v>
      </c>
      <c r="L26" s="82">
        <v>0</v>
      </c>
      <c r="M26" s="82">
        <v>0</v>
      </c>
      <c r="N26" s="82">
        <v>0</v>
      </c>
      <c r="O26" s="82">
        <v>0</v>
      </c>
      <c r="P26" s="82">
        <v>0</v>
      </c>
      <c r="Q26" s="82">
        <v>0</v>
      </c>
      <c r="R26" s="82">
        <v>0</v>
      </c>
      <c r="S26" s="82">
        <v>0</v>
      </c>
      <c r="T26" s="82">
        <v>0</v>
      </c>
      <c r="U26" s="82">
        <v>0</v>
      </c>
      <c r="V26" s="82">
        <v>0</v>
      </c>
      <c r="W26" s="82">
        <v>0</v>
      </c>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row>
    <row r="27" spans="1:51">
      <c r="A27" s="103"/>
      <c r="B27" s="58" t="s">
        <v>107</v>
      </c>
      <c r="C27" s="72" t="s">
        <v>120</v>
      </c>
      <c r="D27" s="58" t="s">
        <v>103</v>
      </c>
      <c r="E27" s="56" t="s">
        <v>101</v>
      </c>
      <c r="F27" s="82">
        <v>0</v>
      </c>
      <c r="G27" s="82">
        <v>0</v>
      </c>
      <c r="H27" s="82">
        <v>0</v>
      </c>
      <c r="I27" s="82">
        <v>0</v>
      </c>
      <c r="J27" s="82">
        <v>0</v>
      </c>
      <c r="K27" s="82">
        <v>0</v>
      </c>
      <c r="L27" s="82">
        <v>0</v>
      </c>
      <c r="M27" s="82">
        <v>0</v>
      </c>
      <c r="N27" s="82">
        <v>0</v>
      </c>
      <c r="O27" s="82">
        <v>0</v>
      </c>
      <c r="P27" s="82">
        <v>0</v>
      </c>
      <c r="Q27" s="82">
        <v>0</v>
      </c>
      <c r="R27" s="82">
        <v>0</v>
      </c>
      <c r="S27" s="82">
        <v>0</v>
      </c>
      <c r="T27" s="82">
        <v>0</v>
      </c>
      <c r="U27" s="82">
        <v>0</v>
      </c>
      <c r="V27" s="82">
        <v>0</v>
      </c>
      <c r="W27" s="82">
        <v>0</v>
      </c>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row>
    <row r="28" spans="1:51">
      <c r="A28" s="103"/>
      <c r="B28" s="53" t="s">
        <v>101</v>
      </c>
      <c r="C28" s="57" t="s">
        <v>101</v>
      </c>
      <c r="D28" s="58" t="s">
        <v>106</v>
      </c>
      <c r="E28" s="56" t="s">
        <v>101</v>
      </c>
      <c r="F28" s="82">
        <v>0</v>
      </c>
      <c r="G28" s="82">
        <v>0</v>
      </c>
      <c r="H28" s="82">
        <v>0</v>
      </c>
      <c r="I28" s="82">
        <v>0</v>
      </c>
      <c r="J28" s="82">
        <v>0</v>
      </c>
      <c r="K28" s="82">
        <v>0</v>
      </c>
      <c r="L28" s="82">
        <v>0</v>
      </c>
      <c r="M28" s="82">
        <v>0</v>
      </c>
      <c r="N28" s="82">
        <v>0</v>
      </c>
      <c r="O28" s="82">
        <v>0</v>
      </c>
      <c r="P28" s="82">
        <v>0</v>
      </c>
      <c r="Q28" s="82">
        <v>0</v>
      </c>
      <c r="R28" s="82">
        <v>0</v>
      </c>
      <c r="S28" s="82">
        <v>0</v>
      </c>
      <c r="T28" s="82">
        <v>0</v>
      </c>
      <c r="U28" s="82">
        <v>0</v>
      </c>
      <c r="V28" s="82">
        <v>0</v>
      </c>
      <c r="W28" s="82">
        <v>0</v>
      </c>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row>
    <row r="29" spans="1:51">
      <c r="A29" s="103"/>
      <c r="B29" s="53" t="s">
        <v>101</v>
      </c>
      <c r="C29" s="57" t="s">
        <v>101</v>
      </c>
      <c r="D29" s="58" t="s">
        <v>108</v>
      </c>
      <c r="E29" s="56" t="s">
        <v>101</v>
      </c>
      <c r="F29" s="82">
        <v>0</v>
      </c>
      <c r="G29" s="82">
        <v>0</v>
      </c>
      <c r="H29" s="82">
        <v>0</v>
      </c>
      <c r="I29" s="82">
        <v>0</v>
      </c>
      <c r="J29" s="82">
        <v>0</v>
      </c>
      <c r="K29" s="82">
        <v>0</v>
      </c>
      <c r="L29" s="82">
        <v>0</v>
      </c>
      <c r="M29" s="82">
        <v>0</v>
      </c>
      <c r="N29" s="82">
        <v>0</v>
      </c>
      <c r="O29" s="82">
        <v>0</v>
      </c>
      <c r="P29" s="82">
        <v>0</v>
      </c>
      <c r="Q29" s="82">
        <v>0</v>
      </c>
      <c r="R29" s="82">
        <v>0</v>
      </c>
      <c r="S29" s="82">
        <v>0</v>
      </c>
      <c r="T29" s="82">
        <v>0</v>
      </c>
      <c r="U29" s="82">
        <v>0</v>
      </c>
      <c r="V29" s="82">
        <v>0</v>
      </c>
      <c r="W29" s="82">
        <v>0</v>
      </c>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row>
    <row r="30" spans="1:51">
      <c r="A30" s="103"/>
      <c r="B30" s="53" t="s">
        <v>101</v>
      </c>
      <c r="C30" s="57" t="s">
        <v>101</v>
      </c>
      <c r="D30" s="58" t="s">
        <v>110</v>
      </c>
      <c r="E30" s="56" t="s">
        <v>101</v>
      </c>
      <c r="F30" s="82">
        <v>0</v>
      </c>
      <c r="G30" s="82">
        <v>0</v>
      </c>
      <c r="H30" s="82">
        <v>0</v>
      </c>
      <c r="I30" s="82">
        <v>0</v>
      </c>
      <c r="J30" s="82">
        <v>0</v>
      </c>
      <c r="K30" s="82">
        <v>0</v>
      </c>
      <c r="L30" s="82">
        <v>0</v>
      </c>
      <c r="M30" s="82">
        <v>0</v>
      </c>
      <c r="N30" s="82">
        <v>0</v>
      </c>
      <c r="O30" s="82">
        <v>0</v>
      </c>
      <c r="P30" s="82">
        <v>0</v>
      </c>
      <c r="Q30" s="82">
        <v>0</v>
      </c>
      <c r="R30" s="21">
        <v>42</v>
      </c>
      <c r="S30" s="21">
        <v>26</v>
      </c>
      <c r="T30" s="21">
        <v>30</v>
      </c>
      <c r="U30" s="25">
        <v>35</v>
      </c>
      <c r="V30" s="79">
        <v>32</v>
      </c>
      <c r="W30" s="79">
        <v>48</v>
      </c>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row>
    <row r="31" spans="1:51">
      <c r="A31" s="103"/>
      <c r="B31" s="53" t="s">
        <v>101</v>
      </c>
      <c r="C31" s="57" t="s">
        <v>101</v>
      </c>
      <c r="D31" s="58" t="s">
        <v>112</v>
      </c>
      <c r="E31" s="56" t="s">
        <v>101</v>
      </c>
      <c r="F31" s="82">
        <v>0</v>
      </c>
      <c r="G31" s="82">
        <v>0</v>
      </c>
      <c r="H31" s="82">
        <v>0</v>
      </c>
      <c r="I31" s="82">
        <v>0</v>
      </c>
      <c r="J31" s="82">
        <v>0</v>
      </c>
      <c r="K31" s="82">
        <v>0</v>
      </c>
      <c r="L31" s="82">
        <v>0</v>
      </c>
      <c r="M31" s="82">
        <v>0</v>
      </c>
      <c r="N31" s="82">
        <v>0</v>
      </c>
      <c r="O31" s="82">
        <v>0</v>
      </c>
      <c r="P31" s="82">
        <v>0</v>
      </c>
      <c r="Q31" s="82">
        <v>0</v>
      </c>
      <c r="R31" s="82">
        <v>0</v>
      </c>
      <c r="S31" s="82">
        <v>0</v>
      </c>
      <c r="T31" s="82">
        <v>0</v>
      </c>
      <c r="U31" s="82">
        <v>0</v>
      </c>
      <c r="V31" s="82">
        <v>0</v>
      </c>
      <c r="W31" s="82">
        <v>0</v>
      </c>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row>
    <row r="32" spans="1:51">
      <c r="A32" s="103"/>
      <c r="B32" s="53" t="s">
        <v>101</v>
      </c>
      <c r="C32" s="57" t="s">
        <v>101</v>
      </c>
      <c r="D32" s="58" t="s">
        <v>114</v>
      </c>
      <c r="E32" s="56" t="s">
        <v>101</v>
      </c>
      <c r="F32" s="82">
        <v>0</v>
      </c>
      <c r="G32" s="82">
        <v>0</v>
      </c>
      <c r="H32" s="82">
        <v>0</v>
      </c>
      <c r="I32" s="82">
        <v>0</v>
      </c>
      <c r="J32" s="82">
        <v>0</v>
      </c>
      <c r="K32" s="82">
        <v>0</v>
      </c>
      <c r="L32" s="82">
        <v>0</v>
      </c>
      <c r="M32" s="82">
        <v>0</v>
      </c>
      <c r="N32" s="82">
        <v>0</v>
      </c>
      <c r="O32" s="82">
        <v>0</v>
      </c>
      <c r="P32" s="82">
        <v>0</v>
      </c>
      <c r="Q32" s="82">
        <v>0</v>
      </c>
      <c r="R32" s="82">
        <v>0</v>
      </c>
      <c r="S32" s="82">
        <v>0</v>
      </c>
      <c r="T32" s="82">
        <v>0</v>
      </c>
      <c r="U32" s="82">
        <v>0</v>
      </c>
      <c r="V32" s="82">
        <v>0</v>
      </c>
      <c r="W32" s="82">
        <v>0</v>
      </c>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row>
    <row r="33" spans="1:51">
      <c r="A33" s="103"/>
      <c r="B33" s="53" t="s">
        <v>101</v>
      </c>
      <c r="C33" s="57" t="s">
        <v>101</v>
      </c>
      <c r="D33" s="58" t="s">
        <v>116</v>
      </c>
      <c r="E33" s="56" t="s">
        <v>101</v>
      </c>
      <c r="F33" s="82">
        <v>0</v>
      </c>
      <c r="G33" s="82">
        <v>0</v>
      </c>
      <c r="H33" s="82">
        <v>0</v>
      </c>
      <c r="I33" s="82">
        <v>0</v>
      </c>
      <c r="J33" s="82">
        <v>0</v>
      </c>
      <c r="K33" s="82">
        <v>0</v>
      </c>
      <c r="L33" s="82">
        <v>0</v>
      </c>
      <c r="M33" s="82">
        <v>0</v>
      </c>
      <c r="N33" s="82">
        <v>0</v>
      </c>
      <c r="O33" s="82">
        <v>0</v>
      </c>
      <c r="P33" s="82">
        <v>0</v>
      </c>
      <c r="Q33" s="82">
        <v>0</v>
      </c>
      <c r="R33" s="82">
        <v>0</v>
      </c>
      <c r="S33" s="82">
        <v>0</v>
      </c>
      <c r="T33" s="82">
        <v>0</v>
      </c>
      <c r="U33" s="82">
        <v>0</v>
      </c>
      <c r="V33" s="82">
        <v>0</v>
      </c>
      <c r="W33" s="82">
        <v>0</v>
      </c>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row>
    <row r="34" spans="1:51">
      <c r="A34" s="103"/>
      <c r="B34" s="53" t="s">
        <v>109</v>
      </c>
      <c r="C34" s="57" t="s">
        <v>121</v>
      </c>
      <c r="D34" s="58" t="s">
        <v>103</v>
      </c>
      <c r="E34" s="56" t="s">
        <v>101</v>
      </c>
      <c r="F34" s="82">
        <v>0</v>
      </c>
      <c r="G34" s="82">
        <v>0</v>
      </c>
      <c r="H34" s="82">
        <v>0</v>
      </c>
      <c r="I34" s="82">
        <v>0</v>
      </c>
      <c r="J34" s="82">
        <v>0</v>
      </c>
      <c r="K34" s="82">
        <v>0</v>
      </c>
      <c r="L34" s="82">
        <v>0</v>
      </c>
      <c r="M34" s="82">
        <v>0</v>
      </c>
      <c r="N34" s="82">
        <v>0</v>
      </c>
      <c r="O34" s="82">
        <v>0</v>
      </c>
      <c r="P34" s="82">
        <v>0</v>
      </c>
      <c r="Q34" s="82">
        <v>0</v>
      </c>
      <c r="R34" s="82">
        <v>0</v>
      </c>
      <c r="S34" s="82">
        <v>0</v>
      </c>
      <c r="T34" s="82">
        <v>0</v>
      </c>
      <c r="U34" s="82">
        <v>0</v>
      </c>
      <c r="V34" s="82">
        <v>0</v>
      </c>
      <c r="W34" s="82">
        <v>0</v>
      </c>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row>
    <row r="35" spans="1:51">
      <c r="A35" s="103"/>
      <c r="B35" s="53" t="s">
        <v>101</v>
      </c>
      <c r="C35" s="53" t="s">
        <v>101</v>
      </c>
      <c r="D35" s="58" t="s">
        <v>106</v>
      </c>
      <c r="E35" s="56" t="s">
        <v>101</v>
      </c>
      <c r="F35" s="82">
        <v>0</v>
      </c>
      <c r="G35" s="82">
        <v>0</v>
      </c>
      <c r="H35" s="82">
        <v>0</v>
      </c>
      <c r="I35" s="82">
        <v>0</v>
      </c>
      <c r="J35" s="82">
        <v>0</v>
      </c>
      <c r="K35" s="82">
        <v>0</v>
      </c>
      <c r="L35" s="82">
        <v>0</v>
      </c>
      <c r="M35" s="82">
        <v>0</v>
      </c>
      <c r="N35" s="82">
        <v>0</v>
      </c>
      <c r="O35" s="82">
        <v>0</v>
      </c>
      <c r="P35" s="82">
        <v>0</v>
      </c>
      <c r="Q35" s="82">
        <v>0</v>
      </c>
      <c r="R35" s="82">
        <v>0</v>
      </c>
      <c r="S35" s="82">
        <v>0</v>
      </c>
      <c r="T35" s="82">
        <v>0</v>
      </c>
      <c r="U35" s="82">
        <v>0</v>
      </c>
      <c r="V35" s="82">
        <v>0</v>
      </c>
      <c r="W35" s="82">
        <v>0</v>
      </c>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row>
    <row r="36" spans="1:51">
      <c r="A36" s="103"/>
      <c r="B36" s="53" t="s">
        <v>101</v>
      </c>
      <c r="C36" s="53" t="s">
        <v>101</v>
      </c>
      <c r="D36" s="58" t="s">
        <v>108</v>
      </c>
      <c r="E36" s="56" t="s">
        <v>101</v>
      </c>
      <c r="F36" s="82">
        <v>0</v>
      </c>
      <c r="G36" s="82">
        <v>0</v>
      </c>
      <c r="H36" s="82">
        <v>0</v>
      </c>
      <c r="I36" s="82">
        <v>0</v>
      </c>
      <c r="J36" s="82">
        <v>0</v>
      </c>
      <c r="K36" s="82">
        <v>0</v>
      </c>
      <c r="L36" s="82">
        <v>0</v>
      </c>
      <c r="M36" s="82">
        <v>0</v>
      </c>
      <c r="N36" s="82">
        <v>0</v>
      </c>
      <c r="O36" s="82">
        <v>0</v>
      </c>
      <c r="P36" s="82">
        <v>0</v>
      </c>
      <c r="Q36" s="82">
        <v>0</v>
      </c>
      <c r="R36" s="82">
        <v>0</v>
      </c>
      <c r="S36" s="82">
        <v>0</v>
      </c>
      <c r="T36" s="82">
        <v>0</v>
      </c>
      <c r="U36" s="82">
        <v>0</v>
      </c>
      <c r="V36" s="82">
        <v>0</v>
      </c>
      <c r="W36" s="82">
        <v>0</v>
      </c>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row>
    <row r="37" spans="1:51">
      <c r="A37" s="103"/>
      <c r="B37" s="53" t="s">
        <v>101</v>
      </c>
      <c r="C37" s="53" t="s">
        <v>101</v>
      </c>
      <c r="D37" s="58" t="s">
        <v>110</v>
      </c>
      <c r="E37" s="56" t="s">
        <v>101</v>
      </c>
      <c r="F37" s="82">
        <v>0</v>
      </c>
      <c r="G37" s="82">
        <v>0</v>
      </c>
      <c r="H37" s="82">
        <v>0</v>
      </c>
      <c r="I37" s="82">
        <v>0</v>
      </c>
      <c r="J37" s="82">
        <v>0</v>
      </c>
      <c r="K37" s="82">
        <v>0</v>
      </c>
      <c r="L37" s="82">
        <v>0</v>
      </c>
      <c r="M37" s="82">
        <v>0</v>
      </c>
      <c r="N37" s="82">
        <v>0</v>
      </c>
      <c r="O37" s="82">
        <v>0</v>
      </c>
      <c r="P37" s="82">
        <v>0</v>
      </c>
      <c r="Q37" s="82">
        <v>0</v>
      </c>
      <c r="R37" s="82">
        <v>0</v>
      </c>
      <c r="S37" s="82">
        <v>0</v>
      </c>
      <c r="T37" s="82">
        <v>0</v>
      </c>
      <c r="U37" s="82">
        <v>0</v>
      </c>
      <c r="V37" s="82">
        <v>0</v>
      </c>
      <c r="W37" s="82">
        <v>0</v>
      </c>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row>
    <row r="38" spans="1:51">
      <c r="A38" s="103"/>
      <c r="B38" s="53" t="s">
        <v>101</v>
      </c>
      <c r="C38" s="53" t="s">
        <v>101</v>
      </c>
      <c r="D38" s="58" t="s">
        <v>112</v>
      </c>
      <c r="E38" s="56" t="s">
        <v>101</v>
      </c>
      <c r="F38" s="82">
        <v>0</v>
      </c>
      <c r="G38" s="82">
        <v>0</v>
      </c>
      <c r="H38" s="82">
        <v>0</v>
      </c>
      <c r="I38" s="82">
        <v>0</v>
      </c>
      <c r="J38" s="82">
        <v>0</v>
      </c>
      <c r="K38" s="82">
        <v>0</v>
      </c>
      <c r="L38" s="82">
        <v>0</v>
      </c>
      <c r="M38" s="82">
        <v>0</v>
      </c>
      <c r="N38" s="82">
        <v>0</v>
      </c>
      <c r="O38" s="82">
        <v>0</v>
      </c>
      <c r="P38" s="82">
        <v>0</v>
      </c>
      <c r="Q38" s="82">
        <v>0</v>
      </c>
      <c r="R38" s="82">
        <v>0</v>
      </c>
      <c r="S38" s="82">
        <v>0</v>
      </c>
      <c r="T38" s="82">
        <v>0</v>
      </c>
      <c r="U38" s="82">
        <v>0</v>
      </c>
      <c r="V38" s="82">
        <v>0</v>
      </c>
      <c r="W38" s="82">
        <v>0</v>
      </c>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row>
    <row r="39" spans="1:51">
      <c r="A39" s="103"/>
      <c r="B39" s="53" t="s">
        <v>101</v>
      </c>
      <c r="C39" s="53" t="s">
        <v>101</v>
      </c>
      <c r="D39" s="58" t="s">
        <v>114</v>
      </c>
      <c r="E39" s="56" t="s">
        <v>101</v>
      </c>
      <c r="F39" s="82">
        <v>0</v>
      </c>
      <c r="G39" s="82">
        <v>0</v>
      </c>
      <c r="H39" s="82">
        <v>0</v>
      </c>
      <c r="I39" s="82">
        <v>0</v>
      </c>
      <c r="J39" s="82">
        <v>0</v>
      </c>
      <c r="K39" s="82">
        <v>0</v>
      </c>
      <c r="L39" s="82">
        <v>0</v>
      </c>
      <c r="M39" s="82">
        <v>0</v>
      </c>
      <c r="N39" s="82">
        <v>0</v>
      </c>
      <c r="O39" s="82">
        <v>0</v>
      </c>
      <c r="P39" s="82">
        <v>0</v>
      </c>
      <c r="Q39" s="82">
        <v>0</v>
      </c>
      <c r="R39" s="82">
        <v>0</v>
      </c>
      <c r="S39" s="82">
        <v>0</v>
      </c>
      <c r="T39" s="82">
        <v>0</v>
      </c>
      <c r="U39" s="82">
        <v>0</v>
      </c>
      <c r="V39" s="82">
        <v>0</v>
      </c>
      <c r="W39" s="82">
        <v>0</v>
      </c>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row>
    <row r="40" spans="1:51">
      <c r="A40" s="103"/>
      <c r="B40" s="53" t="s">
        <v>101</v>
      </c>
      <c r="C40" s="53" t="s">
        <v>101</v>
      </c>
      <c r="D40" s="58" t="s">
        <v>116</v>
      </c>
      <c r="E40" s="56" t="s">
        <v>101</v>
      </c>
      <c r="F40" s="82">
        <v>0</v>
      </c>
      <c r="G40" s="82">
        <v>0</v>
      </c>
      <c r="H40" s="82">
        <v>0</v>
      </c>
      <c r="I40" s="82">
        <v>0</v>
      </c>
      <c r="J40" s="82">
        <v>0</v>
      </c>
      <c r="K40" s="82">
        <v>0</v>
      </c>
      <c r="L40" s="82">
        <v>0</v>
      </c>
      <c r="M40" s="82">
        <v>0</v>
      </c>
      <c r="N40" s="82">
        <v>0</v>
      </c>
      <c r="O40" s="82">
        <v>0</v>
      </c>
      <c r="P40" s="82">
        <v>0</v>
      </c>
      <c r="Q40" s="82">
        <v>0</v>
      </c>
      <c r="R40" s="82">
        <v>0</v>
      </c>
      <c r="S40" s="82">
        <v>0</v>
      </c>
      <c r="T40" s="82">
        <v>0</v>
      </c>
      <c r="U40" s="82">
        <v>0</v>
      </c>
      <c r="V40" s="82">
        <v>0</v>
      </c>
      <c r="W40" s="82">
        <v>0</v>
      </c>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row>
    <row r="41" spans="1:51">
      <c r="A41" s="103"/>
      <c r="B41" s="53" t="s">
        <v>111</v>
      </c>
      <c r="C41" s="57" t="s">
        <v>122</v>
      </c>
      <c r="D41" s="58" t="s">
        <v>103</v>
      </c>
      <c r="E41" s="56" t="s">
        <v>101</v>
      </c>
      <c r="F41" s="82">
        <v>0</v>
      </c>
      <c r="G41" s="82">
        <v>0</v>
      </c>
      <c r="H41" s="82">
        <v>0</v>
      </c>
      <c r="I41" s="82">
        <v>0</v>
      </c>
      <c r="J41" s="82">
        <v>0</v>
      </c>
      <c r="K41" s="82">
        <v>0</v>
      </c>
      <c r="L41" s="82">
        <v>0</v>
      </c>
      <c r="M41" s="82">
        <v>0</v>
      </c>
      <c r="N41" s="82">
        <v>0</v>
      </c>
      <c r="O41" s="82">
        <v>0</v>
      </c>
      <c r="P41" s="82">
        <v>0</v>
      </c>
      <c r="Q41" s="82">
        <v>0</v>
      </c>
      <c r="R41" s="82">
        <v>0</v>
      </c>
      <c r="S41" s="82">
        <v>0</v>
      </c>
      <c r="T41" s="82">
        <v>0</v>
      </c>
      <c r="U41" s="82">
        <v>0</v>
      </c>
      <c r="V41" s="82">
        <v>0</v>
      </c>
      <c r="W41" s="82">
        <v>0</v>
      </c>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row>
    <row r="42" spans="1:51">
      <c r="A42" s="103"/>
      <c r="B42" s="60" t="s">
        <v>101</v>
      </c>
      <c r="C42" s="61" t="s">
        <v>101</v>
      </c>
      <c r="D42" s="58" t="s">
        <v>106</v>
      </c>
      <c r="E42" s="56" t="s">
        <v>101</v>
      </c>
      <c r="F42" s="82">
        <v>0</v>
      </c>
      <c r="G42" s="82">
        <v>0</v>
      </c>
      <c r="H42" s="82">
        <v>0</v>
      </c>
      <c r="I42" s="82">
        <v>0</v>
      </c>
      <c r="J42" s="82">
        <v>0</v>
      </c>
      <c r="K42" s="82">
        <v>0</v>
      </c>
      <c r="L42" s="82">
        <v>0</v>
      </c>
      <c r="M42" s="82">
        <v>0</v>
      </c>
      <c r="N42" s="82">
        <v>0</v>
      </c>
      <c r="O42" s="82">
        <v>0</v>
      </c>
      <c r="P42" s="82">
        <v>0</v>
      </c>
      <c r="Q42" s="82">
        <v>0</v>
      </c>
      <c r="R42" s="82">
        <v>0</v>
      </c>
      <c r="S42" s="82">
        <v>0</v>
      </c>
      <c r="T42" s="82">
        <v>0</v>
      </c>
      <c r="U42" s="82">
        <v>0</v>
      </c>
      <c r="V42" s="82">
        <v>0</v>
      </c>
      <c r="W42" s="82">
        <v>0</v>
      </c>
      <c r="X42" s="49" t="s">
        <v>101</v>
      </c>
      <c r="Y42" s="49" t="s">
        <v>101</v>
      </c>
      <c r="Z42" s="49" t="s">
        <v>101</v>
      </c>
      <c r="AA42" s="49" t="s">
        <v>101</v>
      </c>
      <c r="AB42" s="49" t="s">
        <v>101</v>
      </c>
      <c r="AC42" s="49" t="s">
        <v>101</v>
      </c>
      <c r="AD42" s="49" t="s">
        <v>101</v>
      </c>
      <c r="AE42" s="49" t="s">
        <v>101</v>
      </c>
      <c r="AF42" s="49" t="s">
        <v>101</v>
      </c>
      <c r="AG42" s="49" t="s">
        <v>101</v>
      </c>
      <c r="AH42" s="49" t="s">
        <v>101</v>
      </c>
      <c r="AI42" s="49" t="s">
        <v>101</v>
      </c>
      <c r="AJ42" s="49" t="s">
        <v>101</v>
      </c>
      <c r="AK42" s="49" t="s">
        <v>101</v>
      </c>
      <c r="AL42" s="49" t="s">
        <v>101</v>
      </c>
      <c r="AM42" s="49" t="s">
        <v>101</v>
      </c>
      <c r="AN42" s="49" t="s">
        <v>101</v>
      </c>
      <c r="AO42" s="49" t="s">
        <v>101</v>
      </c>
      <c r="AP42" s="49" t="s">
        <v>101</v>
      </c>
      <c r="AQ42" s="49" t="s">
        <v>101</v>
      </c>
      <c r="AR42" s="49" t="s">
        <v>101</v>
      </c>
      <c r="AS42" s="49" t="s">
        <v>101</v>
      </c>
      <c r="AT42" s="49" t="s">
        <v>101</v>
      </c>
      <c r="AU42" s="49" t="s">
        <v>101</v>
      </c>
      <c r="AV42" s="49" t="s">
        <v>101</v>
      </c>
      <c r="AW42" s="49" t="s">
        <v>101</v>
      </c>
      <c r="AX42" s="49"/>
      <c r="AY42" s="49"/>
    </row>
    <row r="43" spans="1:51">
      <c r="A43" s="103"/>
      <c r="B43" s="60" t="s">
        <v>101</v>
      </c>
      <c r="C43" s="61" t="s">
        <v>101</v>
      </c>
      <c r="D43" s="58" t="s">
        <v>108</v>
      </c>
      <c r="E43" s="56" t="s">
        <v>101</v>
      </c>
      <c r="F43" s="82">
        <v>0</v>
      </c>
      <c r="G43" s="82">
        <v>0</v>
      </c>
      <c r="H43" s="82">
        <v>0</v>
      </c>
      <c r="I43" s="82">
        <v>0</v>
      </c>
      <c r="J43" s="82">
        <v>0</v>
      </c>
      <c r="K43" s="82">
        <v>0</v>
      </c>
      <c r="L43" s="82">
        <v>0</v>
      </c>
      <c r="M43" s="82">
        <v>0</v>
      </c>
      <c r="N43" s="82">
        <v>0</v>
      </c>
      <c r="O43" s="82">
        <v>0</v>
      </c>
      <c r="P43" s="82">
        <v>0</v>
      </c>
      <c r="Q43" s="82">
        <v>0</v>
      </c>
      <c r="R43" s="82">
        <v>0</v>
      </c>
      <c r="S43" s="82">
        <v>0</v>
      </c>
      <c r="T43" s="82">
        <v>0</v>
      </c>
      <c r="U43" s="82">
        <v>0</v>
      </c>
      <c r="V43" s="82">
        <v>0</v>
      </c>
      <c r="W43" s="82">
        <v>0</v>
      </c>
      <c r="X43" s="49" t="s">
        <v>101</v>
      </c>
      <c r="Y43" s="49" t="s">
        <v>101</v>
      </c>
      <c r="Z43" s="49" t="s">
        <v>101</v>
      </c>
      <c r="AA43" s="49" t="s">
        <v>101</v>
      </c>
      <c r="AB43" s="49" t="s">
        <v>101</v>
      </c>
      <c r="AC43" s="49" t="s">
        <v>101</v>
      </c>
      <c r="AD43" s="49" t="s">
        <v>101</v>
      </c>
      <c r="AE43" s="49" t="s">
        <v>101</v>
      </c>
      <c r="AF43" s="49" t="s">
        <v>101</v>
      </c>
      <c r="AG43" s="49" t="s">
        <v>101</v>
      </c>
      <c r="AH43" s="49" t="s">
        <v>101</v>
      </c>
      <c r="AI43" s="49" t="s">
        <v>101</v>
      </c>
      <c r="AJ43" s="49" t="s">
        <v>101</v>
      </c>
      <c r="AK43" s="49" t="s">
        <v>101</v>
      </c>
      <c r="AL43" s="49" t="s">
        <v>101</v>
      </c>
      <c r="AM43" s="49" t="s">
        <v>101</v>
      </c>
      <c r="AN43" s="49" t="s">
        <v>101</v>
      </c>
      <c r="AO43" s="49" t="s">
        <v>101</v>
      </c>
      <c r="AP43" s="49" t="s">
        <v>101</v>
      </c>
      <c r="AQ43" s="49" t="s">
        <v>101</v>
      </c>
      <c r="AR43" s="49" t="s">
        <v>101</v>
      </c>
      <c r="AS43" s="49" t="s">
        <v>101</v>
      </c>
      <c r="AT43" s="49" t="s">
        <v>101</v>
      </c>
      <c r="AU43" s="49" t="s">
        <v>101</v>
      </c>
      <c r="AV43" s="49" t="s">
        <v>101</v>
      </c>
      <c r="AW43" s="49" t="s">
        <v>101</v>
      </c>
      <c r="AX43" s="49"/>
      <c r="AY43" s="49"/>
    </row>
    <row r="44" spans="1:51">
      <c r="A44" s="103"/>
      <c r="B44" s="60" t="s">
        <v>101</v>
      </c>
      <c r="C44" s="61" t="s">
        <v>101</v>
      </c>
      <c r="D44" s="58" t="s">
        <v>110</v>
      </c>
      <c r="E44" s="56" t="s">
        <v>101</v>
      </c>
      <c r="F44" s="82">
        <v>0</v>
      </c>
      <c r="G44" s="82">
        <v>0</v>
      </c>
      <c r="H44" s="82">
        <v>0</v>
      </c>
      <c r="I44" s="82">
        <v>0</v>
      </c>
      <c r="J44" s="82">
        <v>0</v>
      </c>
      <c r="K44" s="82">
        <v>0</v>
      </c>
      <c r="L44" s="82">
        <v>0</v>
      </c>
      <c r="M44" s="82">
        <v>0</v>
      </c>
      <c r="N44" s="82">
        <v>0</v>
      </c>
      <c r="O44" s="82">
        <v>0</v>
      </c>
      <c r="P44" s="82">
        <v>0</v>
      </c>
      <c r="Q44" s="82">
        <v>0</v>
      </c>
      <c r="R44" s="82">
        <v>0</v>
      </c>
      <c r="S44" s="82">
        <v>0</v>
      </c>
      <c r="T44" s="82">
        <v>0</v>
      </c>
      <c r="U44" s="82">
        <v>0</v>
      </c>
      <c r="V44" s="82">
        <v>0</v>
      </c>
      <c r="W44" s="82">
        <v>0</v>
      </c>
      <c r="X44" s="49" t="s">
        <v>101</v>
      </c>
      <c r="Y44" s="49" t="s">
        <v>101</v>
      </c>
      <c r="Z44" s="49" t="s">
        <v>101</v>
      </c>
      <c r="AA44" s="49" t="s">
        <v>101</v>
      </c>
      <c r="AB44" s="49" t="s">
        <v>101</v>
      </c>
      <c r="AC44" s="49" t="s">
        <v>101</v>
      </c>
      <c r="AD44" s="49" t="s">
        <v>101</v>
      </c>
      <c r="AE44" s="49" t="s">
        <v>101</v>
      </c>
      <c r="AF44" s="49" t="s">
        <v>101</v>
      </c>
      <c r="AG44" s="49" t="s">
        <v>101</v>
      </c>
      <c r="AH44" s="49" t="s">
        <v>101</v>
      </c>
      <c r="AI44" s="49" t="s">
        <v>101</v>
      </c>
      <c r="AJ44" s="49" t="s">
        <v>101</v>
      </c>
      <c r="AK44" s="49" t="s">
        <v>101</v>
      </c>
      <c r="AL44" s="49" t="s">
        <v>101</v>
      </c>
      <c r="AM44" s="49" t="s">
        <v>101</v>
      </c>
      <c r="AN44" s="49" t="s">
        <v>101</v>
      </c>
      <c r="AO44" s="49" t="s">
        <v>101</v>
      </c>
      <c r="AP44" s="49" t="s">
        <v>101</v>
      </c>
      <c r="AQ44" s="49" t="s">
        <v>101</v>
      </c>
      <c r="AR44" s="49" t="s">
        <v>101</v>
      </c>
      <c r="AS44" s="49" t="s">
        <v>101</v>
      </c>
      <c r="AT44" s="49" t="s">
        <v>101</v>
      </c>
      <c r="AU44" s="49" t="s">
        <v>101</v>
      </c>
      <c r="AV44" s="49" t="s">
        <v>101</v>
      </c>
      <c r="AW44" s="49" t="s">
        <v>101</v>
      </c>
      <c r="AX44" s="49"/>
      <c r="AY44" s="49"/>
    </row>
    <row r="45" spans="1:51">
      <c r="A45" s="103"/>
      <c r="B45" s="60" t="s">
        <v>101</v>
      </c>
      <c r="C45" s="61" t="s">
        <v>101</v>
      </c>
      <c r="D45" s="58" t="s">
        <v>112</v>
      </c>
      <c r="E45" s="56" t="s">
        <v>101</v>
      </c>
      <c r="F45" s="82">
        <v>0</v>
      </c>
      <c r="G45" s="82">
        <v>0</v>
      </c>
      <c r="H45" s="82">
        <v>0</v>
      </c>
      <c r="I45" s="82">
        <v>0</v>
      </c>
      <c r="J45" s="82">
        <v>0</v>
      </c>
      <c r="K45" s="82">
        <v>0</v>
      </c>
      <c r="L45" s="82">
        <v>0</v>
      </c>
      <c r="M45" s="82">
        <v>0</v>
      </c>
      <c r="N45" s="82">
        <v>0</v>
      </c>
      <c r="O45" s="82">
        <v>0</v>
      </c>
      <c r="P45" s="82">
        <v>0</v>
      </c>
      <c r="Q45" s="82">
        <v>0</v>
      </c>
      <c r="R45" s="82">
        <v>0</v>
      </c>
      <c r="S45" s="82">
        <v>0</v>
      </c>
      <c r="T45" s="82">
        <v>0</v>
      </c>
      <c r="U45" s="82">
        <v>0</v>
      </c>
      <c r="V45" s="82">
        <v>0</v>
      </c>
      <c r="W45" s="82">
        <v>0</v>
      </c>
      <c r="X45" s="49" t="s">
        <v>101</v>
      </c>
      <c r="Y45" s="49" t="s">
        <v>101</v>
      </c>
      <c r="Z45" s="49" t="s">
        <v>101</v>
      </c>
      <c r="AA45" s="49" t="s">
        <v>101</v>
      </c>
      <c r="AB45" s="49" t="s">
        <v>101</v>
      </c>
      <c r="AC45" s="49" t="s">
        <v>101</v>
      </c>
      <c r="AD45" s="49" t="s">
        <v>101</v>
      </c>
      <c r="AE45" s="49" t="s">
        <v>101</v>
      </c>
      <c r="AF45" s="49" t="s">
        <v>101</v>
      </c>
      <c r="AG45" s="49" t="s">
        <v>101</v>
      </c>
      <c r="AH45" s="49" t="s">
        <v>101</v>
      </c>
      <c r="AI45" s="49" t="s">
        <v>101</v>
      </c>
      <c r="AJ45" s="49" t="s">
        <v>101</v>
      </c>
      <c r="AK45" s="49" t="s">
        <v>101</v>
      </c>
      <c r="AL45" s="49" t="s">
        <v>101</v>
      </c>
      <c r="AM45" s="49" t="s">
        <v>101</v>
      </c>
      <c r="AN45" s="49" t="s">
        <v>101</v>
      </c>
      <c r="AO45" s="49" t="s">
        <v>101</v>
      </c>
      <c r="AP45" s="49" t="s">
        <v>101</v>
      </c>
      <c r="AQ45" s="49" t="s">
        <v>101</v>
      </c>
      <c r="AR45" s="49" t="s">
        <v>101</v>
      </c>
      <c r="AS45" s="49" t="s">
        <v>101</v>
      </c>
      <c r="AT45" s="49" t="s">
        <v>101</v>
      </c>
      <c r="AU45" s="49" t="s">
        <v>101</v>
      </c>
      <c r="AV45" s="49" t="s">
        <v>101</v>
      </c>
      <c r="AW45" s="49" t="s">
        <v>101</v>
      </c>
      <c r="AX45" s="49"/>
      <c r="AY45" s="49"/>
    </row>
    <row r="46" spans="1:51">
      <c r="A46" s="103"/>
      <c r="B46" s="60" t="s">
        <v>101</v>
      </c>
      <c r="C46" s="61" t="s">
        <v>101</v>
      </c>
      <c r="D46" s="58" t="s">
        <v>114</v>
      </c>
      <c r="E46" s="56" t="s">
        <v>101</v>
      </c>
      <c r="F46" s="82">
        <v>0</v>
      </c>
      <c r="G46" s="82">
        <v>0</v>
      </c>
      <c r="H46" s="82">
        <v>0</v>
      </c>
      <c r="I46" s="82">
        <v>0</v>
      </c>
      <c r="J46" s="82">
        <v>0</v>
      </c>
      <c r="K46" s="82">
        <v>0</v>
      </c>
      <c r="L46" s="82">
        <v>0</v>
      </c>
      <c r="M46" s="82">
        <v>0</v>
      </c>
      <c r="N46" s="82">
        <v>0</v>
      </c>
      <c r="O46" s="82">
        <v>0</v>
      </c>
      <c r="P46" s="82">
        <v>0</v>
      </c>
      <c r="Q46" s="82">
        <v>0</v>
      </c>
      <c r="R46" s="82">
        <v>0</v>
      </c>
      <c r="S46" s="82">
        <v>0</v>
      </c>
      <c r="T46" s="82">
        <v>0</v>
      </c>
      <c r="U46" s="82">
        <v>0</v>
      </c>
      <c r="V46" s="82">
        <v>0</v>
      </c>
      <c r="W46" s="82">
        <v>0</v>
      </c>
      <c r="X46" s="49" t="s">
        <v>101</v>
      </c>
      <c r="Y46" s="49" t="s">
        <v>101</v>
      </c>
      <c r="Z46" s="49" t="s">
        <v>101</v>
      </c>
      <c r="AA46" s="49" t="s">
        <v>101</v>
      </c>
      <c r="AB46" s="49" t="s">
        <v>101</v>
      </c>
      <c r="AC46" s="49" t="s">
        <v>101</v>
      </c>
      <c r="AD46" s="49" t="s">
        <v>101</v>
      </c>
      <c r="AE46" s="49" t="s">
        <v>101</v>
      </c>
      <c r="AF46" s="49" t="s">
        <v>101</v>
      </c>
      <c r="AG46" s="49" t="s">
        <v>101</v>
      </c>
      <c r="AH46" s="49" t="s">
        <v>101</v>
      </c>
      <c r="AI46" s="49" t="s">
        <v>101</v>
      </c>
      <c r="AJ46" s="49" t="s">
        <v>101</v>
      </c>
      <c r="AK46" s="49" t="s">
        <v>101</v>
      </c>
      <c r="AL46" s="49" t="s">
        <v>101</v>
      </c>
      <c r="AM46" s="49" t="s">
        <v>101</v>
      </c>
      <c r="AN46" s="49" t="s">
        <v>101</v>
      </c>
      <c r="AO46" s="49" t="s">
        <v>101</v>
      </c>
      <c r="AP46" s="49" t="s">
        <v>101</v>
      </c>
      <c r="AQ46" s="49" t="s">
        <v>101</v>
      </c>
      <c r="AR46" s="49" t="s">
        <v>101</v>
      </c>
      <c r="AS46" s="49" t="s">
        <v>101</v>
      </c>
      <c r="AT46" s="49" t="s">
        <v>101</v>
      </c>
      <c r="AU46" s="49" t="s">
        <v>101</v>
      </c>
      <c r="AV46" s="49" t="s">
        <v>101</v>
      </c>
      <c r="AW46" s="49" t="s">
        <v>101</v>
      </c>
      <c r="AX46" s="49"/>
      <c r="AY46" s="49"/>
    </row>
    <row r="47" spans="1:51">
      <c r="A47" s="103"/>
      <c r="B47" s="60" t="s">
        <v>101</v>
      </c>
      <c r="C47" s="61" t="s">
        <v>101</v>
      </c>
      <c r="D47" s="58" t="s">
        <v>116</v>
      </c>
      <c r="E47" s="56" t="s">
        <v>101</v>
      </c>
      <c r="F47" s="82">
        <v>0</v>
      </c>
      <c r="G47" s="82">
        <v>0</v>
      </c>
      <c r="H47" s="82">
        <v>0</v>
      </c>
      <c r="I47" s="82">
        <v>0</v>
      </c>
      <c r="J47" s="82">
        <v>0</v>
      </c>
      <c r="K47" s="82">
        <v>0</v>
      </c>
      <c r="L47" s="82">
        <v>0</v>
      </c>
      <c r="M47" s="82">
        <v>0</v>
      </c>
      <c r="N47" s="82">
        <v>0</v>
      </c>
      <c r="O47" s="82">
        <v>0</v>
      </c>
      <c r="P47" s="82">
        <v>0</v>
      </c>
      <c r="Q47" s="82">
        <v>0</v>
      </c>
      <c r="R47" s="82">
        <v>0</v>
      </c>
      <c r="S47" s="82">
        <v>0</v>
      </c>
      <c r="T47" s="82">
        <v>0</v>
      </c>
      <c r="U47" s="82">
        <v>0</v>
      </c>
      <c r="V47" s="82">
        <v>0</v>
      </c>
      <c r="W47" s="82">
        <v>0</v>
      </c>
      <c r="X47" s="49" t="s">
        <v>101</v>
      </c>
      <c r="Y47" s="49" t="s">
        <v>101</v>
      </c>
      <c r="Z47" s="49" t="s">
        <v>101</v>
      </c>
      <c r="AA47" s="49" t="s">
        <v>101</v>
      </c>
      <c r="AB47" s="49" t="s">
        <v>101</v>
      </c>
      <c r="AC47" s="49" t="s">
        <v>101</v>
      </c>
      <c r="AD47" s="49" t="s">
        <v>101</v>
      </c>
      <c r="AE47" s="49" t="s">
        <v>101</v>
      </c>
      <c r="AF47" s="49" t="s">
        <v>101</v>
      </c>
      <c r="AG47" s="49" t="s">
        <v>101</v>
      </c>
      <c r="AH47" s="49" t="s">
        <v>101</v>
      </c>
      <c r="AI47" s="49" t="s">
        <v>101</v>
      </c>
      <c r="AJ47" s="49" t="s">
        <v>101</v>
      </c>
      <c r="AK47" s="49" t="s">
        <v>101</v>
      </c>
      <c r="AL47" s="49" t="s">
        <v>101</v>
      </c>
      <c r="AM47" s="49" t="s">
        <v>101</v>
      </c>
      <c r="AN47" s="49" t="s">
        <v>101</v>
      </c>
      <c r="AO47" s="49" t="s">
        <v>101</v>
      </c>
      <c r="AP47" s="49" t="s">
        <v>101</v>
      </c>
      <c r="AQ47" s="49" t="s">
        <v>101</v>
      </c>
      <c r="AR47" s="49" t="s">
        <v>101</v>
      </c>
      <c r="AS47" s="49" t="s">
        <v>101</v>
      </c>
      <c r="AT47" s="49" t="s">
        <v>101</v>
      </c>
      <c r="AU47" s="49" t="s">
        <v>101</v>
      </c>
      <c r="AV47" s="49" t="s">
        <v>101</v>
      </c>
      <c r="AW47" s="49" t="s">
        <v>101</v>
      </c>
      <c r="AX47" s="49"/>
      <c r="AY47" s="49"/>
    </row>
    <row r="48" spans="1:51">
      <c r="A48" s="103"/>
      <c r="B48" s="60" t="s">
        <v>113</v>
      </c>
      <c r="C48" s="61" t="s">
        <v>123</v>
      </c>
      <c r="D48" s="62" t="s">
        <v>103</v>
      </c>
      <c r="E48" s="56" t="s">
        <v>101</v>
      </c>
      <c r="F48" s="82">
        <v>0</v>
      </c>
      <c r="G48" s="82">
        <v>0</v>
      </c>
      <c r="H48" s="82">
        <v>0</v>
      </c>
      <c r="I48" s="82">
        <v>0</v>
      </c>
      <c r="J48" s="82">
        <v>0</v>
      </c>
      <c r="K48" s="82">
        <v>0</v>
      </c>
      <c r="L48" s="82">
        <v>0</v>
      </c>
      <c r="M48" s="82">
        <v>0</v>
      </c>
      <c r="N48" s="82">
        <v>0</v>
      </c>
      <c r="O48" s="82">
        <v>0</v>
      </c>
      <c r="P48" s="82">
        <v>0</v>
      </c>
      <c r="Q48" s="82">
        <v>0</v>
      </c>
      <c r="R48" s="82">
        <v>0</v>
      </c>
      <c r="S48" s="82">
        <v>0</v>
      </c>
      <c r="T48" s="82">
        <v>0</v>
      </c>
      <c r="U48" s="82">
        <v>0</v>
      </c>
      <c r="V48" s="82">
        <v>0</v>
      </c>
      <c r="W48" s="82">
        <v>0</v>
      </c>
      <c r="X48" s="49" t="s">
        <v>101</v>
      </c>
      <c r="Y48" s="49" t="s">
        <v>101</v>
      </c>
      <c r="Z48" s="49" t="s">
        <v>101</v>
      </c>
      <c r="AA48" s="49" t="s">
        <v>101</v>
      </c>
      <c r="AB48" s="49" t="s">
        <v>101</v>
      </c>
      <c r="AC48" s="49" t="s">
        <v>101</v>
      </c>
      <c r="AD48" s="49" t="s">
        <v>101</v>
      </c>
      <c r="AE48" s="49" t="s">
        <v>101</v>
      </c>
      <c r="AF48" s="49" t="s">
        <v>101</v>
      </c>
      <c r="AG48" s="49" t="s">
        <v>101</v>
      </c>
      <c r="AH48" s="49" t="s">
        <v>101</v>
      </c>
      <c r="AI48" s="49" t="s">
        <v>101</v>
      </c>
      <c r="AJ48" s="49" t="s">
        <v>101</v>
      </c>
      <c r="AK48" s="49" t="s">
        <v>101</v>
      </c>
      <c r="AL48" s="49" t="s">
        <v>101</v>
      </c>
      <c r="AM48" s="49" t="s">
        <v>101</v>
      </c>
      <c r="AN48" s="49" t="s">
        <v>101</v>
      </c>
      <c r="AO48" s="49" t="s">
        <v>101</v>
      </c>
      <c r="AP48" s="49" t="s">
        <v>101</v>
      </c>
      <c r="AQ48" s="49" t="s">
        <v>101</v>
      </c>
      <c r="AR48" s="49" t="s">
        <v>101</v>
      </c>
      <c r="AS48" s="49" t="s">
        <v>101</v>
      </c>
      <c r="AT48" s="49" t="s">
        <v>101</v>
      </c>
      <c r="AU48" s="49" t="s">
        <v>101</v>
      </c>
      <c r="AV48" s="49" t="s">
        <v>101</v>
      </c>
      <c r="AW48" s="49" t="s">
        <v>101</v>
      </c>
      <c r="AX48" s="49"/>
      <c r="AY48" s="49"/>
    </row>
    <row r="49" spans="1:51">
      <c r="A49" s="103"/>
      <c r="B49" s="60" t="s">
        <v>101</v>
      </c>
      <c r="C49" s="61" t="s">
        <v>101</v>
      </c>
      <c r="D49" s="62" t="s">
        <v>106</v>
      </c>
      <c r="E49" s="56" t="s">
        <v>101</v>
      </c>
      <c r="F49" s="82">
        <v>0</v>
      </c>
      <c r="G49" s="82">
        <v>0</v>
      </c>
      <c r="H49" s="82">
        <v>0</v>
      </c>
      <c r="I49" s="82">
        <v>0</v>
      </c>
      <c r="J49" s="82">
        <v>0</v>
      </c>
      <c r="K49" s="82">
        <v>0</v>
      </c>
      <c r="L49" s="82">
        <v>0</v>
      </c>
      <c r="M49" s="82">
        <v>0</v>
      </c>
      <c r="N49" s="82">
        <v>0</v>
      </c>
      <c r="O49" s="82">
        <v>0</v>
      </c>
      <c r="P49" s="82">
        <v>0</v>
      </c>
      <c r="Q49" s="82">
        <v>0</v>
      </c>
      <c r="R49" s="82">
        <v>0</v>
      </c>
      <c r="S49" s="82">
        <v>0</v>
      </c>
      <c r="T49" s="82">
        <v>0</v>
      </c>
      <c r="U49" s="82">
        <v>0</v>
      </c>
      <c r="V49" s="82">
        <v>0</v>
      </c>
      <c r="W49" s="82">
        <v>0</v>
      </c>
      <c r="X49" s="49" t="s">
        <v>101</v>
      </c>
      <c r="Y49" s="49" t="s">
        <v>101</v>
      </c>
      <c r="Z49" s="49" t="s">
        <v>101</v>
      </c>
      <c r="AA49" s="49" t="s">
        <v>101</v>
      </c>
      <c r="AB49" s="49" t="s">
        <v>101</v>
      </c>
      <c r="AC49" s="49" t="s">
        <v>101</v>
      </c>
      <c r="AD49" s="49" t="s">
        <v>101</v>
      </c>
      <c r="AE49" s="49" t="s">
        <v>101</v>
      </c>
      <c r="AF49" s="49" t="s">
        <v>101</v>
      </c>
      <c r="AG49" s="49" t="s">
        <v>101</v>
      </c>
      <c r="AH49" s="49" t="s">
        <v>101</v>
      </c>
      <c r="AI49" s="49" t="s">
        <v>101</v>
      </c>
      <c r="AJ49" s="49" t="s">
        <v>101</v>
      </c>
      <c r="AK49" s="49" t="s">
        <v>101</v>
      </c>
      <c r="AL49" s="49" t="s">
        <v>101</v>
      </c>
      <c r="AM49" s="49" t="s">
        <v>101</v>
      </c>
      <c r="AN49" s="49" t="s">
        <v>101</v>
      </c>
      <c r="AO49" s="49" t="s">
        <v>101</v>
      </c>
      <c r="AP49" s="49" t="s">
        <v>101</v>
      </c>
      <c r="AQ49" s="49" t="s">
        <v>101</v>
      </c>
      <c r="AR49" s="49" t="s">
        <v>101</v>
      </c>
      <c r="AS49" s="49" t="s">
        <v>101</v>
      </c>
      <c r="AT49" s="49" t="s">
        <v>101</v>
      </c>
      <c r="AU49" s="49" t="s">
        <v>101</v>
      </c>
      <c r="AV49" s="49" t="s">
        <v>101</v>
      </c>
      <c r="AW49" s="49" t="s">
        <v>101</v>
      </c>
      <c r="AX49" s="49"/>
      <c r="AY49" s="49"/>
    </row>
    <row r="50" spans="1:51">
      <c r="A50" s="103"/>
      <c r="B50" s="60" t="s">
        <v>101</v>
      </c>
      <c r="C50" s="61" t="s">
        <v>101</v>
      </c>
      <c r="D50" s="62" t="s">
        <v>108</v>
      </c>
      <c r="E50" s="56" t="s">
        <v>101</v>
      </c>
      <c r="F50" s="82">
        <v>0</v>
      </c>
      <c r="G50" s="82">
        <v>0</v>
      </c>
      <c r="H50" s="82">
        <v>0</v>
      </c>
      <c r="I50" s="82">
        <v>0</v>
      </c>
      <c r="J50" s="82">
        <v>0</v>
      </c>
      <c r="K50" s="82">
        <v>0</v>
      </c>
      <c r="L50" s="82">
        <v>0</v>
      </c>
      <c r="M50" s="82">
        <v>0</v>
      </c>
      <c r="N50" s="82">
        <v>0</v>
      </c>
      <c r="O50" s="82">
        <v>0</v>
      </c>
      <c r="P50" s="82">
        <v>0</v>
      </c>
      <c r="Q50" s="82">
        <v>0</v>
      </c>
      <c r="R50" s="82">
        <v>0</v>
      </c>
      <c r="S50" s="82">
        <v>0</v>
      </c>
      <c r="T50" s="82">
        <v>0</v>
      </c>
      <c r="U50" s="82">
        <v>0</v>
      </c>
      <c r="V50" s="82">
        <v>0</v>
      </c>
      <c r="W50" s="82">
        <v>0</v>
      </c>
      <c r="X50" s="49" t="s">
        <v>101</v>
      </c>
      <c r="Y50" s="49" t="s">
        <v>101</v>
      </c>
      <c r="Z50" s="49" t="s">
        <v>101</v>
      </c>
      <c r="AA50" s="49" t="s">
        <v>101</v>
      </c>
      <c r="AB50" s="49" t="s">
        <v>101</v>
      </c>
      <c r="AC50" s="49" t="s">
        <v>101</v>
      </c>
      <c r="AD50" s="49" t="s">
        <v>101</v>
      </c>
      <c r="AE50" s="49" t="s">
        <v>101</v>
      </c>
      <c r="AF50" s="49" t="s">
        <v>101</v>
      </c>
      <c r="AG50" s="49" t="s">
        <v>101</v>
      </c>
      <c r="AH50" s="49" t="s">
        <v>101</v>
      </c>
      <c r="AI50" s="49" t="s">
        <v>101</v>
      </c>
      <c r="AJ50" s="49" t="s">
        <v>101</v>
      </c>
      <c r="AK50" s="49" t="s">
        <v>101</v>
      </c>
      <c r="AL50" s="49" t="s">
        <v>101</v>
      </c>
      <c r="AM50" s="49" t="s">
        <v>101</v>
      </c>
      <c r="AN50" s="49" t="s">
        <v>101</v>
      </c>
      <c r="AO50" s="49" t="s">
        <v>101</v>
      </c>
      <c r="AP50" s="49" t="s">
        <v>101</v>
      </c>
      <c r="AQ50" s="49" t="s">
        <v>101</v>
      </c>
      <c r="AR50" s="49" t="s">
        <v>101</v>
      </c>
      <c r="AS50" s="49" t="s">
        <v>101</v>
      </c>
      <c r="AT50" s="49" t="s">
        <v>101</v>
      </c>
      <c r="AU50" s="49" t="s">
        <v>101</v>
      </c>
      <c r="AV50" s="49" t="s">
        <v>101</v>
      </c>
      <c r="AW50" s="49" t="s">
        <v>101</v>
      </c>
      <c r="AX50" s="49"/>
      <c r="AY50" s="49"/>
    </row>
    <row r="51" spans="1:51">
      <c r="A51" s="103"/>
      <c r="B51" s="60" t="s">
        <v>101</v>
      </c>
      <c r="C51" s="61" t="s">
        <v>101</v>
      </c>
      <c r="D51" s="62" t="s">
        <v>110</v>
      </c>
      <c r="E51" s="56" t="s">
        <v>101</v>
      </c>
      <c r="F51" s="82">
        <v>0</v>
      </c>
      <c r="G51" s="82">
        <v>0</v>
      </c>
      <c r="H51" s="82">
        <v>0</v>
      </c>
      <c r="I51" s="82">
        <v>0</v>
      </c>
      <c r="J51" s="82">
        <v>0</v>
      </c>
      <c r="K51" s="82">
        <v>0</v>
      </c>
      <c r="L51" s="82">
        <v>0</v>
      </c>
      <c r="M51" s="82">
        <v>0</v>
      </c>
      <c r="N51" s="82">
        <v>0</v>
      </c>
      <c r="O51" s="82">
        <v>0</v>
      </c>
      <c r="P51" s="82">
        <v>0</v>
      </c>
      <c r="Q51" s="82">
        <v>0</v>
      </c>
      <c r="R51" s="82">
        <v>0</v>
      </c>
      <c r="S51" s="82">
        <v>0</v>
      </c>
      <c r="T51" s="82">
        <v>0</v>
      </c>
      <c r="U51" s="82">
        <v>0</v>
      </c>
      <c r="V51" s="82">
        <v>0</v>
      </c>
      <c r="W51" s="82">
        <v>0</v>
      </c>
      <c r="X51" s="49" t="s">
        <v>101</v>
      </c>
      <c r="Y51" s="49" t="s">
        <v>101</v>
      </c>
      <c r="Z51" s="49" t="s">
        <v>101</v>
      </c>
      <c r="AA51" s="49" t="s">
        <v>101</v>
      </c>
      <c r="AB51" s="49" t="s">
        <v>101</v>
      </c>
      <c r="AC51" s="49" t="s">
        <v>101</v>
      </c>
      <c r="AD51" s="49" t="s">
        <v>101</v>
      </c>
      <c r="AE51" s="49" t="s">
        <v>101</v>
      </c>
      <c r="AF51" s="49" t="s">
        <v>101</v>
      </c>
      <c r="AG51" s="49" t="s">
        <v>101</v>
      </c>
      <c r="AH51" s="49" t="s">
        <v>101</v>
      </c>
      <c r="AI51" s="49" t="s">
        <v>101</v>
      </c>
      <c r="AJ51" s="49" t="s">
        <v>101</v>
      </c>
      <c r="AK51" s="49" t="s">
        <v>101</v>
      </c>
      <c r="AL51" s="49" t="s">
        <v>101</v>
      </c>
      <c r="AM51" s="49" t="s">
        <v>101</v>
      </c>
      <c r="AN51" s="49" t="s">
        <v>101</v>
      </c>
      <c r="AO51" s="49" t="s">
        <v>101</v>
      </c>
      <c r="AP51" s="49" t="s">
        <v>101</v>
      </c>
      <c r="AQ51" s="49" t="s">
        <v>101</v>
      </c>
      <c r="AR51" s="49" t="s">
        <v>101</v>
      </c>
      <c r="AS51" s="49" t="s">
        <v>101</v>
      </c>
      <c r="AT51" s="49" t="s">
        <v>101</v>
      </c>
      <c r="AU51" s="49" t="s">
        <v>101</v>
      </c>
      <c r="AV51" s="49" t="s">
        <v>101</v>
      </c>
      <c r="AW51" s="49" t="s">
        <v>101</v>
      </c>
      <c r="AX51" s="49"/>
      <c r="AY51" s="49"/>
    </row>
    <row r="52" spans="1:51">
      <c r="A52" s="103"/>
      <c r="B52" s="60" t="s">
        <v>101</v>
      </c>
      <c r="C52" s="61" t="s">
        <v>101</v>
      </c>
      <c r="D52" s="62" t="s">
        <v>112</v>
      </c>
      <c r="E52" s="56" t="s">
        <v>101</v>
      </c>
      <c r="F52" s="82">
        <v>0</v>
      </c>
      <c r="G52" s="82">
        <v>0</v>
      </c>
      <c r="H52" s="82">
        <v>0</v>
      </c>
      <c r="I52" s="82">
        <v>0</v>
      </c>
      <c r="J52" s="82">
        <v>0</v>
      </c>
      <c r="K52" s="82">
        <v>0</v>
      </c>
      <c r="L52" s="82">
        <v>0</v>
      </c>
      <c r="M52" s="82">
        <v>0</v>
      </c>
      <c r="N52" s="82">
        <v>0</v>
      </c>
      <c r="O52" s="82">
        <v>0</v>
      </c>
      <c r="P52" s="82">
        <v>0</v>
      </c>
      <c r="Q52" s="82">
        <v>0</v>
      </c>
      <c r="R52" s="82">
        <v>0</v>
      </c>
      <c r="S52" s="82">
        <v>0</v>
      </c>
      <c r="T52" s="82">
        <v>0</v>
      </c>
      <c r="U52" s="82">
        <v>0</v>
      </c>
      <c r="V52" s="82">
        <v>0</v>
      </c>
      <c r="W52" s="82">
        <v>0</v>
      </c>
      <c r="X52" s="49" t="s">
        <v>101</v>
      </c>
      <c r="Y52" s="49" t="s">
        <v>101</v>
      </c>
      <c r="Z52" s="49" t="s">
        <v>101</v>
      </c>
      <c r="AA52" s="49" t="s">
        <v>101</v>
      </c>
      <c r="AB52" s="49" t="s">
        <v>101</v>
      </c>
      <c r="AC52" s="49" t="s">
        <v>101</v>
      </c>
      <c r="AD52" s="49" t="s">
        <v>101</v>
      </c>
      <c r="AE52" s="49" t="s">
        <v>101</v>
      </c>
      <c r="AF52" s="49" t="s">
        <v>101</v>
      </c>
      <c r="AG52" s="49" t="s">
        <v>101</v>
      </c>
      <c r="AH52" s="49" t="s">
        <v>101</v>
      </c>
      <c r="AI52" s="49" t="s">
        <v>101</v>
      </c>
      <c r="AJ52" s="49" t="s">
        <v>101</v>
      </c>
      <c r="AK52" s="49" t="s">
        <v>101</v>
      </c>
      <c r="AL52" s="49" t="s">
        <v>101</v>
      </c>
      <c r="AM52" s="49" t="s">
        <v>101</v>
      </c>
      <c r="AN52" s="49" t="s">
        <v>101</v>
      </c>
      <c r="AO52" s="49" t="s">
        <v>101</v>
      </c>
      <c r="AP52" s="49" t="s">
        <v>101</v>
      </c>
      <c r="AQ52" s="49" t="s">
        <v>101</v>
      </c>
      <c r="AR52" s="49" t="s">
        <v>101</v>
      </c>
      <c r="AS52" s="49" t="s">
        <v>101</v>
      </c>
      <c r="AT52" s="49" t="s">
        <v>101</v>
      </c>
      <c r="AU52" s="49" t="s">
        <v>101</v>
      </c>
      <c r="AV52" s="49" t="s">
        <v>101</v>
      </c>
      <c r="AW52" s="49" t="s">
        <v>101</v>
      </c>
      <c r="AX52" s="49"/>
      <c r="AY52" s="49"/>
    </row>
    <row r="53" spans="1:51">
      <c r="A53" s="103"/>
      <c r="B53" s="60" t="s">
        <v>115</v>
      </c>
      <c r="C53" s="61" t="s">
        <v>124</v>
      </c>
      <c r="D53" s="62" t="s">
        <v>103</v>
      </c>
      <c r="E53" s="56" t="s">
        <v>101</v>
      </c>
      <c r="F53" s="82">
        <v>0</v>
      </c>
      <c r="G53" s="82">
        <v>0</v>
      </c>
      <c r="H53" s="82">
        <v>0</v>
      </c>
      <c r="I53" s="82">
        <v>0</v>
      </c>
      <c r="J53" s="82">
        <v>0</v>
      </c>
      <c r="K53" s="82">
        <v>0</v>
      </c>
      <c r="L53" s="82">
        <v>0</v>
      </c>
      <c r="M53" s="82">
        <v>0</v>
      </c>
      <c r="N53" s="82">
        <v>0</v>
      </c>
      <c r="O53" s="82">
        <v>0</v>
      </c>
      <c r="P53" s="82">
        <v>0</v>
      </c>
      <c r="Q53" s="82">
        <v>0</v>
      </c>
      <c r="R53" s="82">
        <v>0</v>
      </c>
      <c r="S53" s="82">
        <v>0</v>
      </c>
      <c r="T53" s="82">
        <v>0</v>
      </c>
      <c r="U53" s="82">
        <v>0</v>
      </c>
      <c r="V53" s="82">
        <v>0</v>
      </c>
      <c r="W53" s="82">
        <v>0</v>
      </c>
      <c r="X53" s="49" t="s">
        <v>101</v>
      </c>
      <c r="Y53" s="49" t="s">
        <v>101</v>
      </c>
      <c r="Z53" s="49" t="s">
        <v>101</v>
      </c>
      <c r="AA53" s="49" t="s">
        <v>101</v>
      </c>
      <c r="AB53" s="49" t="s">
        <v>101</v>
      </c>
      <c r="AC53" s="49" t="s">
        <v>101</v>
      </c>
      <c r="AD53" s="49" t="s">
        <v>101</v>
      </c>
      <c r="AE53" s="49" t="s">
        <v>101</v>
      </c>
      <c r="AF53" s="49" t="s">
        <v>101</v>
      </c>
      <c r="AG53" s="49" t="s">
        <v>101</v>
      </c>
      <c r="AH53" s="49" t="s">
        <v>101</v>
      </c>
      <c r="AI53" s="49" t="s">
        <v>101</v>
      </c>
      <c r="AJ53" s="49" t="s">
        <v>101</v>
      </c>
      <c r="AK53" s="49" t="s">
        <v>101</v>
      </c>
      <c r="AL53" s="49" t="s">
        <v>101</v>
      </c>
      <c r="AM53" s="49" t="s">
        <v>101</v>
      </c>
      <c r="AN53" s="49" t="s">
        <v>101</v>
      </c>
      <c r="AO53" s="49" t="s">
        <v>101</v>
      </c>
      <c r="AP53" s="49" t="s">
        <v>101</v>
      </c>
      <c r="AQ53" s="49" t="s">
        <v>101</v>
      </c>
      <c r="AR53" s="49" t="s">
        <v>101</v>
      </c>
      <c r="AS53" s="49" t="s">
        <v>101</v>
      </c>
      <c r="AT53" s="49" t="s">
        <v>101</v>
      </c>
      <c r="AU53" s="49" t="s">
        <v>101</v>
      </c>
      <c r="AV53" s="49" t="s">
        <v>101</v>
      </c>
      <c r="AW53" s="49" t="s">
        <v>101</v>
      </c>
      <c r="AX53" s="49"/>
      <c r="AY53" s="49"/>
    </row>
    <row r="54" spans="1:51">
      <c r="A54" s="103"/>
      <c r="B54" s="60" t="s">
        <v>101</v>
      </c>
      <c r="C54" s="61" t="s">
        <v>101</v>
      </c>
      <c r="D54" s="62" t="s">
        <v>106</v>
      </c>
      <c r="E54" s="56" t="s">
        <v>101</v>
      </c>
      <c r="F54" s="82">
        <v>0</v>
      </c>
      <c r="G54" s="82">
        <v>0</v>
      </c>
      <c r="H54" s="82">
        <v>0</v>
      </c>
      <c r="I54" s="82">
        <v>0</v>
      </c>
      <c r="J54" s="82">
        <v>0</v>
      </c>
      <c r="K54" s="82">
        <v>0</v>
      </c>
      <c r="L54" s="82">
        <v>0</v>
      </c>
      <c r="M54" s="82">
        <v>0</v>
      </c>
      <c r="N54" s="82">
        <v>0</v>
      </c>
      <c r="O54" s="82">
        <v>0</v>
      </c>
      <c r="P54" s="82">
        <v>0</v>
      </c>
      <c r="Q54" s="82">
        <v>0</v>
      </c>
      <c r="R54" s="82">
        <v>0</v>
      </c>
      <c r="S54" s="82">
        <v>0</v>
      </c>
      <c r="T54" s="82">
        <v>0</v>
      </c>
      <c r="U54" s="82">
        <v>0</v>
      </c>
      <c r="V54" s="82">
        <v>0</v>
      </c>
      <c r="W54" s="82">
        <v>0</v>
      </c>
      <c r="X54" s="49" t="s">
        <v>101</v>
      </c>
      <c r="Y54" s="49" t="s">
        <v>101</v>
      </c>
      <c r="Z54" s="49" t="s">
        <v>101</v>
      </c>
      <c r="AA54" s="49" t="s">
        <v>101</v>
      </c>
      <c r="AB54" s="49" t="s">
        <v>101</v>
      </c>
      <c r="AC54" s="49" t="s">
        <v>101</v>
      </c>
      <c r="AD54" s="49" t="s">
        <v>101</v>
      </c>
      <c r="AE54" s="49" t="s">
        <v>101</v>
      </c>
      <c r="AF54" s="49" t="s">
        <v>101</v>
      </c>
      <c r="AG54" s="49" t="s">
        <v>101</v>
      </c>
      <c r="AH54" s="49" t="s">
        <v>101</v>
      </c>
      <c r="AI54" s="49" t="s">
        <v>101</v>
      </c>
      <c r="AJ54" s="49" t="s">
        <v>101</v>
      </c>
      <c r="AK54" s="49" t="s">
        <v>101</v>
      </c>
      <c r="AL54" s="49" t="s">
        <v>101</v>
      </c>
      <c r="AM54" s="49" t="s">
        <v>101</v>
      </c>
      <c r="AN54" s="49" t="s">
        <v>101</v>
      </c>
      <c r="AO54" s="49" t="s">
        <v>101</v>
      </c>
      <c r="AP54" s="49" t="s">
        <v>101</v>
      </c>
      <c r="AQ54" s="49" t="s">
        <v>101</v>
      </c>
      <c r="AR54" s="49" t="s">
        <v>101</v>
      </c>
      <c r="AS54" s="49" t="s">
        <v>101</v>
      </c>
      <c r="AT54" s="49" t="s">
        <v>101</v>
      </c>
      <c r="AU54" s="49" t="s">
        <v>101</v>
      </c>
      <c r="AV54" s="49" t="s">
        <v>101</v>
      </c>
      <c r="AW54" s="49" t="s">
        <v>101</v>
      </c>
      <c r="AX54" s="49"/>
      <c r="AY54" s="49"/>
    </row>
    <row r="55" spans="1:51">
      <c r="A55" s="103"/>
      <c r="B55" s="60" t="s">
        <v>101</v>
      </c>
      <c r="C55" s="61" t="s">
        <v>101</v>
      </c>
      <c r="D55" s="62" t="s">
        <v>108</v>
      </c>
      <c r="E55" s="56" t="s">
        <v>101</v>
      </c>
      <c r="F55" s="82">
        <v>0</v>
      </c>
      <c r="G55" s="82">
        <v>0</v>
      </c>
      <c r="H55" s="82">
        <v>0</v>
      </c>
      <c r="I55" s="82">
        <v>0</v>
      </c>
      <c r="J55" s="82">
        <v>0</v>
      </c>
      <c r="K55" s="82">
        <v>0</v>
      </c>
      <c r="L55" s="82">
        <v>0</v>
      </c>
      <c r="M55" s="82">
        <v>0</v>
      </c>
      <c r="N55" s="82">
        <v>0</v>
      </c>
      <c r="O55" s="82">
        <v>0</v>
      </c>
      <c r="P55" s="82">
        <v>0</v>
      </c>
      <c r="Q55" s="82">
        <v>0</v>
      </c>
      <c r="R55" s="82">
        <v>0</v>
      </c>
      <c r="S55" s="82">
        <v>0</v>
      </c>
      <c r="T55" s="82">
        <v>0</v>
      </c>
      <c r="U55" s="82">
        <v>0</v>
      </c>
      <c r="V55" s="82">
        <v>0</v>
      </c>
      <c r="W55" s="82">
        <v>0</v>
      </c>
      <c r="X55" s="49" t="s">
        <v>101</v>
      </c>
      <c r="Y55" s="49" t="s">
        <v>101</v>
      </c>
      <c r="Z55" s="49" t="s">
        <v>101</v>
      </c>
      <c r="AA55" s="49" t="s">
        <v>101</v>
      </c>
      <c r="AB55" s="49" t="s">
        <v>101</v>
      </c>
      <c r="AC55" s="49" t="s">
        <v>101</v>
      </c>
      <c r="AD55" s="49" t="s">
        <v>101</v>
      </c>
      <c r="AE55" s="49" t="s">
        <v>101</v>
      </c>
      <c r="AF55" s="49" t="s">
        <v>101</v>
      </c>
      <c r="AG55" s="49" t="s">
        <v>101</v>
      </c>
      <c r="AH55" s="49" t="s">
        <v>101</v>
      </c>
      <c r="AI55" s="49" t="s">
        <v>101</v>
      </c>
      <c r="AJ55" s="49" t="s">
        <v>101</v>
      </c>
      <c r="AK55" s="49" t="s">
        <v>101</v>
      </c>
      <c r="AL55" s="49" t="s">
        <v>101</v>
      </c>
      <c r="AM55" s="49" t="s">
        <v>101</v>
      </c>
      <c r="AN55" s="49" t="s">
        <v>101</v>
      </c>
      <c r="AO55" s="49" t="s">
        <v>101</v>
      </c>
      <c r="AP55" s="49" t="s">
        <v>101</v>
      </c>
      <c r="AQ55" s="49" t="s">
        <v>101</v>
      </c>
      <c r="AR55" s="49" t="s">
        <v>101</v>
      </c>
      <c r="AS55" s="49" t="s">
        <v>101</v>
      </c>
      <c r="AT55" s="49" t="s">
        <v>101</v>
      </c>
      <c r="AU55" s="49" t="s">
        <v>101</v>
      </c>
      <c r="AV55" s="49" t="s">
        <v>101</v>
      </c>
      <c r="AW55" s="49" t="s">
        <v>101</v>
      </c>
      <c r="AX55" s="49"/>
      <c r="AY55" s="49"/>
    </row>
    <row r="56" spans="1:51">
      <c r="A56" s="103"/>
      <c r="B56" s="60" t="s">
        <v>101</v>
      </c>
      <c r="C56" s="61" t="s">
        <v>101</v>
      </c>
      <c r="D56" s="62" t="s">
        <v>110</v>
      </c>
      <c r="E56" s="56" t="s">
        <v>101</v>
      </c>
      <c r="F56" s="82">
        <v>0</v>
      </c>
      <c r="G56" s="82">
        <v>0</v>
      </c>
      <c r="H56" s="82">
        <v>0</v>
      </c>
      <c r="I56" s="82">
        <v>0</v>
      </c>
      <c r="J56" s="82">
        <v>0</v>
      </c>
      <c r="K56" s="82">
        <v>0</v>
      </c>
      <c r="L56" s="82">
        <v>0</v>
      </c>
      <c r="M56" s="82">
        <v>0</v>
      </c>
      <c r="N56" s="82">
        <v>0</v>
      </c>
      <c r="O56" s="82">
        <v>0</v>
      </c>
      <c r="P56" s="82">
        <v>0</v>
      </c>
      <c r="Q56" s="82">
        <v>0</v>
      </c>
      <c r="R56" s="21">
        <v>13</v>
      </c>
      <c r="S56" s="21">
        <v>17</v>
      </c>
      <c r="T56" s="21">
        <v>16</v>
      </c>
      <c r="U56" s="25">
        <v>18</v>
      </c>
      <c r="V56" s="79">
        <v>21</v>
      </c>
      <c r="W56" s="79">
        <v>31</v>
      </c>
      <c r="X56" s="49" t="s">
        <v>101</v>
      </c>
      <c r="Y56" s="49" t="s">
        <v>101</v>
      </c>
      <c r="Z56" s="49" t="s">
        <v>101</v>
      </c>
      <c r="AA56" s="49" t="s">
        <v>101</v>
      </c>
      <c r="AB56" s="49" t="s">
        <v>101</v>
      </c>
      <c r="AC56" s="49" t="s">
        <v>101</v>
      </c>
      <c r="AD56" s="49" t="s">
        <v>101</v>
      </c>
      <c r="AE56" s="49" t="s">
        <v>101</v>
      </c>
      <c r="AF56" s="49" t="s">
        <v>101</v>
      </c>
      <c r="AG56" s="49" t="s">
        <v>101</v>
      </c>
      <c r="AH56" s="49" t="s">
        <v>101</v>
      </c>
      <c r="AI56" s="49" t="s">
        <v>101</v>
      </c>
      <c r="AJ56" s="49" t="s">
        <v>101</v>
      </c>
      <c r="AK56" s="49" t="s">
        <v>101</v>
      </c>
      <c r="AL56" s="49" t="s">
        <v>101</v>
      </c>
      <c r="AM56" s="49" t="s">
        <v>101</v>
      </c>
      <c r="AN56" s="49" t="s">
        <v>101</v>
      </c>
      <c r="AO56" s="49" t="s">
        <v>101</v>
      </c>
      <c r="AP56" s="49" t="s">
        <v>101</v>
      </c>
      <c r="AQ56" s="49" t="s">
        <v>101</v>
      </c>
      <c r="AR56" s="49" t="s">
        <v>101</v>
      </c>
      <c r="AS56" s="49" t="s">
        <v>101</v>
      </c>
      <c r="AT56" s="49" t="s">
        <v>101</v>
      </c>
      <c r="AU56" s="49" t="s">
        <v>101</v>
      </c>
      <c r="AV56" s="49" t="s">
        <v>101</v>
      </c>
      <c r="AW56" s="49" t="s">
        <v>101</v>
      </c>
      <c r="AX56" s="49"/>
      <c r="AY56" s="49"/>
    </row>
    <row r="57" spans="1:51">
      <c r="A57" s="103"/>
      <c r="B57" s="60" t="s">
        <v>101</v>
      </c>
      <c r="C57" s="61" t="s">
        <v>101</v>
      </c>
      <c r="D57" s="62" t="s">
        <v>112</v>
      </c>
      <c r="E57" s="56" t="s">
        <v>101</v>
      </c>
      <c r="F57" s="82">
        <v>0</v>
      </c>
      <c r="G57" s="82">
        <v>0</v>
      </c>
      <c r="H57" s="82">
        <v>0</v>
      </c>
      <c r="I57" s="82">
        <v>0</v>
      </c>
      <c r="J57" s="82">
        <v>0</v>
      </c>
      <c r="K57" s="82">
        <v>0</v>
      </c>
      <c r="L57" s="82">
        <v>0</v>
      </c>
      <c r="M57" s="82">
        <v>0</v>
      </c>
      <c r="N57" s="82">
        <v>0</v>
      </c>
      <c r="O57" s="82">
        <v>0</v>
      </c>
      <c r="P57" s="82">
        <v>0</v>
      </c>
      <c r="Q57" s="82">
        <v>0</v>
      </c>
      <c r="R57" s="82">
        <v>0</v>
      </c>
      <c r="S57" s="82">
        <v>0</v>
      </c>
      <c r="T57" s="82">
        <v>0</v>
      </c>
      <c r="U57" s="82">
        <v>0</v>
      </c>
      <c r="V57" s="82">
        <v>0</v>
      </c>
      <c r="W57" s="82">
        <v>0</v>
      </c>
      <c r="X57" s="49" t="s">
        <v>101</v>
      </c>
      <c r="Y57" s="49" t="s">
        <v>101</v>
      </c>
      <c r="Z57" s="49" t="s">
        <v>101</v>
      </c>
      <c r="AA57" s="49" t="s">
        <v>101</v>
      </c>
      <c r="AB57" s="49" t="s">
        <v>101</v>
      </c>
      <c r="AC57" s="49" t="s">
        <v>101</v>
      </c>
      <c r="AD57" s="49" t="s">
        <v>101</v>
      </c>
      <c r="AE57" s="49" t="s">
        <v>101</v>
      </c>
      <c r="AF57" s="49" t="s">
        <v>101</v>
      </c>
      <c r="AG57" s="49" t="s">
        <v>101</v>
      </c>
      <c r="AH57" s="49" t="s">
        <v>101</v>
      </c>
      <c r="AI57" s="49" t="s">
        <v>101</v>
      </c>
      <c r="AJ57" s="49" t="s">
        <v>101</v>
      </c>
      <c r="AK57" s="49" t="s">
        <v>101</v>
      </c>
      <c r="AL57" s="49" t="s">
        <v>101</v>
      </c>
      <c r="AM57" s="49" t="s">
        <v>101</v>
      </c>
      <c r="AN57" s="49" t="s">
        <v>101</v>
      </c>
      <c r="AO57" s="49" t="s">
        <v>101</v>
      </c>
      <c r="AP57" s="49" t="s">
        <v>101</v>
      </c>
      <c r="AQ57" s="49" t="s">
        <v>101</v>
      </c>
      <c r="AR57" s="49" t="s">
        <v>101</v>
      </c>
      <c r="AS57" s="49" t="s">
        <v>101</v>
      </c>
      <c r="AT57" s="49" t="s">
        <v>101</v>
      </c>
      <c r="AU57" s="49" t="s">
        <v>101</v>
      </c>
      <c r="AV57" s="49" t="s">
        <v>101</v>
      </c>
      <c r="AW57" s="49" t="s">
        <v>101</v>
      </c>
      <c r="AX57" s="49"/>
      <c r="AY57" s="49"/>
    </row>
    <row r="58" spans="1:51">
      <c r="A58" s="103"/>
      <c r="B58" s="60" t="s">
        <v>101</v>
      </c>
      <c r="C58" s="61" t="s">
        <v>101</v>
      </c>
      <c r="D58" s="62" t="s">
        <v>114</v>
      </c>
      <c r="E58" s="56" t="s">
        <v>101</v>
      </c>
      <c r="F58" s="82">
        <v>0</v>
      </c>
      <c r="G58" s="82">
        <v>0</v>
      </c>
      <c r="H58" s="82">
        <v>0</v>
      </c>
      <c r="I58" s="82">
        <v>0</v>
      </c>
      <c r="J58" s="82">
        <v>0</v>
      </c>
      <c r="K58" s="82">
        <v>0</v>
      </c>
      <c r="L58" s="82">
        <v>0</v>
      </c>
      <c r="M58" s="82">
        <v>0</v>
      </c>
      <c r="N58" s="82">
        <v>0</v>
      </c>
      <c r="O58" s="82">
        <v>0</v>
      </c>
      <c r="P58" s="82">
        <v>0</v>
      </c>
      <c r="Q58" s="82">
        <v>0</v>
      </c>
      <c r="R58" s="82">
        <v>0</v>
      </c>
      <c r="S58" s="82">
        <v>0</v>
      </c>
      <c r="T58" s="82">
        <v>0</v>
      </c>
      <c r="U58" s="82">
        <v>0</v>
      </c>
      <c r="V58" s="82">
        <v>0</v>
      </c>
      <c r="W58" s="82">
        <v>0</v>
      </c>
      <c r="X58" s="49" t="s">
        <v>101</v>
      </c>
      <c r="Y58" s="49" t="s">
        <v>101</v>
      </c>
      <c r="Z58" s="49" t="s">
        <v>101</v>
      </c>
      <c r="AA58" s="49" t="s">
        <v>101</v>
      </c>
      <c r="AB58" s="49" t="s">
        <v>101</v>
      </c>
      <c r="AC58" s="49" t="s">
        <v>101</v>
      </c>
      <c r="AD58" s="49" t="s">
        <v>101</v>
      </c>
      <c r="AE58" s="49" t="s">
        <v>101</v>
      </c>
      <c r="AF58" s="49" t="s">
        <v>101</v>
      </c>
      <c r="AG58" s="49" t="s">
        <v>101</v>
      </c>
      <c r="AH58" s="49" t="s">
        <v>101</v>
      </c>
      <c r="AI58" s="49" t="s">
        <v>101</v>
      </c>
      <c r="AJ58" s="49" t="s">
        <v>101</v>
      </c>
      <c r="AK58" s="49" t="s">
        <v>101</v>
      </c>
      <c r="AL58" s="49" t="s">
        <v>101</v>
      </c>
      <c r="AM58" s="49" t="s">
        <v>101</v>
      </c>
      <c r="AN58" s="49" t="s">
        <v>101</v>
      </c>
      <c r="AO58" s="49" t="s">
        <v>101</v>
      </c>
      <c r="AP58" s="49" t="s">
        <v>101</v>
      </c>
      <c r="AQ58" s="49" t="s">
        <v>101</v>
      </c>
      <c r="AR58" s="49" t="s">
        <v>101</v>
      </c>
      <c r="AS58" s="49" t="s">
        <v>101</v>
      </c>
      <c r="AT58" s="49" t="s">
        <v>101</v>
      </c>
      <c r="AU58" s="49" t="s">
        <v>101</v>
      </c>
      <c r="AV58" s="49" t="s">
        <v>101</v>
      </c>
      <c r="AW58" s="49" t="s">
        <v>101</v>
      </c>
      <c r="AX58" s="49"/>
      <c r="AY58" s="49"/>
    </row>
    <row r="59" spans="1:51">
      <c r="A59" s="103"/>
      <c r="B59" s="60" t="s">
        <v>101</v>
      </c>
      <c r="C59" s="61" t="s">
        <v>101</v>
      </c>
      <c r="D59" s="62" t="s">
        <v>116</v>
      </c>
      <c r="E59" s="56" t="s">
        <v>101</v>
      </c>
      <c r="F59" s="82">
        <v>0</v>
      </c>
      <c r="G59" s="82">
        <v>0</v>
      </c>
      <c r="H59" s="82">
        <v>0</v>
      </c>
      <c r="I59" s="82">
        <v>0</v>
      </c>
      <c r="J59" s="82">
        <v>0</v>
      </c>
      <c r="K59" s="82">
        <v>0</v>
      </c>
      <c r="L59" s="82">
        <v>0</v>
      </c>
      <c r="M59" s="82">
        <v>0</v>
      </c>
      <c r="N59" s="82">
        <v>0</v>
      </c>
      <c r="O59" s="82">
        <v>0</v>
      </c>
      <c r="P59" s="82">
        <v>0</v>
      </c>
      <c r="Q59" s="82">
        <v>0</v>
      </c>
      <c r="R59" s="82">
        <v>0</v>
      </c>
      <c r="S59" s="82">
        <v>0</v>
      </c>
      <c r="T59" s="82">
        <v>0</v>
      </c>
      <c r="U59" s="82">
        <v>0</v>
      </c>
      <c r="V59" s="82">
        <v>0</v>
      </c>
      <c r="W59" s="82">
        <v>0</v>
      </c>
      <c r="X59" s="49" t="s">
        <v>101</v>
      </c>
      <c r="Y59" s="49" t="s">
        <v>101</v>
      </c>
      <c r="Z59" s="49" t="s">
        <v>101</v>
      </c>
      <c r="AA59" s="49" t="s">
        <v>101</v>
      </c>
      <c r="AB59" s="49" t="s">
        <v>101</v>
      </c>
      <c r="AC59" s="49" t="s">
        <v>101</v>
      </c>
      <c r="AD59" s="49" t="s">
        <v>101</v>
      </c>
      <c r="AE59" s="49" t="s">
        <v>101</v>
      </c>
      <c r="AF59" s="49" t="s">
        <v>101</v>
      </c>
      <c r="AG59" s="49" t="s">
        <v>101</v>
      </c>
      <c r="AH59" s="49" t="s">
        <v>101</v>
      </c>
      <c r="AI59" s="49" t="s">
        <v>101</v>
      </c>
      <c r="AJ59" s="49" t="s">
        <v>101</v>
      </c>
      <c r="AK59" s="49" t="s">
        <v>101</v>
      </c>
      <c r="AL59" s="49" t="s">
        <v>101</v>
      </c>
      <c r="AM59" s="49" t="s">
        <v>101</v>
      </c>
      <c r="AN59" s="49" t="s">
        <v>101</v>
      </c>
      <c r="AO59" s="49" t="s">
        <v>101</v>
      </c>
      <c r="AP59" s="49" t="s">
        <v>101</v>
      </c>
      <c r="AQ59" s="49" t="s">
        <v>101</v>
      </c>
      <c r="AR59" s="49" t="s">
        <v>101</v>
      </c>
      <c r="AS59" s="49" t="s">
        <v>101</v>
      </c>
      <c r="AT59" s="49" t="s">
        <v>101</v>
      </c>
      <c r="AU59" s="49" t="s">
        <v>101</v>
      </c>
      <c r="AV59" s="49" t="s">
        <v>101</v>
      </c>
      <c r="AW59" s="49" t="s">
        <v>101</v>
      </c>
      <c r="AX59" s="49"/>
      <c r="AY59" s="49"/>
    </row>
    <row r="60" spans="1:51">
      <c r="A60" s="103"/>
      <c r="B60" s="53" t="s">
        <v>125</v>
      </c>
      <c r="C60" s="57" t="s">
        <v>126</v>
      </c>
      <c r="D60" s="58" t="s">
        <v>103</v>
      </c>
      <c r="E60" s="56" t="s">
        <v>101</v>
      </c>
      <c r="F60" s="82">
        <v>0</v>
      </c>
      <c r="G60" s="82">
        <v>0</v>
      </c>
      <c r="H60" s="82">
        <v>0</v>
      </c>
      <c r="I60" s="82">
        <v>0</v>
      </c>
      <c r="J60" s="82">
        <v>0</v>
      </c>
      <c r="K60" s="82">
        <v>0</v>
      </c>
      <c r="L60" s="82">
        <v>0</v>
      </c>
      <c r="M60" s="82">
        <v>0</v>
      </c>
      <c r="N60" s="82">
        <v>0</v>
      </c>
      <c r="O60" s="82">
        <v>0</v>
      </c>
      <c r="P60" s="82">
        <v>0</v>
      </c>
      <c r="Q60" s="82">
        <v>0</v>
      </c>
      <c r="R60" s="82">
        <v>0</v>
      </c>
      <c r="S60" s="82">
        <v>0</v>
      </c>
      <c r="T60" s="82">
        <v>0</v>
      </c>
      <c r="U60" s="82">
        <v>0</v>
      </c>
      <c r="V60" s="82">
        <v>0</v>
      </c>
      <c r="W60" s="82">
        <v>0</v>
      </c>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row>
    <row r="61" spans="1:51">
      <c r="A61" s="103"/>
      <c r="B61" s="60" t="s">
        <v>101</v>
      </c>
      <c r="C61" s="60" t="s">
        <v>101</v>
      </c>
      <c r="D61" s="58" t="s">
        <v>106</v>
      </c>
      <c r="E61" s="56" t="s">
        <v>101</v>
      </c>
      <c r="F61" s="82">
        <v>0</v>
      </c>
      <c r="G61" s="82">
        <v>0</v>
      </c>
      <c r="H61" s="82">
        <v>0</v>
      </c>
      <c r="I61" s="82">
        <v>0</v>
      </c>
      <c r="J61" s="82">
        <v>0</v>
      </c>
      <c r="K61" s="82">
        <v>0</v>
      </c>
      <c r="L61" s="82">
        <v>0</v>
      </c>
      <c r="M61" s="82">
        <v>0</v>
      </c>
      <c r="N61" s="82">
        <v>0</v>
      </c>
      <c r="O61" s="82">
        <v>0</v>
      </c>
      <c r="P61" s="82">
        <v>0</v>
      </c>
      <c r="Q61" s="82">
        <v>0</v>
      </c>
      <c r="R61" s="82">
        <v>0</v>
      </c>
      <c r="S61" s="82">
        <v>0</v>
      </c>
      <c r="T61" s="82">
        <v>0</v>
      </c>
      <c r="U61" s="82">
        <v>0</v>
      </c>
      <c r="V61" s="82">
        <v>0</v>
      </c>
      <c r="W61" s="82">
        <v>0</v>
      </c>
      <c r="X61" s="49" t="s">
        <v>101</v>
      </c>
      <c r="Y61" s="49" t="s">
        <v>101</v>
      </c>
      <c r="Z61" s="49" t="s">
        <v>101</v>
      </c>
      <c r="AA61" s="49" t="s">
        <v>101</v>
      </c>
      <c r="AB61" s="49" t="s">
        <v>101</v>
      </c>
      <c r="AC61" s="49" t="s">
        <v>101</v>
      </c>
      <c r="AD61" s="49" t="s">
        <v>101</v>
      </c>
      <c r="AE61" s="49" t="s">
        <v>101</v>
      </c>
      <c r="AF61" s="49" t="s">
        <v>101</v>
      </c>
      <c r="AG61" s="49" t="s">
        <v>101</v>
      </c>
      <c r="AH61" s="49" t="s">
        <v>101</v>
      </c>
      <c r="AI61" s="49" t="s">
        <v>101</v>
      </c>
      <c r="AJ61" s="49" t="s">
        <v>101</v>
      </c>
      <c r="AK61" s="49" t="s">
        <v>101</v>
      </c>
      <c r="AL61" s="49" t="s">
        <v>101</v>
      </c>
      <c r="AM61" s="49" t="s">
        <v>101</v>
      </c>
      <c r="AN61" s="49" t="s">
        <v>101</v>
      </c>
      <c r="AO61" s="49" t="s">
        <v>101</v>
      </c>
      <c r="AP61" s="49" t="s">
        <v>101</v>
      </c>
      <c r="AQ61" s="49" t="s">
        <v>101</v>
      </c>
      <c r="AR61" s="49" t="s">
        <v>101</v>
      </c>
      <c r="AS61" s="49" t="s">
        <v>101</v>
      </c>
      <c r="AT61" s="49" t="s">
        <v>101</v>
      </c>
      <c r="AU61" s="49" t="s">
        <v>101</v>
      </c>
      <c r="AV61" s="49" t="s">
        <v>101</v>
      </c>
      <c r="AW61" s="49" t="s">
        <v>101</v>
      </c>
      <c r="AX61" s="49"/>
      <c r="AY61" s="49"/>
    </row>
    <row r="62" spans="1:51">
      <c r="A62" s="103"/>
      <c r="B62" s="53" t="s">
        <v>101</v>
      </c>
      <c r="C62" s="53" t="s">
        <v>101</v>
      </c>
      <c r="D62" s="58" t="s">
        <v>108</v>
      </c>
      <c r="E62" s="56" t="s">
        <v>101</v>
      </c>
      <c r="F62" s="82">
        <v>0</v>
      </c>
      <c r="G62" s="82">
        <v>0</v>
      </c>
      <c r="H62" s="82">
        <v>0</v>
      </c>
      <c r="I62" s="82">
        <v>0</v>
      </c>
      <c r="J62" s="82">
        <v>0</v>
      </c>
      <c r="K62" s="82">
        <v>0</v>
      </c>
      <c r="L62" s="82">
        <v>0</v>
      </c>
      <c r="M62" s="82">
        <v>0</v>
      </c>
      <c r="N62" s="82">
        <v>0</v>
      </c>
      <c r="O62" s="82">
        <v>0</v>
      </c>
      <c r="P62" s="82">
        <v>0</v>
      </c>
      <c r="Q62" s="82">
        <v>0</v>
      </c>
      <c r="R62" s="82">
        <v>0</v>
      </c>
      <c r="S62" s="82">
        <v>0</v>
      </c>
      <c r="T62" s="82">
        <v>0</v>
      </c>
      <c r="U62" s="82">
        <v>0</v>
      </c>
      <c r="V62" s="82">
        <v>0</v>
      </c>
      <c r="W62" s="82">
        <v>0</v>
      </c>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row>
    <row r="63" spans="1:51">
      <c r="A63" s="103"/>
      <c r="B63" s="53" t="s">
        <v>101</v>
      </c>
      <c r="C63" s="53" t="s">
        <v>101</v>
      </c>
      <c r="D63" s="58" t="s">
        <v>110</v>
      </c>
      <c r="E63" s="56" t="s">
        <v>101</v>
      </c>
      <c r="F63" s="82">
        <v>0</v>
      </c>
      <c r="G63" s="82">
        <v>0</v>
      </c>
      <c r="H63" s="82">
        <v>0</v>
      </c>
      <c r="I63" s="82">
        <v>0</v>
      </c>
      <c r="J63" s="82">
        <v>0</v>
      </c>
      <c r="K63" s="82">
        <v>0</v>
      </c>
      <c r="L63" s="82">
        <v>0</v>
      </c>
      <c r="M63" s="82">
        <v>0</v>
      </c>
      <c r="N63" s="82">
        <v>0</v>
      </c>
      <c r="O63" s="82">
        <v>0</v>
      </c>
      <c r="P63" s="82">
        <v>0</v>
      </c>
      <c r="Q63" s="82">
        <v>0</v>
      </c>
      <c r="R63" s="82">
        <v>0</v>
      </c>
      <c r="S63" s="82">
        <v>0</v>
      </c>
      <c r="T63" s="82">
        <v>0</v>
      </c>
      <c r="U63" s="82">
        <v>0</v>
      </c>
      <c r="V63" s="82">
        <v>0</v>
      </c>
      <c r="W63" s="82">
        <v>0</v>
      </c>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row>
    <row r="64" spans="1:51">
      <c r="A64" s="103"/>
      <c r="B64" s="60" t="s">
        <v>101</v>
      </c>
      <c r="C64" s="60" t="s">
        <v>101</v>
      </c>
      <c r="D64" s="58" t="s">
        <v>112</v>
      </c>
      <c r="E64" s="56" t="s">
        <v>101</v>
      </c>
      <c r="F64" s="82">
        <v>0</v>
      </c>
      <c r="G64" s="82">
        <v>0</v>
      </c>
      <c r="H64" s="82">
        <v>0</v>
      </c>
      <c r="I64" s="82">
        <v>0</v>
      </c>
      <c r="J64" s="82">
        <v>0</v>
      </c>
      <c r="K64" s="82">
        <v>0</v>
      </c>
      <c r="L64" s="82">
        <v>0</v>
      </c>
      <c r="M64" s="82">
        <v>0</v>
      </c>
      <c r="N64" s="82">
        <v>0</v>
      </c>
      <c r="O64" s="82">
        <v>0</v>
      </c>
      <c r="P64" s="82">
        <v>0</v>
      </c>
      <c r="Q64" s="82">
        <v>0</v>
      </c>
      <c r="R64" s="82">
        <v>0</v>
      </c>
      <c r="S64" s="82">
        <v>0</v>
      </c>
      <c r="T64" s="82">
        <v>0</v>
      </c>
      <c r="U64" s="82">
        <v>0</v>
      </c>
      <c r="V64" s="82">
        <v>0</v>
      </c>
      <c r="W64" s="82">
        <v>0</v>
      </c>
      <c r="X64" s="49" t="s">
        <v>101</v>
      </c>
      <c r="Y64" s="49" t="s">
        <v>101</v>
      </c>
      <c r="Z64" s="49" t="s">
        <v>101</v>
      </c>
      <c r="AA64" s="49" t="s">
        <v>101</v>
      </c>
      <c r="AB64" s="49" t="s">
        <v>101</v>
      </c>
      <c r="AC64" s="49" t="s">
        <v>101</v>
      </c>
      <c r="AD64" s="49" t="s">
        <v>101</v>
      </c>
      <c r="AE64" s="49" t="s">
        <v>101</v>
      </c>
      <c r="AF64" s="49" t="s">
        <v>101</v>
      </c>
      <c r="AG64" s="49" t="s">
        <v>101</v>
      </c>
      <c r="AH64" s="49" t="s">
        <v>101</v>
      </c>
      <c r="AI64" s="49" t="s">
        <v>101</v>
      </c>
      <c r="AJ64" s="49" t="s">
        <v>101</v>
      </c>
      <c r="AK64" s="49" t="s">
        <v>101</v>
      </c>
      <c r="AL64" s="49" t="s">
        <v>101</v>
      </c>
      <c r="AM64" s="49" t="s">
        <v>101</v>
      </c>
      <c r="AN64" s="49" t="s">
        <v>101</v>
      </c>
      <c r="AO64" s="49" t="s">
        <v>101</v>
      </c>
      <c r="AP64" s="49" t="s">
        <v>101</v>
      </c>
      <c r="AQ64" s="49" t="s">
        <v>101</v>
      </c>
      <c r="AR64" s="49" t="s">
        <v>101</v>
      </c>
      <c r="AS64" s="49" t="s">
        <v>101</v>
      </c>
      <c r="AT64" s="49" t="s">
        <v>101</v>
      </c>
      <c r="AU64" s="49" t="s">
        <v>101</v>
      </c>
      <c r="AV64" s="49" t="s">
        <v>101</v>
      </c>
      <c r="AW64" s="49" t="s">
        <v>101</v>
      </c>
      <c r="AX64" s="49"/>
      <c r="AY64" s="49"/>
    </row>
    <row r="65" spans="1:51">
      <c r="A65" s="103"/>
      <c r="B65" s="60" t="s">
        <v>101</v>
      </c>
      <c r="C65" s="60" t="s">
        <v>101</v>
      </c>
      <c r="D65" s="58" t="s">
        <v>114</v>
      </c>
      <c r="E65" s="56" t="s">
        <v>101</v>
      </c>
      <c r="F65" s="82">
        <v>0</v>
      </c>
      <c r="G65" s="82">
        <v>0</v>
      </c>
      <c r="H65" s="82">
        <v>0</v>
      </c>
      <c r="I65" s="82">
        <v>0</v>
      </c>
      <c r="J65" s="82">
        <v>0</v>
      </c>
      <c r="K65" s="82">
        <v>0</v>
      </c>
      <c r="L65" s="82">
        <v>0</v>
      </c>
      <c r="M65" s="82">
        <v>0</v>
      </c>
      <c r="N65" s="82">
        <v>0</v>
      </c>
      <c r="O65" s="82">
        <v>0</v>
      </c>
      <c r="P65" s="82">
        <v>0</v>
      </c>
      <c r="Q65" s="82">
        <v>0</v>
      </c>
      <c r="R65" s="82">
        <v>0</v>
      </c>
      <c r="S65" s="82">
        <v>0</v>
      </c>
      <c r="T65" s="82">
        <v>0</v>
      </c>
      <c r="U65" s="82">
        <v>0</v>
      </c>
      <c r="V65" s="82">
        <v>0</v>
      </c>
      <c r="W65" s="82">
        <v>0</v>
      </c>
      <c r="X65" s="49" t="s">
        <v>101</v>
      </c>
      <c r="Y65" s="49" t="s">
        <v>101</v>
      </c>
      <c r="Z65" s="49" t="s">
        <v>101</v>
      </c>
      <c r="AA65" s="49" t="s">
        <v>101</v>
      </c>
      <c r="AB65" s="49" t="s">
        <v>101</v>
      </c>
      <c r="AC65" s="49" t="s">
        <v>101</v>
      </c>
      <c r="AD65" s="49" t="s">
        <v>101</v>
      </c>
      <c r="AE65" s="49" t="s">
        <v>101</v>
      </c>
      <c r="AF65" s="49" t="s">
        <v>101</v>
      </c>
      <c r="AG65" s="49" t="s">
        <v>101</v>
      </c>
      <c r="AH65" s="49" t="s">
        <v>101</v>
      </c>
      <c r="AI65" s="49" t="s">
        <v>101</v>
      </c>
      <c r="AJ65" s="49" t="s">
        <v>101</v>
      </c>
      <c r="AK65" s="49" t="s">
        <v>101</v>
      </c>
      <c r="AL65" s="49" t="s">
        <v>101</v>
      </c>
      <c r="AM65" s="49" t="s">
        <v>101</v>
      </c>
      <c r="AN65" s="49" t="s">
        <v>101</v>
      </c>
      <c r="AO65" s="49" t="s">
        <v>101</v>
      </c>
      <c r="AP65" s="49" t="s">
        <v>101</v>
      </c>
      <c r="AQ65" s="49" t="s">
        <v>101</v>
      </c>
      <c r="AR65" s="49" t="s">
        <v>101</v>
      </c>
      <c r="AS65" s="49" t="s">
        <v>101</v>
      </c>
      <c r="AT65" s="49" t="s">
        <v>101</v>
      </c>
      <c r="AU65" s="49" t="s">
        <v>101</v>
      </c>
      <c r="AV65" s="49" t="s">
        <v>101</v>
      </c>
      <c r="AW65" s="49" t="s">
        <v>101</v>
      </c>
      <c r="AX65" s="49"/>
      <c r="AY65" s="49"/>
    </row>
    <row r="66" spans="1:51">
      <c r="A66" s="103"/>
      <c r="B66" s="60" t="s">
        <v>101</v>
      </c>
      <c r="C66" s="63" t="s">
        <v>101</v>
      </c>
      <c r="D66" s="58" t="s">
        <v>116</v>
      </c>
      <c r="E66" s="56" t="s">
        <v>101</v>
      </c>
      <c r="F66" s="82">
        <v>0</v>
      </c>
      <c r="G66" s="82">
        <v>0</v>
      </c>
      <c r="H66" s="82">
        <v>0</v>
      </c>
      <c r="I66" s="82">
        <v>0</v>
      </c>
      <c r="J66" s="82">
        <v>0</v>
      </c>
      <c r="K66" s="82">
        <v>0</v>
      </c>
      <c r="L66" s="82">
        <v>0</v>
      </c>
      <c r="M66" s="82">
        <v>0</v>
      </c>
      <c r="N66" s="82">
        <v>0</v>
      </c>
      <c r="O66" s="82">
        <v>0</v>
      </c>
      <c r="P66" s="82">
        <v>0</v>
      </c>
      <c r="Q66" s="82">
        <v>0</v>
      </c>
      <c r="R66" s="82">
        <v>0</v>
      </c>
      <c r="S66" s="82">
        <v>0</v>
      </c>
      <c r="T66" s="82">
        <v>0</v>
      </c>
      <c r="U66" s="82">
        <v>0</v>
      </c>
      <c r="V66" s="82">
        <v>0</v>
      </c>
      <c r="W66" s="82">
        <v>0</v>
      </c>
      <c r="X66" s="49" t="s">
        <v>101</v>
      </c>
      <c r="Y66" s="49" t="s">
        <v>101</v>
      </c>
      <c r="Z66" s="49" t="s">
        <v>101</v>
      </c>
      <c r="AA66" s="49" t="s">
        <v>101</v>
      </c>
      <c r="AB66" s="49" t="s">
        <v>101</v>
      </c>
      <c r="AC66" s="49" t="s">
        <v>101</v>
      </c>
      <c r="AD66" s="49" t="s">
        <v>101</v>
      </c>
      <c r="AE66" s="49" t="s">
        <v>101</v>
      </c>
      <c r="AF66" s="49" t="s">
        <v>101</v>
      </c>
      <c r="AG66" s="49" t="s">
        <v>101</v>
      </c>
      <c r="AH66" s="49" t="s">
        <v>101</v>
      </c>
      <c r="AI66" s="49" t="s">
        <v>101</v>
      </c>
      <c r="AJ66" s="49" t="s">
        <v>101</v>
      </c>
      <c r="AK66" s="49" t="s">
        <v>101</v>
      </c>
      <c r="AL66" s="49" t="s">
        <v>101</v>
      </c>
      <c r="AM66" s="49" t="s">
        <v>101</v>
      </c>
      <c r="AN66" s="49" t="s">
        <v>101</v>
      </c>
      <c r="AO66" s="49" t="s">
        <v>101</v>
      </c>
      <c r="AP66" s="49" t="s">
        <v>101</v>
      </c>
      <c r="AQ66" s="49" t="s">
        <v>101</v>
      </c>
      <c r="AR66" s="49" t="s">
        <v>101</v>
      </c>
      <c r="AS66" s="49" t="s">
        <v>101</v>
      </c>
      <c r="AT66" s="49" t="s">
        <v>101</v>
      </c>
      <c r="AU66" s="49" t="s">
        <v>101</v>
      </c>
      <c r="AV66" s="49" t="s">
        <v>101</v>
      </c>
      <c r="AW66" s="49" t="s">
        <v>101</v>
      </c>
      <c r="AX66" s="49"/>
      <c r="AY66" s="49"/>
    </row>
    <row r="67" spans="1:51">
      <c r="A67" s="103"/>
      <c r="B67" s="58" t="s">
        <v>127</v>
      </c>
      <c r="C67" s="64" t="s">
        <v>128</v>
      </c>
      <c r="D67" s="58" t="s">
        <v>103</v>
      </c>
      <c r="E67" s="56" t="s">
        <v>101</v>
      </c>
      <c r="F67" s="82">
        <v>0</v>
      </c>
      <c r="G67" s="82">
        <v>0</v>
      </c>
      <c r="H67" s="82">
        <v>0</v>
      </c>
      <c r="I67" s="82">
        <v>0</v>
      </c>
      <c r="J67" s="82">
        <v>0</v>
      </c>
      <c r="K67" s="82">
        <v>0</v>
      </c>
      <c r="L67" s="82">
        <v>0</v>
      </c>
      <c r="M67" s="82">
        <v>0</v>
      </c>
      <c r="N67" s="82">
        <v>0</v>
      </c>
      <c r="O67" s="82">
        <v>0</v>
      </c>
      <c r="P67" s="82">
        <v>0</v>
      </c>
      <c r="Q67" s="82">
        <v>0</v>
      </c>
      <c r="R67" s="82">
        <v>0</v>
      </c>
      <c r="S67" s="82">
        <v>0</v>
      </c>
      <c r="T67" s="82">
        <v>0</v>
      </c>
      <c r="U67" s="82">
        <v>0</v>
      </c>
      <c r="V67" s="82">
        <v>0</v>
      </c>
      <c r="W67" s="82">
        <v>0</v>
      </c>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row>
    <row r="68" spans="1:51">
      <c r="A68" s="103"/>
      <c r="B68" s="62" t="s">
        <v>101</v>
      </c>
      <c r="C68" s="65" t="s">
        <v>101</v>
      </c>
      <c r="D68" s="58" t="s">
        <v>106</v>
      </c>
      <c r="E68" s="56" t="s">
        <v>101</v>
      </c>
      <c r="F68" s="82">
        <v>0</v>
      </c>
      <c r="G68" s="82">
        <v>0</v>
      </c>
      <c r="H68" s="82">
        <v>0</v>
      </c>
      <c r="I68" s="82">
        <v>0</v>
      </c>
      <c r="J68" s="82">
        <v>0</v>
      </c>
      <c r="K68" s="82">
        <v>0</v>
      </c>
      <c r="L68" s="82">
        <v>0</v>
      </c>
      <c r="M68" s="82">
        <v>0</v>
      </c>
      <c r="N68" s="82">
        <v>0</v>
      </c>
      <c r="O68" s="82">
        <v>0</v>
      </c>
      <c r="P68" s="82">
        <v>0</v>
      </c>
      <c r="Q68" s="82">
        <v>0</v>
      </c>
      <c r="R68" s="82">
        <v>0</v>
      </c>
      <c r="S68" s="82">
        <v>0</v>
      </c>
      <c r="T68" s="82">
        <v>0</v>
      </c>
      <c r="U68" s="82">
        <v>0</v>
      </c>
      <c r="V68" s="82">
        <v>0</v>
      </c>
      <c r="W68" s="82">
        <v>0</v>
      </c>
      <c r="X68" s="49" t="s">
        <v>101</v>
      </c>
      <c r="Y68" s="49" t="s">
        <v>101</v>
      </c>
      <c r="Z68" s="49" t="s">
        <v>101</v>
      </c>
      <c r="AA68" s="49" t="s">
        <v>101</v>
      </c>
      <c r="AB68" s="49" t="s">
        <v>101</v>
      </c>
      <c r="AC68" s="49" t="s">
        <v>101</v>
      </c>
      <c r="AD68" s="49" t="s">
        <v>101</v>
      </c>
      <c r="AE68" s="49" t="s">
        <v>101</v>
      </c>
      <c r="AF68" s="49" t="s">
        <v>101</v>
      </c>
      <c r="AG68" s="49" t="s">
        <v>101</v>
      </c>
      <c r="AH68" s="49" t="s">
        <v>101</v>
      </c>
      <c r="AI68" s="49" t="s">
        <v>101</v>
      </c>
      <c r="AJ68" s="49" t="s">
        <v>101</v>
      </c>
      <c r="AK68" s="49" t="s">
        <v>101</v>
      </c>
      <c r="AL68" s="49" t="s">
        <v>101</v>
      </c>
      <c r="AM68" s="49" t="s">
        <v>101</v>
      </c>
      <c r="AN68" s="49" t="s">
        <v>101</v>
      </c>
      <c r="AO68" s="49" t="s">
        <v>101</v>
      </c>
      <c r="AP68" s="49" t="s">
        <v>101</v>
      </c>
      <c r="AQ68" s="49" t="s">
        <v>101</v>
      </c>
      <c r="AR68" s="49" t="s">
        <v>101</v>
      </c>
      <c r="AS68" s="49" t="s">
        <v>101</v>
      </c>
      <c r="AT68" s="49" t="s">
        <v>101</v>
      </c>
      <c r="AU68" s="49" t="s">
        <v>101</v>
      </c>
      <c r="AV68" s="49" t="s">
        <v>101</v>
      </c>
      <c r="AW68" s="49" t="s">
        <v>101</v>
      </c>
      <c r="AX68" s="49"/>
      <c r="AY68" s="49"/>
    </row>
    <row r="69" spans="1:51">
      <c r="A69" s="103"/>
      <c r="B69" s="58" t="s">
        <v>101</v>
      </c>
      <c r="C69" s="66" t="s">
        <v>101</v>
      </c>
      <c r="D69" s="58" t="s">
        <v>108</v>
      </c>
      <c r="E69" s="56" t="s">
        <v>101</v>
      </c>
      <c r="F69" s="82">
        <v>0</v>
      </c>
      <c r="G69" s="82">
        <v>0</v>
      </c>
      <c r="H69" s="82">
        <v>0</v>
      </c>
      <c r="I69" s="82">
        <v>0</v>
      </c>
      <c r="J69" s="82">
        <v>0</v>
      </c>
      <c r="K69" s="82">
        <v>0</v>
      </c>
      <c r="L69" s="82">
        <v>0</v>
      </c>
      <c r="M69" s="82">
        <v>0</v>
      </c>
      <c r="N69" s="82">
        <v>0</v>
      </c>
      <c r="O69" s="82">
        <v>0</v>
      </c>
      <c r="P69" s="82">
        <v>0</v>
      </c>
      <c r="Q69" s="82">
        <v>0</v>
      </c>
      <c r="R69" s="82">
        <v>0</v>
      </c>
      <c r="S69" s="82">
        <v>0</v>
      </c>
      <c r="T69" s="82">
        <v>0</v>
      </c>
      <c r="U69" s="82">
        <v>0</v>
      </c>
      <c r="V69" s="82">
        <v>0</v>
      </c>
      <c r="W69" s="82">
        <v>0</v>
      </c>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row>
    <row r="70" spans="1:51">
      <c r="A70" s="103"/>
      <c r="B70" s="58" t="s">
        <v>101</v>
      </c>
      <c r="C70" s="66" t="s">
        <v>101</v>
      </c>
      <c r="D70" s="58" t="s">
        <v>110</v>
      </c>
      <c r="E70" s="56" t="s">
        <v>101</v>
      </c>
      <c r="F70" s="82">
        <v>0</v>
      </c>
      <c r="G70" s="82">
        <v>0</v>
      </c>
      <c r="H70" s="82">
        <v>0</v>
      </c>
      <c r="I70" s="82">
        <v>0</v>
      </c>
      <c r="J70" s="82">
        <v>0</v>
      </c>
      <c r="K70" s="82">
        <v>0</v>
      </c>
      <c r="L70" s="82">
        <v>0</v>
      </c>
      <c r="M70" s="82">
        <v>0</v>
      </c>
      <c r="N70" s="82">
        <v>0</v>
      </c>
      <c r="O70" s="82">
        <v>0</v>
      </c>
      <c r="P70" s="82">
        <v>0</v>
      </c>
      <c r="Q70" s="82">
        <v>0</v>
      </c>
      <c r="R70" s="82">
        <v>0</v>
      </c>
      <c r="S70" s="82">
        <v>0</v>
      </c>
      <c r="T70" s="82">
        <v>0</v>
      </c>
      <c r="U70" s="82">
        <v>0</v>
      </c>
      <c r="V70" s="82">
        <v>0</v>
      </c>
      <c r="W70" s="82">
        <v>0</v>
      </c>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row>
    <row r="71" spans="1:51">
      <c r="A71" s="103"/>
      <c r="B71" s="62" t="s">
        <v>101</v>
      </c>
      <c r="C71" s="65" t="s">
        <v>101</v>
      </c>
      <c r="D71" s="58" t="s">
        <v>112</v>
      </c>
      <c r="E71" s="56" t="s">
        <v>101</v>
      </c>
      <c r="F71" s="82">
        <v>0</v>
      </c>
      <c r="G71" s="82">
        <v>0</v>
      </c>
      <c r="H71" s="82">
        <v>0</v>
      </c>
      <c r="I71" s="82">
        <v>0</v>
      </c>
      <c r="J71" s="82">
        <v>0</v>
      </c>
      <c r="K71" s="82">
        <v>0</v>
      </c>
      <c r="L71" s="82">
        <v>0</v>
      </c>
      <c r="M71" s="82">
        <v>0</v>
      </c>
      <c r="N71" s="82">
        <v>0</v>
      </c>
      <c r="O71" s="82">
        <v>0</v>
      </c>
      <c r="P71" s="82">
        <v>0</v>
      </c>
      <c r="Q71" s="82">
        <v>0</v>
      </c>
      <c r="R71" s="82">
        <v>0</v>
      </c>
      <c r="S71" s="82">
        <v>0</v>
      </c>
      <c r="T71" s="82">
        <v>0</v>
      </c>
      <c r="U71" s="82">
        <v>0</v>
      </c>
      <c r="V71" s="82">
        <v>0</v>
      </c>
      <c r="W71" s="82">
        <v>0</v>
      </c>
      <c r="X71" s="49" t="s">
        <v>101</v>
      </c>
      <c r="Y71" s="49" t="s">
        <v>101</v>
      </c>
      <c r="Z71" s="49" t="s">
        <v>101</v>
      </c>
      <c r="AA71" s="49" t="s">
        <v>101</v>
      </c>
      <c r="AB71" s="49" t="s">
        <v>101</v>
      </c>
      <c r="AC71" s="49" t="s">
        <v>101</v>
      </c>
      <c r="AD71" s="49" t="s">
        <v>101</v>
      </c>
      <c r="AE71" s="49" t="s">
        <v>101</v>
      </c>
      <c r="AF71" s="49" t="s">
        <v>101</v>
      </c>
      <c r="AG71" s="49" t="s">
        <v>101</v>
      </c>
      <c r="AH71" s="49" t="s">
        <v>101</v>
      </c>
      <c r="AI71" s="49" t="s">
        <v>101</v>
      </c>
      <c r="AJ71" s="49" t="s">
        <v>101</v>
      </c>
      <c r="AK71" s="49" t="s">
        <v>101</v>
      </c>
      <c r="AL71" s="49" t="s">
        <v>101</v>
      </c>
      <c r="AM71" s="49" t="s">
        <v>101</v>
      </c>
      <c r="AN71" s="49" t="s">
        <v>101</v>
      </c>
      <c r="AO71" s="49" t="s">
        <v>101</v>
      </c>
      <c r="AP71" s="49" t="s">
        <v>101</v>
      </c>
      <c r="AQ71" s="49" t="s">
        <v>101</v>
      </c>
      <c r="AR71" s="49" t="s">
        <v>101</v>
      </c>
      <c r="AS71" s="49" t="s">
        <v>101</v>
      </c>
      <c r="AT71" s="49" t="s">
        <v>101</v>
      </c>
      <c r="AU71" s="49" t="s">
        <v>101</v>
      </c>
      <c r="AV71" s="49" t="s">
        <v>101</v>
      </c>
      <c r="AW71" s="49" t="s">
        <v>101</v>
      </c>
      <c r="AX71" s="49"/>
      <c r="AY71" s="49"/>
    </row>
    <row r="72" spans="1:51">
      <c r="A72" s="103"/>
      <c r="B72" s="62" t="s">
        <v>101</v>
      </c>
      <c r="C72" s="65" t="s">
        <v>101</v>
      </c>
      <c r="D72" s="58" t="s">
        <v>114</v>
      </c>
      <c r="E72" s="56" t="s">
        <v>101</v>
      </c>
      <c r="F72" s="82">
        <v>0</v>
      </c>
      <c r="G72" s="82">
        <v>0</v>
      </c>
      <c r="H72" s="82">
        <v>0</v>
      </c>
      <c r="I72" s="82">
        <v>0</v>
      </c>
      <c r="J72" s="82">
        <v>0</v>
      </c>
      <c r="K72" s="82">
        <v>0</v>
      </c>
      <c r="L72" s="82">
        <v>0</v>
      </c>
      <c r="M72" s="82">
        <v>0</v>
      </c>
      <c r="N72" s="82">
        <v>0</v>
      </c>
      <c r="O72" s="82">
        <v>0</v>
      </c>
      <c r="P72" s="82">
        <v>0</v>
      </c>
      <c r="Q72" s="82">
        <v>0</v>
      </c>
      <c r="R72" s="82">
        <v>0</v>
      </c>
      <c r="S72" s="82">
        <v>0</v>
      </c>
      <c r="T72" s="82">
        <v>0</v>
      </c>
      <c r="U72" s="82">
        <v>0</v>
      </c>
      <c r="V72" s="82">
        <v>0</v>
      </c>
      <c r="W72" s="82">
        <v>0</v>
      </c>
      <c r="X72" s="49" t="s">
        <v>101</v>
      </c>
      <c r="Y72" s="49" t="s">
        <v>101</v>
      </c>
      <c r="Z72" s="49" t="s">
        <v>101</v>
      </c>
      <c r="AA72" s="49" t="s">
        <v>101</v>
      </c>
      <c r="AB72" s="49" t="s">
        <v>101</v>
      </c>
      <c r="AC72" s="49" t="s">
        <v>101</v>
      </c>
      <c r="AD72" s="49" t="s">
        <v>101</v>
      </c>
      <c r="AE72" s="49" t="s">
        <v>101</v>
      </c>
      <c r="AF72" s="49" t="s">
        <v>101</v>
      </c>
      <c r="AG72" s="49" t="s">
        <v>101</v>
      </c>
      <c r="AH72" s="49" t="s">
        <v>101</v>
      </c>
      <c r="AI72" s="49" t="s">
        <v>101</v>
      </c>
      <c r="AJ72" s="49" t="s">
        <v>101</v>
      </c>
      <c r="AK72" s="49" t="s">
        <v>101</v>
      </c>
      <c r="AL72" s="49" t="s">
        <v>101</v>
      </c>
      <c r="AM72" s="49" t="s">
        <v>101</v>
      </c>
      <c r="AN72" s="49" t="s">
        <v>101</v>
      </c>
      <c r="AO72" s="49" t="s">
        <v>101</v>
      </c>
      <c r="AP72" s="49" t="s">
        <v>101</v>
      </c>
      <c r="AQ72" s="49" t="s">
        <v>101</v>
      </c>
      <c r="AR72" s="49" t="s">
        <v>101</v>
      </c>
      <c r="AS72" s="49" t="s">
        <v>101</v>
      </c>
      <c r="AT72" s="49" t="s">
        <v>101</v>
      </c>
      <c r="AU72" s="49" t="s">
        <v>101</v>
      </c>
      <c r="AV72" s="49" t="s">
        <v>101</v>
      </c>
      <c r="AW72" s="49" t="s">
        <v>101</v>
      </c>
      <c r="AX72" s="49"/>
      <c r="AY72" s="49"/>
    </row>
    <row r="73" spans="1:51">
      <c r="A73" s="104"/>
      <c r="B73" s="62" t="s">
        <v>101</v>
      </c>
      <c r="C73" s="65" t="s">
        <v>101</v>
      </c>
      <c r="D73" s="58" t="s">
        <v>116</v>
      </c>
      <c r="E73" s="56" t="s">
        <v>101</v>
      </c>
      <c r="F73" s="82">
        <v>0</v>
      </c>
      <c r="G73" s="82">
        <v>0</v>
      </c>
      <c r="H73" s="82">
        <v>0</v>
      </c>
      <c r="I73" s="82">
        <v>0</v>
      </c>
      <c r="J73" s="82">
        <v>0</v>
      </c>
      <c r="K73" s="82">
        <v>0</v>
      </c>
      <c r="L73" s="82">
        <v>0</v>
      </c>
      <c r="M73" s="82">
        <v>0</v>
      </c>
      <c r="N73" s="82">
        <v>0</v>
      </c>
      <c r="O73" s="82">
        <v>0</v>
      </c>
      <c r="P73" s="82">
        <v>0</v>
      </c>
      <c r="Q73" s="82">
        <v>0</v>
      </c>
      <c r="R73" s="82">
        <v>0</v>
      </c>
      <c r="S73" s="82">
        <v>0</v>
      </c>
      <c r="T73" s="82">
        <v>0</v>
      </c>
      <c r="U73" s="82">
        <v>0</v>
      </c>
      <c r="V73" s="82">
        <v>0</v>
      </c>
      <c r="W73" s="82">
        <v>0</v>
      </c>
      <c r="X73" s="49" t="s">
        <v>101</v>
      </c>
      <c r="Y73" s="49" t="s">
        <v>101</v>
      </c>
      <c r="Z73" s="49" t="s">
        <v>101</v>
      </c>
      <c r="AA73" s="49" t="s">
        <v>101</v>
      </c>
      <c r="AB73" s="49" t="s">
        <v>101</v>
      </c>
      <c r="AC73" s="49" t="s">
        <v>101</v>
      </c>
      <c r="AD73" s="49" t="s">
        <v>101</v>
      </c>
      <c r="AE73" s="49" t="s">
        <v>101</v>
      </c>
      <c r="AF73" s="49" t="s">
        <v>101</v>
      </c>
      <c r="AG73" s="49" t="s">
        <v>101</v>
      </c>
      <c r="AH73" s="49" t="s">
        <v>101</v>
      </c>
      <c r="AI73" s="49" t="s">
        <v>101</v>
      </c>
      <c r="AJ73" s="49" t="s">
        <v>101</v>
      </c>
      <c r="AK73" s="49" t="s">
        <v>101</v>
      </c>
      <c r="AL73" s="49" t="s">
        <v>101</v>
      </c>
      <c r="AM73" s="49" t="s">
        <v>101</v>
      </c>
      <c r="AN73" s="49" t="s">
        <v>101</v>
      </c>
      <c r="AO73" s="49" t="s">
        <v>101</v>
      </c>
      <c r="AP73" s="49" t="s">
        <v>101</v>
      </c>
      <c r="AQ73" s="49" t="s">
        <v>101</v>
      </c>
      <c r="AR73" s="49" t="s">
        <v>101</v>
      </c>
      <c r="AS73" s="49" t="s">
        <v>101</v>
      </c>
      <c r="AT73" s="49" t="s">
        <v>101</v>
      </c>
      <c r="AU73" s="49" t="s">
        <v>101</v>
      </c>
      <c r="AV73" s="49" t="s">
        <v>101</v>
      </c>
      <c r="AW73" s="49" t="s">
        <v>101</v>
      </c>
      <c r="AX73" s="49"/>
      <c r="AY73" s="49"/>
    </row>
    <row r="74" spans="1:51">
      <c r="A74" s="54"/>
      <c r="B74" s="58" t="s">
        <v>129</v>
      </c>
      <c r="C74" s="64" t="s">
        <v>130</v>
      </c>
      <c r="D74" s="58" t="s">
        <v>103</v>
      </c>
      <c r="E74" s="56"/>
      <c r="F74" s="82">
        <v>0</v>
      </c>
      <c r="G74" s="82">
        <v>0</v>
      </c>
      <c r="H74" s="82">
        <v>0</v>
      </c>
      <c r="I74" s="82">
        <v>0</v>
      </c>
      <c r="J74" s="82">
        <v>0</v>
      </c>
      <c r="K74" s="82">
        <v>0</v>
      </c>
      <c r="L74" s="82">
        <v>0</v>
      </c>
      <c r="M74" s="82">
        <v>0</v>
      </c>
      <c r="N74" s="82">
        <v>0</v>
      </c>
      <c r="O74" s="82">
        <v>0</v>
      </c>
      <c r="P74" s="82">
        <v>0</v>
      </c>
      <c r="Q74" s="82">
        <v>0</v>
      </c>
      <c r="R74" s="82">
        <v>0</v>
      </c>
      <c r="S74" s="82">
        <v>0</v>
      </c>
      <c r="T74" s="82">
        <v>0</v>
      </c>
      <c r="U74" s="82">
        <v>0</v>
      </c>
      <c r="V74" s="82">
        <v>0</v>
      </c>
      <c r="W74" s="82">
        <v>0</v>
      </c>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row>
    <row r="75" spans="1:51">
      <c r="A75" s="54"/>
      <c r="B75" s="62" t="s">
        <v>101</v>
      </c>
      <c r="C75" s="65" t="s">
        <v>101</v>
      </c>
      <c r="D75" s="58" t="s">
        <v>106</v>
      </c>
      <c r="E75" s="56"/>
      <c r="F75" s="82">
        <v>0</v>
      </c>
      <c r="G75" s="82">
        <v>0</v>
      </c>
      <c r="H75" s="82">
        <v>0</v>
      </c>
      <c r="I75" s="82">
        <v>0</v>
      </c>
      <c r="J75" s="82">
        <v>0</v>
      </c>
      <c r="K75" s="82">
        <v>0</v>
      </c>
      <c r="L75" s="82">
        <v>0</v>
      </c>
      <c r="M75" s="82">
        <v>0</v>
      </c>
      <c r="N75" s="82">
        <v>0</v>
      </c>
      <c r="O75" s="82">
        <v>0</v>
      </c>
      <c r="P75" s="82">
        <v>0</v>
      </c>
      <c r="Q75" s="82">
        <v>0</v>
      </c>
      <c r="R75" s="82">
        <v>0</v>
      </c>
      <c r="S75" s="82">
        <v>0</v>
      </c>
      <c r="T75" s="82">
        <v>0</v>
      </c>
      <c r="U75" s="82">
        <v>0</v>
      </c>
      <c r="V75" s="82">
        <v>0</v>
      </c>
      <c r="W75" s="82">
        <v>0</v>
      </c>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row>
    <row r="76" spans="1:51">
      <c r="A76" s="54"/>
      <c r="B76" s="58" t="s">
        <v>101</v>
      </c>
      <c r="C76" s="66" t="s">
        <v>101</v>
      </c>
      <c r="D76" s="58" t="s">
        <v>108</v>
      </c>
      <c r="E76" s="56"/>
      <c r="F76" s="82">
        <v>0</v>
      </c>
      <c r="G76" s="82">
        <v>0</v>
      </c>
      <c r="H76" s="82">
        <v>0</v>
      </c>
      <c r="I76" s="82">
        <v>0</v>
      </c>
      <c r="J76" s="82">
        <v>0</v>
      </c>
      <c r="K76" s="82">
        <v>0</v>
      </c>
      <c r="L76" s="82">
        <v>0</v>
      </c>
      <c r="M76" s="82">
        <v>0</v>
      </c>
      <c r="N76" s="82">
        <v>0</v>
      </c>
      <c r="O76" s="82">
        <v>0</v>
      </c>
      <c r="P76" s="82">
        <v>0</v>
      </c>
      <c r="Q76" s="82">
        <v>0</v>
      </c>
      <c r="R76" s="82">
        <v>0</v>
      </c>
      <c r="S76" s="82">
        <v>0</v>
      </c>
      <c r="T76" s="82">
        <v>0</v>
      </c>
      <c r="U76" s="82">
        <v>0</v>
      </c>
      <c r="V76" s="82">
        <v>0</v>
      </c>
      <c r="W76" s="82">
        <v>0</v>
      </c>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row>
    <row r="77" spans="1:51">
      <c r="A77" s="54"/>
      <c r="B77" s="58" t="s">
        <v>101</v>
      </c>
      <c r="C77" s="66" t="s">
        <v>101</v>
      </c>
      <c r="D77" s="58" t="s">
        <v>110</v>
      </c>
      <c r="E77" s="56"/>
      <c r="F77" s="82">
        <v>0</v>
      </c>
      <c r="G77" s="82">
        <v>0</v>
      </c>
      <c r="H77" s="82">
        <v>0</v>
      </c>
      <c r="I77" s="82">
        <v>0</v>
      </c>
      <c r="J77" s="82">
        <v>0</v>
      </c>
      <c r="K77" s="82">
        <v>0</v>
      </c>
      <c r="L77" s="82">
        <v>0</v>
      </c>
      <c r="M77" s="82">
        <v>0</v>
      </c>
      <c r="N77" s="82">
        <v>0</v>
      </c>
      <c r="O77" s="82">
        <v>0</v>
      </c>
      <c r="P77" s="82">
        <v>0</v>
      </c>
      <c r="Q77" s="82">
        <v>0</v>
      </c>
      <c r="R77" s="21">
        <v>5</v>
      </c>
      <c r="S77" s="21">
        <v>1</v>
      </c>
      <c r="T77" s="21">
        <v>2</v>
      </c>
      <c r="U77" s="25">
        <v>14</v>
      </c>
      <c r="V77" s="79">
        <v>2</v>
      </c>
      <c r="W77" s="79">
        <v>1</v>
      </c>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row>
    <row r="78" spans="1:51">
      <c r="A78" s="54"/>
      <c r="B78" s="62" t="s">
        <v>101</v>
      </c>
      <c r="C78" s="65" t="s">
        <v>101</v>
      </c>
      <c r="D78" s="58" t="s">
        <v>112</v>
      </c>
      <c r="E78" s="56"/>
      <c r="F78" s="82">
        <v>0</v>
      </c>
      <c r="G78" s="82">
        <v>0</v>
      </c>
      <c r="H78" s="82">
        <v>0</v>
      </c>
      <c r="I78" s="82">
        <v>0</v>
      </c>
      <c r="J78" s="82">
        <v>0</v>
      </c>
      <c r="K78" s="82">
        <v>0</v>
      </c>
      <c r="L78" s="82">
        <v>0</v>
      </c>
      <c r="M78" s="82">
        <v>0</v>
      </c>
      <c r="N78" s="82">
        <v>0</v>
      </c>
      <c r="O78" s="82">
        <v>0</v>
      </c>
      <c r="P78" s="82">
        <v>0</v>
      </c>
      <c r="Q78" s="82">
        <v>0</v>
      </c>
      <c r="R78" s="82">
        <v>0</v>
      </c>
      <c r="S78" s="82">
        <v>0</v>
      </c>
      <c r="T78" s="82">
        <v>0</v>
      </c>
      <c r="U78" s="82">
        <v>0</v>
      </c>
      <c r="V78" s="82">
        <v>0</v>
      </c>
      <c r="W78" s="82">
        <v>0</v>
      </c>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row>
    <row r="79" spans="1:51">
      <c r="A79" s="54"/>
      <c r="B79" s="62" t="s">
        <v>101</v>
      </c>
      <c r="C79" s="65" t="s">
        <v>101</v>
      </c>
      <c r="D79" s="58" t="s">
        <v>114</v>
      </c>
      <c r="E79" s="56"/>
      <c r="F79" s="82">
        <v>0</v>
      </c>
      <c r="G79" s="82">
        <v>0</v>
      </c>
      <c r="H79" s="82">
        <v>0</v>
      </c>
      <c r="I79" s="82">
        <v>0</v>
      </c>
      <c r="J79" s="82">
        <v>0</v>
      </c>
      <c r="K79" s="82">
        <v>0</v>
      </c>
      <c r="L79" s="82">
        <v>0</v>
      </c>
      <c r="M79" s="82">
        <v>0</v>
      </c>
      <c r="N79" s="82">
        <v>0</v>
      </c>
      <c r="O79" s="82">
        <v>0</v>
      </c>
      <c r="P79" s="82">
        <v>0</v>
      </c>
      <c r="Q79" s="82">
        <v>0</v>
      </c>
      <c r="R79" s="82">
        <v>0</v>
      </c>
      <c r="S79" s="82">
        <v>0</v>
      </c>
      <c r="T79" s="82">
        <v>0</v>
      </c>
      <c r="U79" s="82">
        <v>0</v>
      </c>
      <c r="V79" s="82">
        <v>0</v>
      </c>
      <c r="W79" s="82">
        <v>0</v>
      </c>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row>
    <row r="80" spans="1:51">
      <c r="A80" s="54"/>
      <c r="B80" s="62" t="s">
        <v>101</v>
      </c>
      <c r="C80" s="65" t="s">
        <v>101</v>
      </c>
      <c r="D80" s="58" t="s">
        <v>116</v>
      </c>
      <c r="E80" s="56"/>
      <c r="F80" s="82">
        <v>0</v>
      </c>
      <c r="G80" s="82">
        <v>0</v>
      </c>
      <c r="H80" s="82">
        <v>0</v>
      </c>
      <c r="I80" s="82">
        <v>0</v>
      </c>
      <c r="J80" s="82">
        <v>0</v>
      </c>
      <c r="K80" s="82">
        <v>0</v>
      </c>
      <c r="L80" s="82">
        <v>0</v>
      </c>
      <c r="M80" s="82">
        <v>0</v>
      </c>
      <c r="N80" s="82">
        <v>0</v>
      </c>
      <c r="O80" s="82">
        <v>0</v>
      </c>
      <c r="P80" s="82">
        <v>0</v>
      </c>
      <c r="Q80" s="82">
        <v>0</v>
      </c>
      <c r="R80" s="82">
        <v>0</v>
      </c>
      <c r="S80" s="82">
        <v>0</v>
      </c>
      <c r="T80" s="82">
        <v>0</v>
      </c>
      <c r="U80" s="82">
        <v>0</v>
      </c>
      <c r="V80" s="82">
        <v>0</v>
      </c>
      <c r="W80" s="82">
        <v>0</v>
      </c>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row>
    <row r="81" spans="1:51">
      <c r="A81" s="54"/>
      <c r="B81" s="58" t="s">
        <v>131</v>
      </c>
      <c r="C81" s="64" t="s">
        <v>132</v>
      </c>
      <c r="D81" s="58" t="s">
        <v>103</v>
      </c>
      <c r="E81" s="56"/>
      <c r="F81" s="82">
        <v>0</v>
      </c>
      <c r="G81" s="82">
        <v>0</v>
      </c>
      <c r="H81" s="82">
        <v>0</v>
      </c>
      <c r="I81" s="82">
        <v>0</v>
      </c>
      <c r="J81" s="82">
        <v>0</v>
      </c>
      <c r="K81" s="82">
        <v>0</v>
      </c>
      <c r="L81" s="82">
        <v>0</v>
      </c>
      <c r="M81" s="82">
        <v>0</v>
      </c>
      <c r="N81" s="82">
        <v>0</v>
      </c>
      <c r="O81" s="82">
        <v>0</v>
      </c>
      <c r="P81" s="82">
        <v>0</v>
      </c>
      <c r="Q81" s="82">
        <v>0</v>
      </c>
      <c r="R81" s="82">
        <v>0</v>
      </c>
      <c r="S81" s="82">
        <v>0</v>
      </c>
      <c r="T81" s="82">
        <v>0</v>
      </c>
      <c r="U81" s="82">
        <v>0</v>
      </c>
      <c r="V81" s="82">
        <v>0</v>
      </c>
      <c r="W81" s="82">
        <v>0</v>
      </c>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row>
    <row r="82" spans="1:51">
      <c r="A82" s="54"/>
      <c r="B82" s="62" t="s">
        <v>101</v>
      </c>
      <c r="C82" s="65" t="s">
        <v>101</v>
      </c>
      <c r="D82" s="58" t="s">
        <v>106</v>
      </c>
      <c r="E82" s="56"/>
      <c r="F82" s="82">
        <v>0</v>
      </c>
      <c r="G82" s="82">
        <v>0</v>
      </c>
      <c r="H82" s="82">
        <v>0</v>
      </c>
      <c r="I82" s="82">
        <v>0</v>
      </c>
      <c r="J82" s="82">
        <v>0</v>
      </c>
      <c r="K82" s="82">
        <v>0</v>
      </c>
      <c r="L82" s="82">
        <v>0</v>
      </c>
      <c r="M82" s="82">
        <v>0</v>
      </c>
      <c r="N82" s="82">
        <v>0</v>
      </c>
      <c r="O82" s="82">
        <v>0</v>
      </c>
      <c r="P82" s="82">
        <v>0</v>
      </c>
      <c r="Q82" s="82">
        <v>0</v>
      </c>
      <c r="R82" s="82">
        <v>0</v>
      </c>
      <c r="S82" s="82">
        <v>0</v>
      </c>
      <c r="T82" s="82">
        <v>0</v>
      </c>
      <c r="U82" s="82">
        <v>0</v>
      </c>
      <c r="V82" s="82">
        <v>0</v>
      </c>
      <c r="W82" s="82">
        <v>0</v>
      </c>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row>
    <row r="83" spans="1:51">
      <c r="A83" s="54"/>
      <c r="B83" s="58" t="s">
        <v>101</v>
      </c>
      <c r="C83" s="66" t="s">
        <v>101</v>
      </c>
      <c r="D83" s="58" t="s">
        <v>108</v>
      </c>
      <c r="E83" s="56"/>
      <c r="F83" s="82">
        <v>0</v>
      </c>
      <c r="G83" s="82">
        <v>0</v>
      </c>
      <c r="H83" s="82">
        <v>0</v>
      </c>
      <c r="I83" s="82">
        <v>0</v>
      </c>
      <c r="J83" s="82">
        <v>0</v>
      </c>
      <c r="K83" s="82">
        <v>0</v>
      </c>
      <c r="L83" s="82">
        <v>0</v>
      </c>
      <c r="M83" s="82">
        <v>0</v>
      </c>
      <c r="N83" s="82">
        <v>0</v>
      </c>
      <c r="O83" s="82">
        <v>0</v>
      </c>
      <c r="P83" s="82">
        <v>0</v>
      </c>
      <c r="Q83" s="82">
        <v>0</v>
      </c>
      <c r="R83" s="82">
        <v>0</v>
      </c>
      <c r="S83" s="82">
        <v>0</v>
      </c>
      <c r="T83" s="82">
        <v>0</v>
      </c>
      <c r="U83" s="82">
        <v>0</v>
      </c>
      <c r="V83" s="82">
        <v>0</v>
      </c>
      <c r="W83" s="82">
        <v>0</v>
      </c>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row>
    <row r="84" spans="1:51">
      <c r="A84" s="54"/>
      <c r="B84" s="58" t="s">
        <v>101</v>
      </c>
      <c r="C84" s="66" t="s">
        <v>101</v>
      </c>
      <c r="D84" s="58" t="s">
        <v>110</v>
      </c>
      <c r="E84" s="56"/>
      <c r="F84" s="82">
        <v>0</v>
      </c>
      <c r="G84" s="82">
        <v>0</v>
      </c>
      <c r="H84" s="82">
        <v>0</v>
      </c>
      <c r="I84" s="82">
        <v>0</v>
      </c>
      <c r="J84" s="82">
        <v>0</v>
      </c>
      <c r="K84" s="82">
        <v>0</v>
      </c>
      <c r="L84" s="82">
        <v>0</v>
      </c>
      <c r="M84" s="82">
        <v>0</v>
      </c>
      <c r="N84" s="82">
        <v>0</v>
      </c>
      <c r="O84" s="82">
        <v>0</v>
      </c>
      <c r="P84" s="82">
        <v>0</v>
      </c>
      <c r="Q84" s="82">
        <v>0</v>
      </c>
      <c r="R84" s="21">
        <v>23</v>
      </c>
      <c r="S84" s="21">
        <v>0</v>
      </c>
      <c r="T84" s="21">
        <v>0</v>
      </c>
      <c r="U84" s="25">
        <v>4</v>
      </c>
      <c r="V84" s="79">
        <v>5</v>
      </c>
      <c r="W84" s="79">
        <v>1</v>
      </c>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row>
    <row r="85" spans="1:51">
      <c r="A85" s="54"/>
      <c r="B85" s="62" t="s">
        <v>101</v>
      </c>
      <c r="C85" s="65" t="s">
        <v>101</v>
      </c>
      <c r="D85" s="58" t="s">
        <v>112</v>
      </c>
      <c r="E85" s="56"/>
      <c r="F85" s="82">
        <v>0</v>
      </c>
      <c r="G85" s="82">
        <v>0</v>
      </c>
      <c r="H85" s="82">
        <v>0</v>
      </c>
      <c r="I85" s="82">
        <v>0</v>
      </c>
      <c r="J85" s="82">
        <v>0</v>
      </c>
      <c r="K85" s="82">
        <v>0</v>
      </c>
      <c r="L85" s="82">
        <v>0</v>
      </c>
      <c r="M85" s="82">
        <v>0</v>
      </c>
      <c r="N85" s="82">
        <v>0</v>
      </c>
      <c r="O85" s="82">
        <v>0</v>
      </c>
      <c r="P85" s="82">
        <v>0</v>
      </c>
      <c r="Q85" s="82">
        <v>0</v>
      </c>
      <c r="R85" s="82">
        <v>0</v>
      </c>
      <c r="S85" s="82">
        <v>0</v>
      </c>
      <c r="T85" s="82">
        <v>0</v>
      </c>
      <c r="U85" s="82">
        <v>0</v>
      </c>
      <c r="V85" s="82">
        <v>0</v>
      </c>
      <c r="W85" s="82">
        <v>0</v>
      </c>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row>
    <row r="86" spans="1:51">
      <c r="A86" s="54"/>
      <c r="B86" s="62" t="s">
        <v>101</v>
      </c>
      <c r="C86" s="65" t="s">
        <v>101</v>
      </c>
      <c r="D86" s="58" t="s">
        <v>114</v>
      </c>
      <c r="E86" s="56"/>
      <c r="F86" s="82">
        <v>0</v>
      </c>
      <c r="G86" s="82">
        <v>0</v>
      </c>
      <c r="H86" s="82">
        <v>0</v>
      </c>
      <c r="I86" s="82">
        <v>0</v>
      </c>
      <c r="J86" s="82">
        <v>0</v>
      </c>
      <c r="K86" s="82">
        <v>0</v>
      </c>
      <c r="L86" s="82">
        <v>0</v>
      </c>
      <c r="M86" s="82">
        <v>0</v>
      </c>
      <c r="N86" s="82">
        <v>0</v>
      </c>
      <c r="O86" s="82">
        <v>0</v>
      </c>
      <c r="P86" s="82">
        <v>0</v>
      </c>
      <c r="Q86" s="82">
        <v>0</v>
      </c>
      <c r="R86" s="82">
        <v>0</v>
      </c>
      <c r="S86" s="82">
        <v>0</v>
      </c>
      <c r="T86" s="82">
        <v>0</v>
      </c>
      <c r="U86" s="82">
        <v>0</v>
      </c>
      <c r="V86" s="82">
        <v>0</v>
      </c>
      <c r="W86" s="82">
        <v>0</v>
      </c>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row>
    <row r="87" spans="1:51">
      <c r="A87" s="54"/>
      <c r="B87" s="62" t="s">
        <v>101</v>
      </c>
      <c r="C87" s="65" t="s">
        <v>101</v>
      </c>
      <c r="D87" s="58" t="s">
        <v>116</v>
      </c>
      <c r="E87" s="56"/>
      <c r="F87" s="82">
        <v>0</v>
      </c>
      <c r="G87" s="82">
        <v>0</v>
      </c>
      <c r="H87" s="82">
        <v>0</v>
      </c>
      <c r="I87" s="82">
        <v>0</v>
      </c>
      <c r="J87" s="82">
        <v>0</v>
      </c>
      <c r="K87" s="82">
        <v>0</v>
      </c>
      <c r="L87" s="82">
        <v>0</v>
      </c>
      <c r="M87" s="82">
        <v>0</v>
      </c>
      <c r="N87" s="82">
        <v>0</v>
      </c>
      <c r="O87" s="82">
        <v>0</v>
      </c>
      <c r="P87" s="82">
        <v>0</v>
      </c>
      <c r="Q87" s="82">
        <v>0</v>
      </c>
      <c r="R87" s="82">
        <v>0</v>
      </c>
      <c r="S87" s="82">
        <v>0</v>
      </c>
      <c r="T87" s="82">
        <v>0</v>
      </c>
      <c r="U87" s="82">
        <v>0</v>
      </c>
      <c r="V87" s="82">
        <v>0</v>
      </c>
      <c r="W87" s="82">
        <v>0</v>
      </c>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row>
    <row r="88" spans="1:51">
      <c r="A88" s="108">
        <v>5</v>
      </c>
      <c r="B88" s="105" t="s">
        <v>133</v>
      </c>
      <c r="C88" s="106"/>
      <c r="D88" s="107"/>
      <c r="E88" s="111" t="s">
        <v>134</v>
      </c>
      <c r="F88" s="21"/>
      <c r="G88" s="21"/>
      <c r="H88" s="21"/>
      <c r="I88" s="21"/>
      <c r="J88" s="21"/>
      <c r="K88" s="21"/>
      <c r="L88" s="21"/>
      <c r="M88" s="21"/>
      <c r="N88" s="21"/>
      <c r="O88" s="21"/>
      <c r="P88" s="21"/>
      <c r="Q88" s="21"/>
      <c r="R88" s="21"/>
      <c r="S88" s="21"/>
      <c r="T88" s="21"/>
      <c r="U88" s="25"/>
      <c r="V88" s="79"/>
      <c r="W88" s="79"/>
      <c r="X88" s="42"/>
      <c r="Y88" s="22"/>
      <c r="Z88" s="22"/>
      <c r="AA88" s="22"/>
      <c r="AB88" s="22"/>
      <c r="AC88" s="23"/>
    </row>
    <row r="89" spans="1:51">
      <c r="A89" s="109"/>
      <c r="B89" s="21"/>
      <c r="C89" s="95" t="s">
        <v>135</v>
      </c>
      <c r="D89" s="96"/>
      <c r="E89" s="112"/>
      <c r="F89" s="21"/>
      <c r="G89" s="21"/>
      <c r="H89" s="21"/>
      <c r="I89" s="21"/>
      <c r="J89" s="21"/>
      <c r="K89" s="21"/>
      <c r="L89" s="21"/>
      <c r="M89" s="21"/>
      <c r="N89" s="21"/>
      <c r="O89" s="21"/>
      <c r="P89" s="21"/>
      <c r="Q89" s="21"/>
      <c r="R89" s="21"/>
      <c r="S89" s="21"/>
      <c r="T89" s="21"/>
      <c r="U89" s="25"/>
      <c r="V89" s="79"/>
      <c r="W89" s="79"/>
      <c r="X89" s="42"/>
      <c r="Y89" s="22"/>
      <c r="Z89" s="22"/>
      <c r="AA89" s="22"/>
      <c r="AB89" s="22"/>
      <c r="AC89" s="23"/>
    </row>
    <row r="90" spans="1:51">
      <c r="A90" s="109"/>
      <c r="B90" s="21"/>
      <c r="C90" s="95" t="s">
        <v>136</v>
      </c>
      <c r="D90" s="96"/>
      <c r="E90" s="112"/>
      <c r="F90" s="21"/>
      <c r="G90" s="21"/>
      <c r="H90" s="21"/>
      <c r="I90" s="21"/>
      <c r="J90" s="21"/>
      <c r="K90" s="21"/>
      <c r="L90" s="21"/>
      <c r="M90" s="21"/>
      <c r="N90" s="21"/>
      <c r="O90" s="21"/>
      <c r="P90" s="21"/>
      <c r="Q90" s="21"/>
      <c r="R90" s="21"/>
      <c r="S90" s="21"/>
      <c r="T90" s="21"/>
      <c r="U90" s="25"/>
      <c r="V90" s="79"/>
      <c r="W90" s="79"/>
      <c r="X90" s="42"/>
      <c r="Y90" s="22"/>
      <c r="Z90" s="22"/>
      <c r="AA90" s="22"/>
      <c r="AB90" s="22"/>
      <c r="AC90" s="23"/>
    </row>
    <row r="91" spans="1:51">
      <c r="A91" s="109"/>
      <c r="B91" s="21"/>
      <c r="C91" s="95" t="s">
        <v>137</v>
      </c>
      <c r="D91" s="96"/>
      <c r="E91" s="112"/>
      <c r="F91" s="21"/>
      <c r="G91" s="21"/>
      <c r="H91" s="21"/>
      <c r="I91" s="21"/>
      <c r="J91" s="21"/>
      <c r="K91" s="21"/>
      <c r="L91" s="21"/>
      <c r="M91" s="21"/>
      <c r="N91" s="21"/>
      <c r="O91" s="21"/>
      <c r="P91" s="21"/>
      <c r="Q91" s="21"/>
      <c r="R91" s="21"/>
      <c r="S91" s="21"/>
      <c r="T91" s="21"/>
      <c r="U91" s="25"/>
      <c r="V91" s="79"/>
      <c r="W91" s="79"/>
      <c r="X91" s="42"/>
      <c r="Y91" s="22"/>
      <c r="Z91" s="22"/>
      <c r="AA91" s="22"/>
      <c r="AB91" s="22"/>
      <c r="AC91" s="23"/>
    </row>
    <row r="92" spans="1:51">
      <c r="A92" s="110"/>
      <c r="B92" s="21"/>
      <c r="C92" s="105" t="s">
        <v>138</v>
      </c>
      <c r="D92" s="107"/>
      <c r="E92" s="113"/>
      <c r="F92" s="21"/>
      <c r="G92" s="21"/>
      <c r="H92" s="21"/>
      <c r="I92" s="21"/>
      <c r="J92" s="21"/>
      <c r="K92" s="21"/>
      <c r="L92" s="21"/>
      <c r="M92" s="21"/>
      <c r="N92" s="21"/>
      <c r="O92" s="21"/>
      <c r="P92" s="21"/>
      <c r="Q92" s="21"/>
      <c r="R92" s="21"/>
      <c r="S92" s="21"/>
      <c r="T92" s="21"/>
      <c r="U92" s="25"/>
      <c r="V92" s="79"/>
      <c r="W92" s="79"/>
      <c r="X92" s="42"/>
      <c r="Y92" s="22"/>
      <c r="Z92" s="22"/>
      <c r="AA92" s="22"/>
      <c r="AB92" s="22"/>
      <c r="AC92" s="23"/>
    </row>
    <row r="93" spans="1:51">
      <c r="A93" s="108">
        <v>6</v>
      </c>
      <c r="B93" s="105" t="s">
        <v>139</v>
      </c>
      <c r="C93" s="106"/>
      <c r="D93" s="107"/>
      <c r="E93" s="111" t="s">
        <v>140</v>
      </c>
      <c r="F93" s="21"/>
      <c r="G93" s="21"/>
      <c r="H93" s="21"/>
      <c r="I93" s="21"/>
      <c r="J93" s="21"/>
      <c r="K93" s="21"/>
      <c r="L93" s="21"/>
      <c r="M93" s="21"/>
      <c r="N93" s="21"/>
      <c r="O93" s="21"/>
      <c r="P93" s="21"/>
      <c r="Q93" s="21"/>
      <c r="R93" s="21"/>
      <c r="S93" s="21"/>
      <c r="T93" s="21"/>
      <c r="U93" s="25"/>
      <c r="V93" s="79"/>
      <c r="W93" s="79"/>
      <c r="X93" s="42"/>
      <c r="Y93" s="22"/>
      <c r="Z93" s="22"/>
      <c r="AA93" s="22"/>
      <c r="AB93" s="22"/>
      <c r="AC93" s="23"/>
    </row>
    <row r="94" spans="1:51">
      <c r="A94" s="109"/>
      <c r="B94" s="21"/>
      <c r="C94" s="95" t="s">
        <v>141</v>
      </c>
      <c r="D94" s="96"/>
      <c r="E94" s="112"/>
      <c r="F94" s="21"/>
      <c r="G94" s="21"/>
      <c r="H94" s="21"/>
      <c r="I94" s="21"/>
      <c r="J94" s="21"/>
      <c r="K94" s="21"/>
      <c r="L94" s="21"/>
      <c r="M94" s="21"/>
      <c r="N94" s="21"/>
      <c r="O94" s="21"/>
      <c r="P94" s="21"/>
      <c r="Q94" s="21"/>
      <c r="R94" s="21"/>
      <c r="S94" s="21"/>
      <c r="T94" s="21"/>
      <c r="U94" s="25"/>
      <c r="V94" s="79"/>
      <c r="W94" s="79"/>
      <c r="X94" s="42"/>
      <c r="Y94" s="22"/>
      <c r="Z94" s="22"/>
      <c r="AA94" s="22"/>
      <c r="AB94" s="22"/>
      <c r="AC94" s="23"/>
    </row>
    <row r="95" spans="1:51" ht="16.5" customHeight="1">
      <c r="A95" s="109"/>
      <c r="B95" s="21"/>
      <c r="C95" s="95" t="s">
        <v>142</v>
      </c>
      <c r="D95" s="96"/>
      <c r="E95" s="112"/>
      <c r="F95" s="21"/>
      <c r="G95" s="21"/>
      <c r="H95" s="21"/>
      <c r="I95" s="21"/>
      <c r="J95" s="21"/>
      <c r="K95" s="21"/>
      <c r="L95" s="21"/>
      <c r="M95" s="21"/>
      <c r="N95" s="21"/>
      <c r="O95" s="21"/>
      <c r="P95" s="21"/>
      <c r="Q95" s="21"/>
      <c r="R95" s="21" t="s">
        <v>143</v>
      </c>
      <c r="S95" s="21" t="s">
        <v>144</v>
      </c>
      <c r="T95" s="21" t="s">
        <v>145</v>
      </c>
      <c r="U95" s="25" t="s">
        <v>146</v>
      </c>
      <c r="V95" s="79" t="s">
        <v>147</v>
      </c>
      <c r="W95" s="79" t="s">
        <v>148</v>
      </c>
      <c r="X95" s="42"/>
      <c r="Y95" s="22"/>
      <c r="Z95" s="22"/>
      <c r="AA95" s="22"/>
      <c r="AB95" s="22"/>
      <c r="AC95" s="23"/>
    </row>
    <row r="96" spans="1:51">
      <c r="A96" s="109"/>
      <c r="B96" s="21"/>
      <c r="C96" s="95" t="s">
        <v>149</v>
      </c>
      <c r="D96" s="96"/>
      <c r="E96" s="112"/>
      <c r="F96" s="21"/>
      <c r="G96" s="21"/>
      <c r="H96" s="21"/>
      <c r="I96" s="21"/>
      <c r="J96" s="21"/>
      <c r="K96" s="21"/>
      <c r="L96" s="21"/>
      <c r="M96" s="21"/>
      <c r="N96" s="21"/>
      <c r="O96" s="21"/>
      <c r="P96" s="21"/>
      <c r="Q96" s="21"/>
      <c r="R96" s="21"/>
      <c r="S96" s="21"/>
      <c r="T96" s="21"/>
      <c r="U96" s="25"/>
      <c r="V96" s="79"/>
      <c r="W96" s="79"/>
      <c r="X96" s="42"/>
      <c r="Y96" s="22"/>
      <c r="Z96" s="22"/>
      <c r="AA96" s="22"/>
      <c r="AB96" s="22"/>
      <c r="AC96" s="23"/>
    </row>
    <row r="97" spans="1:51">
      <c r="A97" s="109"/>
      <c r="B97" s="21"/>
      <c r="C97" s="95" t="s">
        <v>150</v>
      </c>
      <c r="D97" s="96"/>
      <c r="E97" s="112"/>
      <c r="F97" s="21"/>
      <c r="G97" s="21"/>
      <c r="H97" s="21"/>
      <c r="I97" s="21"/>
      <c r="J97" s="21"/>
      <c r="K97" s="21"/>
      <c r="L97" s="21"/>
      <c r="M97" s="21"/>
      <c r="N97" s="21"/>
      <c r="O97" s="21"/>
      <c r="P97" s="21"/>
      <c r="Q97" s="21"/>
      <c r="R97" s="21"/>
      <c r="S97" s="21"/>
      <c r="T97" s="21"/>
      <c r="U97" s="25"/>
      <c r="V97" s="79"/>
      <c r="W97" s="79"/>
      <c r="X97" s="42"/>
      <c r="Y97" s="22"/>
      <c r="Z97" s="22"/>
      <c r="AA97" s="22"/>
      <c r="AB97" s="22"/>
      <c r="AC97" s="23"/>
    </row>
    <row r="98" spans="1:51">
      <c r="A98" s="110"/>
      <c r="B98" s="21"/>
      <c r="C98" s="95" t="s">
        <v>120</v>
      </c>
      <c r="D98" s="96"/>
      <c r="E98" s="113"/>
      <c r="F98" s="21"/>
      <c r="G98" s="21"/>
      <c r="H98" s="21"/>
      <c r="I98" s="21"/>
      <c r="J98" s="21"/>
      <c r="K98" s="21"/>
      <c r="L98" s="21"/>
      <c r="M98" s="21"/>
      <c r="N98" s="21"/>
      <c r="O98" s="21"/>
      <c r="P98" s="21"/>
      <c r="Q98" s="21"/>
      <c r="R98" s="21" t="s">
        <v>151</v>
      </c>
      <c r="S98" s="21" t="s">
        <v>152</v>
      </c>
      <c r="T98" s="21" t="s">
        <v>153</v>
      </c>
      <c r="U98" s="25" t="s">
        <v>154</v>
      </c>
      <c r="V98" s="79" t="s">
        <v>155</v>
      </c>
      <c r="W98" s="79" t="s">
        <v>156</v>
      </c>
      <c r="X98" s="42"/>
      <c r="Y98" s="22"/>
      <c r="Z98" s="22"/>
      <c r="AA98" s="22"/>
      <c r="AB98" s="22"/>
      <c r="AC98" s="23"/>
    </row>
    <row r="99" spans="1:51">
      <c r="A99" s="83"/>
      <c r="B99" s="83"/>
      <c r="C99" s="84"/>
      <c r="D99" s="84"/>
      <c r="E99" s="85"/>
      <c r="F99" s="83"/>
      <c r="G99" s="83"/>
      <c r="H99" s="83"/>
      <c r="I99" s="83"/>
      <c r="J99" s="83"/>
      <c r="K99" s="83"/>
      <c r="L99" s="83"/>
      <c r="M99" s="83"/>
      <c r="N99" s="83"/>
      <c r="O99" s="83"/>
      <c r="P99" s="83"/>
      <c r="Q99" s="83"/>
      <c r="R99" s="83"/>
      <c r="S99" s="83"/>
      <c r="T99" s="83"/>
      <c r="U99" s="83"/>
      <c r="V99" s="86"/>
      <c r="W99" s="86"/>
      <c r="X99" s="83"/>
      <c r="Y99" s="83"/>
      <c r="Z99" s="83"/>
      <c r="AA99" s="83"/>
      <c r="AB99" s="83"/>
      <c r="AC99" s="83"/>
    </row>
    <row r="100" spans="1:51">
      <c r="A100" s="67"/>
      <c r="B100" s="97" t="s">
        <v>157</v>
      </c>
      <c r="C100" s="98"/>
      <c r="D100" s="98"/>
      <c r="E100" s="80"/>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row>
    <row r="101" spans="1:51">
      <c r="A101" s="67"/>
      <c r="C101" s="68" t="s">
        <v>158</v>
      </c>
      <c r="D101" s="69" t="s">
        <v>159</v>
      </c>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row>
    <row r="102" spans="1:51">
      <c r="A102" s="67"/>
      <c r="B102" s="49"/>
      <c r="C102" s="68"/>
      <c r="D102" s="69" t="s">
        <v>160</v>
      </c>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row>
    <row r="103" spans="1:51">
      <c r="A103" s="67"/>
      <c r="B103" s="49"/>
      <c r="C103" s="68"/>
      <c r="D103" s="69" t="s">
        <v>161</v>
      </c>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row>
    <row r="104" spans="1:51">
      <c r="A104" s="67"/>
      <c r="B104" s="49"/>
      <c r="C104" s="68" t="s">
        <v>162</v>
      </c>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row>
    <row r="105" spans="1:51">
      <c r="A105" s="67"/>
      <c r="B105" s="49"/>
      <c r="C105" s="70" t="s">
        <v>103</v>
      </c>
      <c r="D105" s="120" t="s">
        <v>163</v>
      </c>
      <c r="E105" s="120"/>
      <c r="F105" s="120"/>
      <c r="G105" s="120"/>
      <c r="H105" s="120"/>
      <c r="I105" s="120"/>
      <c r="J105" s="120"/>
      <c r="K105" s="120"/>
      <c r="L105" s="120"/>
      <c r="M105" s="120"/>
      <c r="N105" s="120"/>
      <c r="O105" s="121"/>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row>
    <row r="106" spans="1:51">
      <c r="A106" s="67"/>
      <c r="B106" s="49"/>
      <c r="C106" s="66" t="s">
        <v>106</v>
      </c>
      <c r="D106" s="120" t="s">
        <v>164</v>
      </c>
      <c r="E106" s="120"/>
      <c r="F106" s="120"/>
      <c r="G106" s="120"/>
      <c r="H106" s="120"/>
      <c r="I106" s="120"/>
      <c r="J106" s="120"/>
      <c r="K106" s="120"/>
      <c r="L106" s="120"/>
      <c r="M106" s="120"/>
      <c r="N106" s="120"/>
      <c r="O106" s="121"/>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row>
    <row r="107" spans="1:51">
      <c r="A107" s="67"/>
      <c r="B107" s="49"/>
      <c r="C107" s="66" t="s">
        <v>108</v>
      </c>
      <c r="D107" s="120" t="s">
        <v>165</v>
      </c>
      <c r="E107" s="120"/>
      <c r="F107" s="120"/>
      <c r="G107" s="120"/>
      <c r="H107" s="120"/>
      <c r="I107" s="120"/>
      <c r="J107" s="120"/>
      <c r="K107" s="120"/>
      <c r="L107" s="120"/>
      <c r="M107" s="120"/>
      <c r="N107" s="120"/>
      <c r="O107" s="121"/>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row>
    <row r="108" spans="1:51">
      <c r="A108" s="67"/>
      <c r="B108" s="49"/>
      <c r="C108" s="66" t="s">
        <v>110</v>
      </c>
      <c r="D108" s="120" t="s">
        <v>166</v>
      </c>
      <c r="E108" s="120"/>
      <c r="F108" s="120"/>
      <c r="G108" s="120"/>
      <c r="H108" s="120"/>
      <c r="I108" s="120"/>
      <c r="J108" s="120"/>
      <c r="K108" s="120"/>
      <c r="L108" s="120"/>
      <c r="M108" s="120"/>
      <c r="N108" s="120"/>
      <c r="O108" s="121"/>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row>
    <row r="109" spans="1:51">
      <c r="A109" s="67"/>
      <c r="B109" s="49"/>
      <c r="C109" s="66" t="s">
        <v>112</v>
      </c>
      <c r="D109" s="93" t="s">
        <v>167</v>
      </c>
      <c r="E109" s="120"/>
      <c r="F109" s="120"/>
      <c r="G109" s="120"/>
      <c r="H109" s="120"/>
      <c r="I109" s="120"/>
      <c r="J109" s="120"/>
      <c r="K109" s="120"/>
      <c r="L109" s="120"/>
      <c r="M109" s="120"/>
      <c r="N109" s="120"/>
      <c r="O109" s="121"/>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row>
    <row r="110" spans="1:51">
      <c r="A110" s="67"/>
      <c r="B110" s="49"/>
      <c r="C110" s="66" t="s">
        <v>114</v>
      </c>
      <c r="D110" s="93" t="s">
        <v>168</v>
      </c>
      <c r="E110" s="93"/>
      <c r="F110" s="93"/>
      <c r="G110" s="93"/>
      <c r="H110" s="93"/>
      <c r="I110" s="93"/>
      <c r="J110" s="93"/>
      <c r="K110" s="93"/>
      <c r="L110" s="93"/>
      <c r="M110" s="93"/>
      <c r="N110" s="93"/>
      <c r="O110" s="94"/>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row>
    <row r="111" spans="1:51" ht="43.5" customHeight="1">
      <c r="A111" s="67"/>
      <c r="B111" s="49"/>
      <c r="C111" s="66" t="s">
        <v>116</v>
      </c>
      <c r="D111" s="93" t="s">
        <v>169</v>
      </c>
      <c r="E111" s="93"/>
      <c r="F111" s="93"/>
      <c r="G111" s="93"/>
      <c r="H111" s="93"/>
      <c r="I111" s="93"/>
      <c r="J111" s="93"/>
      <c r="K111" s="93"/>
      <c r="L111" s="93"/>
      <c r="M111" s="93"/>
      <c r="N111" s="93"/>
      <c r="O111" s="94"/>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row>
    <row r="112" spans="1:51">
      <c r="A112" s="67"/>
      <c r="B112" s="49"/>
      <c r="C112" s="66" t="s">
        <v>170</v>
      </c>
      <c r="D112" s="120" t="s">
        <v>171</v>
      </c>
      <c r="E112" s="120"/>
      <c r="F112" s="120"/>
      <c r="G112" s="120"/>
      <c r="H112" s="120"/>
      <c r="I112" s="120"/>
      <c r="J112" s="120"/>
      <c r="K112" s="120"/>
      <c r="L112" s="120"/>
      <c r="M112" s="120"/>
      <c r="N112" s="120"/>
      <c r="O112" s="121"/>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row>
    <row r="113" spans="1:51">
      <c r="A113" s="67"/>
      <c r="B113" s="49"/>
      <c r="C113" s="66" t="s">
        <v>172</v>
      </c>
      <c r="D113" s="120" t="s">
        <v>173</v>
      </c>
      <c r="E113" s="120"/>
      <c r="F113" s="120"/>
      <c r="G113" s="120"/>
      <c r="H113" s="120"/>
      <c r="I113" s="120"/>
      <c r="J113" s="120"/>
      <c r="K113" s="120"/>
      <c r="L113" s="120"/>
      <c r="M113" s="120"/>
      <c r="N113" s="120"/>
      <c r="O113" s="121"/>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row>
    <row r="114" spans="1:51">
      <c r="A114" s="67"/>
      <c r="B114" s="49"/>
      <c r="C114" s="66" t="s">
        <v>174</v>
      </c>
      <c r="D114" s="120" t="s">
        <v>175</v>
      </c>
      <c r="E114" s="120"/>
      <c r="F114" s="120"/>
      <c r="G114" s="120"/>
      <c r="H114" s="120"/>
      <c r="I114" s="120"/>
      <c r="J114" s="120"/>
      <c r="K114" s="120"/>
      <c r="L114" s="120"/>
      <c r="M114" s="120"/>
      <c r="N114" s="120"/>
      <c r="O114" s="121"/>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row>
    <row r="115" spans="1:51" ht="24">
      <c r="A115" s="67"/>
      <c r="B115" s="49"/>
      <c r="C115" s="56" t="s">
        <v>176</v>
      </c>
      <c r="D115" s="120" t="s">
        <v>177</v>
      </c>
      <c r="E115" s="120"/>
      <c r="F115" s="120"/>
      <c r="G115" s="120"/>
      <c r="H115" s="120"/>
      <c r="I115" s="120"/>
      <c r="J115" s="120"/>
      <c r="K115" s="120"/>
      <c r="L115" s="120"/>
      <c r="M115" s="120"/>
      <c r="N115" s="120"/>
      <c r="O115" s="121"/>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row>
    <row r="116" spans="1:51">
      <c r="A116" s="67"/>
      <c r="B116" s="49"/>
      <c r="C116" s="66" t="s">
        <v>178</v>
      </c>
      <c r="D116" s="120" t="s">
        <v>179</v>
      </c>
      <c r="E116" s="120"/>
      <c r="F116" s="120"/>
      <c r="G116" s="120"/>
      <c r="H116" s="120"/>
      <c r="I116" s="120"/>
      <c r="J116" s="120"/>
      <c r="K116" s="120"/>
      <c r="L116" s="120"/>
      <c r="M116" s="120"/>
      <c r="N116" s="120"/>
      <c r="O116" s="121"/>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row>
    <row r="117" spans="1:51">
      <c r="A117" s="67"/>
      <c r="B117" s="49"/>
      <c r="C117" s="66" t="s">
        <v>180</v>
      </c>
      <c r="D117" s="120" t="s">
        <v>181</v>
      </c>
      <c r="E117" s="120"/>
      <c r="F117" s="120"/>
      <c r="G117" s="120"/>
      <c r="H117" s="120"/>
      <c r="I117" s="120"/>
      <c r="J117" s="120"/>
      <c r="K117" s="120"/>
      <c r="L117" s="120"/>
      <c r="M117" s="120"/>
      <c r="N117" s="120"/>
      <c r="O117" s="121"/>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row>
    <row r="118" spans="1:51">
      <c r="A118" s="67"/>
      <c r="B118" s="49"/>
      <c r="C118" s="66" t="s">
        <v>182</v>
      </c>
      <c r="D118" s="120" t="s">
        <v>183</v>
      </c>
      <c r="E118" s="120"/>
      <c r="F118" s="120"/>
      <c r="G118" s="120"/>
      <c r="H118" s="120"/>
      <c r="I118" s="120"/>
      <c r="J118" s="120"/>
      <c r="K118" s="120"/>
      <c r="L118" s="120"/>
      <c r="M118" s="120"/>
      <c r="N118" s="120"/>
      <c r="O118" s="121"/>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row>
  </sheetData>
  <mergeCells count="45">
    <mergeCell ref="A93:A98"/>
    <mergeCell ref="B93:D93"/>
    <mergeCell ref="E93:E98"/>
    <mergeCell ref="C94:D94"/>
    <mergeCell ref="C89:D89"/>
    <mergeCell ref="C91:D91"/>
    <mergeCell ref="C92:D92"/>
    <mergeCell ref="B1:D1"/>
    <mergeCell ref="B2:D2"/>
    <mergeCell ref="B3:D3"/>
    <mergeCell ref="A4:A9"/>
    <mergeCell ref="B4:D4"/>
    <mergeCell ref="C5:D5"/>
    <mergeCell ref="C6:D6"/>
    <mergeCell ref="C7:D7"/>
    <mergeCell ref="C8:D8"/>
    <mergeCell ref="C9:D9"/>
    <mergeCell ref="E5:E11"/>
    <mergeCell ref="C11:D11"/>
    <mergeCell ref="A12:A73"/>
    <mergeCell ref="B12:D12"/>
    <mergeCell ref="B88:D88"/>
    <mergeCell ref="A88:A92"/>
    <mergeCell ref="C10:D10"/>
    <mergeCell ref="E88:E92"/>
    <mergeCell ref="C90:D90"/>
    <mergeCell ref="D108:O108"/>
    <mergeCell ref="C95:D95"/>
    <mergeCell ref="C96:D96"/>
    <mergeCell ref="C97:D97"/>
    <mergeCell ref="C98:D98"/>
    <mergeCell ref="B100:D100"/>
    <mergeCell ref="D105:O105"/>
    <mergeCell ref="D106:O106"/>
    <mergeCell ref="D107:O107"/>
    <mergeCell ref="D115:O115"/>
    <mergeCell ref="D116:O116"/>
    <mergeCell ref="D117:O117"/>
    <mergeCell ref="D118:O118"/>
    <mergeCell ref="D109:O109"/>
    <mergeCell ref="D110:O110"/>
    <mergeCell ref="D111:O111"/>
    <mergeCell ref="D112:O112"/>
    <mergeCell ref="D113:O113"/>
    <mergeCell ref="D114:O1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2026-04-17T08:01:05Z</dcterms:created>
  <dcterms:modified xsi:type="dcterms:W3CDTF">2026-07-14T07:02:13Z</dcterms:modified>
  <cp:category/>
  <cp:contentStatus/>
</cp:coreProperties>
</file>