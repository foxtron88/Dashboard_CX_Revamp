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InJourney Group\01 - Apr - CX Forum\Template Data\Template to Members\"/>
    </mc:Choice>
  </mc:AlternateContent>
  <xr:revisionPtr revIDLastSave="0" documentId="8_{84A02EBB-E2EE-4BB6-BCEA-86D50DBEA2C4}" xr6:coauthVersionLast="47" xr6:coauthVersionMax="47" xr10:uidLastSave="{00000000-0000-0000-0000-000000000000}"/>
  <bookViews>
    <workbookView xWindow="-108" yWindow="-108" windowWidth="23256" windowHeight="13896" firstSheet="2" activeTab="2" xr2:uid="{2578A00C-B136-455C-9DF5-F10EEC8E1BE0}"/>
  </bookViews>
  <sheets>
    <sheet name="Data Performa IDM - TMII" sheetId="1" r:id="rId1"/>
    <sheet name="Data Statistik - TMII" sheetId="4" r:id="rId2"/>
    <sheet name="Data"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7" i="1" l="1"/>
  <c r="V27" i="1"/>
  <c r="W27" i="1"/>
  <c r="Y27" i="1"/>
  <c r="Y16" i="1"/>
  <c r="X16" i="1"/>
  <c r="W16" i="1"/>
  <c r="V16" i="1"/>
  <c r="U16" i="1"/>
  <c r="T16" i="1"/>
  <c r="Q16" i="1"/>
  <c r="O16" i="1"/>
  <c r="R16" i="1"/>
  <c r="F16" i="1"/>
  <c r="R21" i="1"/>
  <c r="R19" i="1"/>
  <c r="R5" i="4"/>
  <c r="T5" i="4"/>
  <c r="U5" i="4"/>
  <c r="V5" i="4"/>
  <c r="W5" i="4"/>
  <c r="T7" i="4"/>
  <c r="U7" i="4"/>
  <c r="V7" i="4"/>
  <c r="W7" i="4"/>
  <c r="T9" i="4"/>
  <c r="U9" i="4"/>
  <c r="V9" i="4"/>
  <c r="W9" i="4"/>
  <c r="S5" i="4"/>
  <c r="S7" i="4"/>
  <c r="S9" i="4"/>
  <c r="R9" i="4"/>
  <c r="R7" i="4"/>
  <c r="T3" i="4"/>
  <c r="U3" i="4"/>
  <c r="V3" i="4"/>
  <c r="W3" i="4"/>
  <c r="S3" i="4"/>
  <c r="R3" i="4"/>
  <c r="R9" i="1"/>
  <c r="U27" i="1"/>
  <c r="T27" i="1"/>
  <c r="Q27" i="1"/>
  <c r="P27" i="1"/>
  <c r="O27" i="1"/>
  <c r="M27" i="1"/>
  <c r="N27" i="1"/>
  <c r="L27" i="1"/>
  <c r="K27" i="1"/>
  <c r="J27" i="1"/>
  <c r="I27" i="1"/>
  <c r="H27" i="1"/>
  <c r="G27" i="1"/>
  <c r="F27" i="1"/>
  <c r="R24" i="1"/>
  <c r="R25" i="1"/>
  <c r="P16" i="1"/>
  <c r="N16" i="1"/>
  <c r="M16" i="1"/>
  <c r="L16" i="1"/>
  <c r="K16" i="1"/>
  <c r="J16" i="1"/>
  <c r="I16" i="1"/>
  <c r="H16" i="1"/>
  <c r="G16" i="1"/>
  <c r="R23" i="1"/>
  <c r="R14" i="1"/>
  <c r="R18" i="1" l="1"/>
</calcChain>
</file>

<file path=xl/sharedStrings.xml><?xml version="1.0" encoding="utf-8"?>
<sst xmlns="http://schemas.openxmlformats.org/spreadsheetml/2006/main" count="346" uniqueCount="162">
  <si>
    <t>CUSTOMER EXPERIENCE PERFORMANCE DATA</t>
  </si>
  <si>
    <t>2025 - 2026</t>
  </si>
  <si>
    <t>IDM - TMII</t>
  </si>
  <si>
    <t>No</t>
  </si>
  <si>
    <t>Parameters</t>
  </si>
  <si>
    <t>Unit</t>
  </si>
  <si>
    <t>Target</t>
  </si>
  <si>
    <t>JAN</t>
  </si>
  <si>
    <t>FEB</t>
  </si>
  <si>
    <t>MAR</t>
  </si>
  <si>
    <t>APR</t>
  </si>
  <si>
    <t>MAY</t>
  </si>
  <si>
    <t>JUN</t>
  </si>
  <si>
    <t>JUL</t>
  </si>
  <si>
    <t>AUG</t>
  </si>
  <si>
    <t>SEP</t>
  </si>
  <si>
    <t>OCT</t>
  </si>
  <si>
    <t>NOV</t>
  </si>
  <si>
    <t>DEC</t>
  </si>
  <si>
    <t>TOTAL</t>
  </si>
  <si>
    <t>MEI</t>
  </si>
  <si>
    <t>Customer Satisfaction (Survey Sensum) -&gt; Fixed ya</t>
  </si>
  <si>
    <t>Customer Satisfaction (Survey Sensum)</t>
  </si>
  <si>
    <t>a.</t>
  </si>
  <si>
    <t>CSAT - Overall</t>
  </si>
  <si>
    <t>Scale 1-5</t>
  </si>
  <si>
    <t>b.</t>
  </si>
  <si>
    <t>CSAT - People</t>
  </si>
  <si>
    <t>Ini Evidence nya Bahwa Angka TMII sudah valid</t>
  </si>
  <si>
    <t>c.</t>
  </si>
  <si>
    <t>CSAT - Process</t>
  </si>
  <si>
    <t>d.</t>
  </si>
  <si>
    <t>CSAT - Premises</t>
  </si>
  <si>
    <t>Call Center Performance</t>
  </si>
  <si>
    <t>Volume of Call</t>
  </si>
  <si>
    <t>Numbers</t>
  </si>
  <si>
    <t>First Call Resolution</t>
  </si>
  <si>
    <t>Percentage (%)</t>
  </si>
  <si>
    <t>TMII tools belum bisa track Call Center FCR</t>
  </si>
  <si>
    <t>Service Level</t>
  </si>
  <si>
    <t>Social Media Monitoring</t>
  </si>
  <si>
    <t>Volume of Interaction</t>
  </si>
  <si>
    <t>Untuk social media monitoring TMII saat ini masih gabung dengan TWC. Belum bisa di split atau filter di dashboard nya.</t>
  </si>
  <si>
    <t>Net Sentiment Score</t>
  </si>
  <si>
    <t>Average Response Time</t>
  </si>
  <si>
    <t>Hours</t>
  </si>
  <si>
    <t>Respons to Sentiment Ratio</t>
  </si>
  <si>
    <t>0,00 - 1,00</t>
  </si>
  <si>
    <t>Complaint Handling</t>
  </si>
  <si>
    <t>Total</t>
  </si>
  <si>
    <t>Completed</t>
  </si>
  <si>
    <t>Progress</t>
  </si>
  <si>
    <t>Untouch</t>
  </si>
  <si>
    <t>e.</t>
  </si>
  <si>
    <t>Complaint Resolution Rate</t>
  </si>
  <si>
    <t>f.</t>
  </si>
  <si>
    <t>Average Time Resolution</t>
  </si>
  <si>
    <t>Day</t>
  </si>
  <si>
    <t>Item Data</t>
  </si>
  <si>
    <t>Keterangan Pengisian</t>
  </si>
  <si>
    <t>Jumlah Pengunjung</t>
  </si>
  <si>
    <t>Data Total Pengunjung (Per Cabang / Line of Business)</t>
  </si>
  <si>
    <t>Total Interaksi</t>
  </si>
  <si>
    <t>Total Interaksi (Per Cabang / Line of Business) dari Voice of Customer (pengaduan, permintaan, pertanyaan, informasi dan apresiasi).</t>
  </si>
  <si>
    <t>Jumlah interaksi per-kategory</t>
  </si>
  <si>
    <t>a</t>
  </si>
  <si>
    <t>Pengaduan</t>
  </si>
  <si>
    <t>Bersumber dari Telepon, Customer Service/tatap muka, Email, Kotak Saran, Live Chat, Whatsapp, Instagram dan Twitter</t>
  </si>
  <si>
    <t>b</t>
  </si>
  <si>
    <t>Permintaan/Reservasi/Product Inquiry</t>
  </si>
  <si>
    <t>c</t>
  </si>
  <si>
    <t>Pertanyaan</t>
  </si>
  <si>
    <t>d</t>
  </si>
  <si>
    <t>Informasi</t>
  </si>
  <si>
    <t>e</t>
  </si>
  <si>
    <t>Apresiasi</t>
  </si>
  <si>
    <t>f</t>
  </si>
  <si>
    <t>Lost and Found</t>
  </si>
  <si>
    <t>g</t>
  </si>
  <si>
    <t>Priority Service</t>
  </si>
  <si>
    <t>Interaksi per channel</t>
  </si>
  <si>
    <t>Telepon</t>
  </si>
  <si>
    <t>Customer Sevice/tatap muka</t>
  </si>
  <si>
    <t>Email</t>
  </si>
  <si>
    <t>Kotak Saran</t>
  </si>
  <si>
    <t>Live Chat</t>
  </si>
  <si>
    <t>SP4N Lapor!</t>
  </si>
  <si>
    <t>Whtasapp</t>
  </si>
  <si>
    <t>h</t>
  </si>
  <si>
    <t>Instagram</t>
  </si>
  <si>
    <t>i</t>
  </si>
  <si>
    <t>Twitter</t>
  </si>
  <si>
    <t>j</t>
  </si>
  <si>
    <t>Google Review</t>
  </si>
  <si>
    <t>k</t>
  </si>
  <si>
    <t>surveysensum</t>
  </si>
  <si>
    <t>Jumlah Customer Resolution per Service Level Agreement (SLA)</t>
  </si>
  <si>
    <t>Kategorisasi SLA disesuaikan dengan SLA yang di terapkan di masing-masing member (Per Cabang / Line of Business)</t>
  </si>
  <si>
    <t>Tools kami di TMII tidak mempunyai feature untuk melacak atau memantau semua Point 5</t>
  </si>
  <si>
    <t>FCR (Frist Contact Resolution)</t>
  </si>
  <si>
    <t>Jumlah kasus yang selesai pada kontak pertama/Total Kasus yang Diterima x 100%</t>
  </si>
  <si>
    <t>&lt; 1 hari</t>
  </si>
  <si>
    <t>&lt; 7 hari</t>
  </si>
  <si>
    <t>&gt; 30 hari</t>
  </si>
  <si>
    <t>Lainnya (silahkan ditambahkan)</t>
  </si>
  <si>
    <t>Average Handling Time (Call/Contact Center)</t>
  </si>
  <si>
    <t>(Total Talk Time+Total Hold Time+Total ACW)/Jumlah Interaksi yang Ditangani</t>
  </si>
  <si>
    <t>Untuk daftar channel dapat di tambahkan sesuai dengan channel yang ada di member (Per Cabang / Line of Business)</t>
  </si>
  <si>
    <t>Definisi</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</si>
  <si>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</si>
  <si>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</si>
  <si>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</si>
  <si>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</si>
  <si>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</si>
  <si>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Layanan pengelolaan barang hilang atau tertinggal yang mencakup proses penerimaan laporan, identifikasi, penyimpanan, penelusuran, verifikasi kepemilikan, hingga pengembalian barang kepada pemilik sesuai dengan prosedur yang berlaku</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</si>
  <si>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</si>
  <si>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</si>
  <si>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</si>
  <si>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</si>
  <si>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</si>
  <si>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</si>
  <si>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</si>
  <si>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</si>
  <si>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</si>
  <si>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</si>
  <si>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</si>
  <si>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</si>
  <si>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</si>
  <si>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</si>
  <si>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</si>
  <si>
    <t>Mei 2025</t>
  </si>
  <si>
    <t>Juni 2025</t>
  </si>
  <si>
    <t>Juli 2025</t>
  </si>
  <si>
    <t>Ags 2025</t>
  </si>
  <si>
    <t>Okt 2025</t>
  </si>
  <si>
    <t>Des 2025</t>
  </si>
  <si>
    <t>Mei 2026</t>
  </si>
  <si>
    <t>Juni 2026</t>
  </si>
  <si>
    <t>Juli 2026</t>
  </si>
  <si>
    <t>Total Interaksi (Per Cabang / Line of Business)</t>
  </si>
  <si>
    <t>Total interaksi per kategori (kategori disesuaikan dengan yang ada di member)(Per Cabang / Line of Business)</t>
  </si>
  <si>
    <t>Permintaan Informasi (contoh)</t>
  </si>
  <si>
    <t>Request (Contoh)</t>
  </si>
  <si>
    <t>Keluhan (Contoh)</t>
  </si>
  <si>
    <t>Total Interaksi per channel (channel disesuaikan dengan yang ada di member)(Per Cabang / Line of Business)</t>
  </si>
  <si>
    <t>Keluhan</t>
  </si>
  <si>
    <t>Voice (Incoming Call)</t>
  </si>
  <si>
    <t>Pengaduan/Keluhan</t>
  </si>
  <si>
    <t>Permohonan</t>
  </si>
  <si>
    <t>Lost &amp; Found</t>
  </si>
  <si>
    <t>Customer Service (WA Chat)</t>
  </si>
  <si>
    <t>Social Media (Google Review &amp; Instagram)</t>
  </si>
  <si>
    <t>Jumlah Customer Resolution per SLA</t>
  </si>
  <si>
    <t>1 hari</t>
  </si>
  <si>
    <t>2 hari</t>
  </si>
  <si>
    <t>3 hari</t>
  </si>
  <si>
    <t>Average Handling Time (Contact Center)</t>
  </si>
  <si>
    <t>Durasi rata-rata interaksi pelanggan &amp; untuk daftar channel dapat di tambahkan sesuai dengan channel yang ada di member (Per Cabang / Line of Business)</t>
  </si>
  <si>
    <t>Voice (diisi jika ada)</t>
  </si>
  <si>
    <t>WA Chat (diisi jika ada)</t>
  </si>
  <si>
    <t>Live Chat (diisi jika ada)</t>
  </si>
  <si>
    <t>Social Media (diisi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</si>
</sst>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7">
    <font>
      <sz val="11"/>
      <color theme="1"/>
      <name val="Segoe UI"/>
      <family val="2"/>
    </font>
    <font>
      <b/>
      <sz val="11"/>
      <color theme="1"/>
      <name val="Segoe UI"/>
      <family val="2"/>
    </font>
    <font>
      <b/>
      <sz val="14"/>
      <color theme="1"/>
      <name val="Segoe UI"/>
      <family val="2"/>
    </font>
    <font>
      <b/>
      <sz val="10"/>
      <color theme="1"/>
      <name val="Arial"/>
      <charset val="1"/>
    </font>
    <font>
      <sz val="10"/>
      <color theme="1"/>
      <name val="Arial"/>
      <charset val="1"/>
    </font>
    <font>
      <i/>
      <sz val="10"/>
      <color theme="1"/>
      <name val="Arial"/>
      <charset val="1"/>
    </font>
    <font>
      <sz val="12"/>
      <color theme="1"/>
      <name val="Calibri"/>
      <charset val="1"/>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CCCCCC"/>
      </bottom>
      <diagonal/>
    </border>
    <border>
      <left style="thin">
        <color rgb="FFCCCCCC"/>
      </left>
      <right/>
      <top style="thin">
        <color rgb="FFCCCCCC"/>
      </top>
      <bottom/>
      <diagonal/>
    </border>
    <border>
      <left style="thin">
        <color rgb="FFCCCCCC"/>
      </left>
      <right/>
      <top/>
      <bottom style="thin">
        <color rgb="FF000000"/>
      </bottom>
      <diagonal/>
    </border>
  </borders>
  <cellStyleXfs count="1">
    <xf numFmtId="0" fontId="0" fillId="0" borderId="0"/>
  </cellStyleXfs>
  <cellXfs count="124">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0" fillId="0" borderId="2" xfId="0" applyBorder="1" applyAlignment="1">
      <alignment horizontal="center"/>
    </xf>
    <xf numFmtId="0" fontId="1" fillId="0" borderId="1" xfId="0" applyFont="1" applyBorder="1"/>
    <xf numFmtId="0" fontId="0" fillId="0" borderId="1" xfId="0" applyBorder="1"/>
    <xf numFmtId="0" fontId="0" fillId="0" borderId="7"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4" fontId="0" fillId="0" borderId="1" xfId="0" applyNumberFormat="1" applyBorder="1"/>
    <xf numFmtId="3" fontId="0" fillId="0" borderId="1" xfId="0" applyNumberFormat="1" applyBorder="1"/>
    <xf numFmtId="9" fontId="0" fillId="0" borderId="1" xfId="0" applyNumberFormat="1" applyBorder="1"/>
    <xf numFmtId="0" fontId="1" fillId="0" borderId="0" xfId="0" applyFont="1" applyAlignment="1">
      <alignment horizontal="center"/>
    </xf>
    <xf numFmtId="2" fontId="0" fillId="0" borderId="0" xfId="0" applyNumberFormat="1"/>
    <xf numFmtId="9" fontId="0" fillId="0" borderId="0" xfId="0" applyNumberFormat="1"/>
    <xf numFmtId="4" fontId="0" fillId="0" borderId="0" xfId="0" applyNumberFormat="1"/>
    <xf numFmtId="0" fontId="1" fillId="0" borderId="16" xfId="0" applyFont="1" applyBorder="1" applyAlignment="1">
      <alignment horizontal="center"/>
    </xf>
    <xf numFmtId="0" fontId="0" fillId="0" borderId="16" xfId="0" applyBorder="1"/>
    <xf numFmtId="2" fontId="0" fillId="0" borderId="16" xfId="0" applyNumberFormat="1" applyBorder="1"/>
    <xf numFmtId="9" fontId="0" fillId="0" borderId="16" xfId="0" applyNumberFormat="1" applyBorder="1"/>
    <xf numFmtId="4" fontId="0" fillId="0" borderId="16" xfId="0" applyNumberFormat="1" applyBorder="1"/>
    <xf numFmtId="0" fontId="0" fillId="0" borderId="17" xfId="0" applyBorder="1"/>
    <xf numFmtId="9" fontId="0" fillId="0" borderId="17" xfId="0" applyNumberFormat="1" applyBorder="1"/>
    <xf numFmtId="4" fontId="0" fillId="0" borderId="17" xfId="0" applyNumberFormat="1" applyBorder="1"/>
    <xf numFmtId="0" fontId="3" fillId="0" borderId="18" xfId="0" applyFont="1" applyBorder="1" applyAlignment="1">
      <alignment readingOrder="1"/>
    </xf>
    <xf numFmtId="0" fontId="3" fillId="0" borderId="19" xfId="0" applyFont="1" applyBorder="1" applyAlignment="1">
      <alignment readingOrder="1"/>
    </xf>
    <xf numFmtId="3" fontId="3" fillId="0" borderId="19" xfId="0" applyNumberFormat="1" applyFont="1" applyBorder="1" applyAlignment="1">
      <alignment readingOrder="1"/>
    </xf>
    <xf numFmtId="0" fontId="4" fillId="0" borderId="23" xfId="0" applyFont="1" applyBorder="1" applyAlignment="1">
      <alignment readingOrder="1"/>
    </xf>
    <xf numFmtId="0" fontId="4" fillId="0" borderId="24" xfId="0" applyFont="1" applyBorder="1" applyAlignment="1">
      <alignment readingOrder="1"/>
    </xf>
    <xf numFmtId="0" fontId="4" fillId="0" borderId="25" xfId="0" applyFont="1" applyBorder="1" applyAlignment="1">
      <alignment readingOrder="1"/>
    </xf>
    <xf numFmtId="0" fontId="4" fillId="0" borderId="26" xfId="0" applyFont="1" applyBorder="1" applyAlignment="1">
      <alignment wrapText="1" readingOrder="1"/>
    </xf>
    <xf numFmtId="0" fontId="4" fillId="0" borderId="26" xfId="0" applyFont="1" applyBorder="1" applyAlignment="1">
      <alignment readingOrder="1"/>
    </xf>
    <xf numFmtId="0" fontId="4" fillId="0" borderId="30" xfId="0" applyFont="1" applyBorder="1" applyAlignment="1">
      <alignment readingOrder="1"/>
    </xf>
    <xf numFmtId="0" fontId="4" fillId="0" borderId="31" xfId="0" applyFont="1" applyBorder="1" applyAlignment="1">
      <alignment readingOrder="1"/>
    </xf>
    <xf numFmtId="0" fontId="3" fillId="0" borderId="26" xfId="0" applyFont="1" applyBorder="1" applyAlignment="1">
      <alignment readingOrder="1"/>
    </xf>
    <xf numFmtId="17" fontId="3" fillId="0" borderId="26" xfId="0" applyNumberFormat="1" applyFont="1" applyBorder="1" applyAlignment="1">
      <alignment readingOrder="1"/>
    </xf>
    <xf numFmtId="0" fontId="4" fillId="2" borderId="26" xfId="0" applyFont="1" applyFill="1" applyBorder="1" applyAlignment="1">
      <alignment readingOrder="1"/>
    </xf>
    <xf numFmtId="0" fontId="1" fillId="0" borderId="39" xfId="0" applyFont="1" applyBorder="1" applyAlignment="1">
      <alignment horizontal="center"/>
    </xf>
    <xf numFmtId="0" fontId="1" fillId="0" borderId="6" xfId="0" applyFont="1" applyBorder="1" applyAlignment="1">
      <alignment horizontal="center"/>
    </xf>
    <xf numFmtId="0" fontId="0" fillId="2" borderId="1" xfId="0" applyFill="1" applyBorder="1"/>
    <xf numFmtId="0" fontId="1" fillId="2" borderId="6" xfId="0" applyFont="1" applyFill="1" applyBorder="1" applyAlignment="1">
      <alignment horizontal="center"/>
    </xf>
    <xf numFmtId="21" fontId="4" fillId="0" borderId="26" xfId="0" applyNumberFormat="1" applyFont="1" applyBorder="1" applyAlignment="1">
      <alignment readingOrder="1"/>
    </xf>
    <xf numFmtId="0" fontId="4" fillId="0" borderId="38" xfId="0" applyFont="1" applyBorder="1" applyAlignment="1">
      <alignment readingOrder="1"/>
    </xf>
    <xf numFmtId="0" fontId="5" fillId="0" borderId="26" xfId="0" applyFont="1" applyBorder="1" applyAlignment="1">
      <alignment readingOrder="1"/>
    </xf>
    <xf numFmtId="3" fontId="4" fillId="0" borderId="26" xfId="0" applyNumberFormat="1" applyFont="1" applyBorder="1" applyAlignment="1">
      <alignment readingOrder="1"/>
    </xf>
    <xf numFmtId="0" fontId="3" fillId="2" borderId="26" xfId="0" applyFont="1" applyFill="1" applyBorder="1" applyAlignment="1">
      <alignment readingOrder="1"/>
    </xf>
    <xf numFmtId="0" fontId="3" fillId="0" borderId="19" xfId="0" applyFont="1" applyBorder="1" applyAlignment="1">
      <alignment wrapText="1" readingOrder="1"/>
    </xf>
    <xf numFmtId="17" fontId="3" fillId="0" borderId="19" xfId="0" applyNumberFormat="1" applyFont="1" applyBorder="1" applyAlignment="1">
      <alignment readingOrder="1"/>
    </xf>
    <xf numFmtId="0" fontId="4" fillId="0" borderId="41" xfId="0" applyFont="1" applyBorder="1" applyAlignment="1">
      <alignment readingOrder="1"/>
    </xf>
    <xf numFmtId="0" fontId="4" fillId="3" borderId="26" xfId="0" applyFont="1" applyFill="1" applyBorder="1" applyAlignment="1">
      <alignment readingOrder="1"/>
    </xf>
    <xf numFmtId="0" fontId="5" fillId="3" borderId="26" xfId="0" applyFont="1" applyFill="1" applyBorder="1" applyAlignment="1">
      <alignment readingOrder="1"/>
    </xf>
    <xf numFmtId="0" fontId="5" fillId="0" borderId="38" xfId="0" applyFont="1" applyBorder="1" applyAlignment="1">
      <alignment readingOrder="1"/>
    </xf>
    <xf numFmtId="0" fontId="4" fillId="0" borderId="46" xfId="0" applyFont="1" applyBorder="1" applyAlignment="1">
      <alignment readingOrder="1"/>
    </xf>
    <xf numFmtId="0" fontId="3" fillId="0" borderId="38" xfId="0" applyFont="1" applyBorder="1" applyAlignment="1">
      <alignment readingOrder="1"/>
    </xf>
    <xf numFmtId="0" fontId="4" fillId="0" borderId="38" xfId="0" applyFont="1" applyBorder="1" applyAlignment="1">
      <alignment wrapText="1" readingOrder="1"/>
    </xf>
    <xf numFmtId="0" fontId="4" fillId="0" borderId="47" xfId="0" applyFont="1" applyBorder="1" applyAlignment="1">
      <alignment readingOrder="1"/>
    </xf>
    <xf numFmtId="164" fontId="0" fillId="0" borderId="1" xfId="0" applyNumberFormat="1" applyBorder="1" applyAlignment="1">
      <alignment vertical="center"/>
    </xf>
    <xf numFmtId="10" fontId="0" fillId="0" borderId="1" xfId="0" applyNumberFormat="1" applyBorder="1" applyAlignment="1">
      <alignment vertical="center"/>
    </xf>
    <xf numFmtId="0" fontId="0" fillId="0" borderId="1" xfId="0" applyBorder="1" applyAlignment="1">
      <alignment vertical="center"/>
    </xf>
    <xf numFmtId="0" fontId="0" fillId="0" borderId="3" xfId="0" applyBorder="1" applyAlignment="1">
      <alignment vertical="center"/>
    </xf>
    <xf numFmtId="0" fontId="0" fillId="0" borderId="18" xfId="0" applyBorder="1"/>
    <xf numFmtId="2" fontId="0" fillId="0" borderId="1" xfId="0" applyNumberFormat="1" applyBorder="1"/>
    <xf numFmtId="2" fontId="0" fillId="2" borderId="1" xfId="0" applyNumberFormat="1" applyFill="1" applyBorder="1"/>
    <xf numFmtId="0" fontId="4" fillId="0" borderId="36" xfId="0" applyFont="1" applyBorder="1" applyAlignment="1">
      <alignment wrapText="1" readingOrder="1"/>
    </xf>
    <xf numFmtId="0" fontId="4" fillId="0" borderId="27" xfId="0" applyFont="1" applyBorder="1" applyAlignment="1">
      <alignment readingOrder="1"/>
    </xf>
    <xf numFmtId="0" fontId="4" fillId="0" borderId="29" xfId="0" applyFont="1" applyBorder="1" applyAlignment="1">
      <alignment readingOrder="1"/>
    </xf>
    <xf numFmtId="3" fontId="3" fillId="2" borderId="19" xfId="0" applyNumberFormat="1" applyFont="1" applyFill="1" applyBorder="1" applyAlignment="1">
      <alignment readingOrder="1"/>
    </xf>
    <xf numFmtId="0" fontId="4" fillId="0" borderId="48" xfId="0" applyFont="1" applyBorder="1" applyAlignment="1">
      <alignment readingOrder="1"/>
    </xf>
    <xf numFmtId="0" fontId="4" fillId="0" borderId="48" xfId="0" applyFont="1" applyBorder="1" applyAlignment="1">
      <alignment horizontal="center" wrapText="1" readingOrder="1"/>
    </xf>
    <xf numFmtId="0" fontId="4" fillId="0" borderId="18" xfId="0" applyFont="1" applyBorder="1" applyAlignment="1">
      <alignment readingOrder="1"/>
    </xf>
    <xf numFmtId="0" fontId="4" fillId="0" borderId="52" xfId="0" applyFont="1" applyBorder="1" applyAlignment="1">
      <alignment readingOrder="1"/>
    </xf>
    <xf numFmtId="0" fontId="4" fillId="0" borderId="49" xfId="0" applyFont="1" applyBorder="1" applyAlignment="1">
      <alignment horizontal="right" readingOrder="1"/>
    </xf>
    <xf numFmtId="0" fontId="4" fillId="0" borderId="33" xfId="0" applyFont="1" applyBorder="1" applyAlignment="1">
      <alignment horizontal="right" readingOrder="1"/>
    </xf>
    <xf numFmtId="0" fontId="4" fillId="0" borderId="50" xfId="0" applyFont="1" applyBorder="1" applyAlignment="1">
      <alignment horizontal="right" readingOrder="1"/>
    </xf>
    <xf numFmtId="0" fontId="4" fillId="0" borderId="51" xfId="0" applyFont="1" applyBorder="1" applyAlignment="1">
      <alignment horizontal="right" readingOrder="1"/>
    </xf>
    <xf numFmtId="0" fontId="4" fillId="0" borderId="27" xfId="0" applyFont="1" applyBorder="1" applyAlignment="1">
      <alignment readingOrder="1"/>
    </xf>
    <xf numFmtId="0" fontId="4" fillId="0" borderId="29" xfId="0" applyFont="1" applyBorder="1" applyAlignment="1">
      <alignment readingOrder="1"/>
    </xf>
    <xf numFmtId="0" fontId="4" fillId="0" borderId="32" xfId="0" applyFont="1" applyBorder="1" applyAlignment="1">
      <alignment readingOrder="1"/>
    </xf>
    <xf numFmtId="0" fontId="4" fillId="0" borderId="33" xfId="0" applyFont="1" applyBorder="1" applyAlignment="1">
      <alignment readingOrder="1"/>
    </xf>
    <xf numFmtId="0" fontId="4" fillId="0" borderId="34" xfId="0" applyFont="1" applyBorder="1" applyAlignment="1">
      <alignment readingOrder="1"/>
    </xf>
    <xf numFmtId="0" fontId="4" fillId="0" borderId="28" xfId="0" applyFont="1" applyBorder="1" applyAlignment="1">
      <alignment readingOrder="1"/>
    </xf>
    <xf numFmtId="0" fontId="4" fillId="0" borderId="53" xfId="0" applyFont="1" applyBorder="1" applyAlignment="1">
      <alignment readingOrder="1"/>
    </xf>
    <xf numFmtId="0" fontId="4" fillId="0" borderId="35" xfId="0" applyFont="1" applyBorder="1" applyAlignment="1">
      <alignment wrapText="1" readingOrder="1"/>
    </xf>
    <xf numFmtId="0" fontId="4" fillId="0" borderId="36" xfId="0" applyFont="1" applyBorder="1" applyAlignment="1">
      <alignment wrapText="1" readingOrder="1"/>
    </xf>
    <xf numFmtId="0" fontId="4" fillId="0" borderId="37" xfId="0" applyFont="1" applyBorder="1" applyAlignment="1">
      <alignment wrapText="1" readingOrder="1"/>
    </xf>
    <xf numFmtId="0" fontId="5" fillId="0" borderId="27" xfId="0" applyFont="1" applyBorder="1" applyAlignment="1">
      <alignment readingOrder="1"/>
    </xf>
    <xf numFmtId="0" fontId="5" fillId="0" borderId="29" xfId="0" applyFont="1" applyBorder="1" applyAlignment="1">
      <alignment readingOrder="1"/>
    </xf>
    <xf numFmtId="0" fontId="4" fillId="0" borderId="18" xfId="0" applyFont="1" applyBorder="1" applyAlignment="1">
      <alignment horizontal="center" wrapText="1" readingOrder="1"/>
    </xf>
    <xf numFmtId="0" fontId="5" fillId="0" borderId="35" xfId="0" applyFont="1" applyBorder="1" applyAlignment="1">
      <alignment readingOrder="1"/>
    </xf>
    <xf numFmtId="0" fontId="5" fillId="0" borderId="36" xfId="0" applyFont="1" applyBorder="1" applyAlignment="1">
      <alignment readingOrder="1"/>
    </xf>
    <xf numFmtId="0" fontId="5" fillId="0" borderId="37" xfId="0" applyFont="1" applyBorder="1" applyAlignment="1">
      <alignment readingOrder="1"/>
    </xf>
    <xf numFmtId="0" fontId="3" fillId="0" borderId="20" xfId="0" applyFont="1" applyBorder="1" applyAlignment="1">
      <alignment readingOrder="1"/>
    </xf>
    <xf numFmtId="0" fontId="3" fillId="0" borderId="21" xfId="0" applyFont="1" applyBorder="1" applyAlignment="1">
      <alignment readingOrder="1"/>
    </xf>
    <xf numFmtId="0" fontId="3" fillId="0" borderId="22" xfId="0" applyFont="1" applyBorder="1" applyAlignment="1">
      <alignment readingOrder="1"/>
    </xf>
    <xf numFmtId="0" fontId="1" fillId="0" borderId="4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3" fillId="0" borderId="27" xfId="0" applyFont="1" applyBorder="1" applyAlignment="1">
      <alignment readingOrder="1"/>
    </xf>
    <xf numFmtId="0" fontId="3" fillId="0" borderId="28" xfId="0" applyFont="1" applyBorder="1" applyAlignment="1">
      <alignment readingOrder="1"/>
    </xf>
    <xf numFmtId="0" fontId="3" fillId="0" borderId="29" xfId="0" applyFont="1" applyBorder="1" applyAlignment="1">
      <alignment readingOrder="1"/>
    </xf>
    <xf numFmtId="0" fontId="4" fillId="0" borderId="42" xfId="0" applyFont="1" applyBorder="1" applyAlignment="1">
      <alignment readingOrder="1"/>
    </xf>
    <xf numFmtId="0" fontId="6" fillId="0" borderId="43" xfId="0" applyFont="1" applyBorder="1" applyAlignment="1">
      <alignment vertical="center" wrapText="1" readingOrder="1"/>
    </xf>
    <xf numFmtId="0" fontId="6" fillId="0" borderId="44" xfId="0" applyFont="1" applyBorder="1" applyAlignment="1">
      <alignment vertical="center" wrapText="1" readingOrder="1"/>
    </xf>
    <xf numFmtId="0" fontId="6" fillId="0" borderId="45"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200025</xdr:colOff>
      <xdr:row>7</xdr:row>
      <xdr:rowOff>95250</xdr:rowOff>
    </xdr:from>
    <xdr:to>
      <xdr:col>28</xdr:col>
      <xdr:colOff>828675</xdr:colOff>
      <xdr:row>12</xdr:row>
      <xdr:rowOff>190500</xdr:rowOff>
    </xdr:to>
    <xdr:pic>
      <xdr:nvPicPr>
        <xdr:cNvPr id="2" name="Picture 1">
          <a:extLst>
            <a:ext uri="{FF2B5EF4-FFF2-40B4-BE49-F238E27FC236}">
              <a16:creationId xmlns:a16="http://schemas.microsoft.com/office/drawing/2014/main" id="{DACCBD40-E590-B446-27DE-BFDD7A43D67F}"/>
            </a:ext>
          </a:extLst>
        </xdr:cNvPr>
        <xdr:cNvPicPr>
          <a:picLocks noChangeAspect="1"/>
        </xdr:cNvPicPr>
      </xdr:nvPicPr>
      <xdr:blipFill>
        <a:blip xmlns:r="http://schemas.openxmlformats.org/officeDocument/2006/relationships" r:embed="rId1"/>
        <a:stretch>
          <a:fillRect/>
        </a:stretch>
      </xdr:blipFill>
      <xdr:spPr>
        <a:xfrm>
          <a:off x="18545175" y="1609725"/>
          <a:ext cx="2628900" cy="1143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6697-83CD-456B-B201-80B5270ED126}">
  <dimension ref="A2:AD29"/>
  <sheetViews>
    <sheetView showGridLines="0" zoomScale="80" zoomScaleNormal="80" workbookViewId="0">
      <pane xSplit="4" topLeftCell="N1" activePane="topRight" state="frozen"/>
      <selection pane="topRight" activeCell="AG28" sqref="AG28"/>
    </sheetView>
  </sheetViews>
  <sheetFormatPr defaultColWidth="8.75" defaultRowHeight="16.5" customHeight="1"/>
  <cols>
    <col min="1" max="1" width="5.25" style="4" customWidth="1"/>
    <col min="2" max="2" width="5" customWidth="1"/>
    <col min="3" max="3" width="27.25" customWidth="1"/>
    <col min="4" max="4" width="13.5" customWidth="1"/>
    <col min="5" max="5" width="14.75" customWidth="1"/>
    <col min="6" max="24" width="8.75" customWidth="1"/>
    <col min="29" max="29" width="11.5" customWidth="1"/>
  </cols>
  <sheetData>
    <row r="2" spans="1:30">
      <c r="A2" s="1" t="s">
        <v>0</v>
      </c>
    </row>
    <row r="3" spans="1:30">
      <c r="A3" s="2" t="s">
        <v>1</v>
      </c>
    </row>
    <row r="4" spans="1:30" ht="20.25">
      <c r="A4" s="3" t="s">
        <v>2</v>
      </c>
    </row>
    <row r="5" spans="1:30">
      <c r="B5" s="5"/>
      <c r="D5" s="4"/>
      <c r="E5" s="4"/>
    </row>
    <row r="6" spans="1:30" s="5" customFormat="1">
      <c r="A6" s="111" t="s">
        <v>3</v>
      </c>
      <c r="B6" s="111" t="s">
        <v>4</v>
      </c>
      <c r="C6" s="111"/>
      <c r="D6" s="111" t="s">
        <v>5</v>
      </c>
      <c r="E6" s="112" t="s">
        <v>6</v>
      </c>
      <c r="F6" s="114">
        <v>2025</v>
      </c>
      <c r="G6" s="115"/>
      <c r="H6" s="115"/>
      <c r="I6" s="115"/>
      <c r="J6" s="115"/>
      <c r="K6" s="115"/>
      <c r="L6" s="115"/>
      <c r="M6" s="115"/>
      <c r="N6" s="115"/>
      <c r="O6" s="115"/>
      <c r="P6" s="115"/>
      <c r="Q6" s="115"/>
      <c r="R6" s="116"/>
      <c r="S6" s="17"/>
      <c r="T6" s="99">
        <v>2026</v>
      </c>
      <c r="U6" s="100"/>
      <c r="V6" s="100"/>
      <c r="W6" s="100"/>
      <c r="X6" s="100"/>
      <c r="Y6" s="101"/>
    </row>
    <row r="7" spans="1:30" s="5" customFormat="1">
      <c r="A7" s="111"/>
      <c r="B7" s="111"/>
      <c r="C7" s="111"/>
      <c r="D7" s="111"/>
      <c r="E7" s="113"/>
      <c r="F7" s="6" t="s">
        <v>7</v>
      </c>
      <c r="G7" s="6" t="s">
        <v>8</v>
      </c>
      <c r="H7" s="6" t="s">
        <v>9</v>
      </c>
      <c r="I7" s="6" t="s">
        <v>10</v>
      </c>
      <c r="J7" s="6" t="s">
        <v>11</v>
      </c>
      <c r="K7" s="6" t="s">
        <v>12</v>
      </c>
      <c r="L7" s="6" t="s">
        <v>13</v>
      </c>
      <c r="M7" s="6" t="s">
        <v>14</v>
      </c>
      <c r="N7" s="6" t="s">
        <v>15</v>
      </c>
      <c r="O7" s="6" t="s">
        <v>16</v>
      </c>
      <c r="P7" s="6" t="s">
        <v>17</v>
      </c>
      <c r="Q7" s="6" t="s">
        <v>18</v>
      </c>
      <c r="R7" s="21" t="s">
        <v>19</v>
      </c>
      <c r="S7" s="17"/>
      <c r="T7" s="42" t="s">
        <v>7</v>
      </c>
      <c r="U7" s="43" t="s">
        <v>8</v>
      </c>
      <c r="V7" s="43" t="s">
        <v>9</v>
      </c>
      <c r="W7" s="43" t="s">
        <v>10</v>
      </c>
      <c r="X7" s="43" t="s">
        <v>20</v>
      </c>
      <c r="Y7" s="45" t="s">
        <v>12</v>
      </c>
      <c r="Z7" s="5" t="s">
        <v>21</v>
      </c>
    </row>
    <row r="8" spans="1:30">
      <c r="A8" s="7">
        <v>1</v>
      </c>
      <c r="B8" s="8" t="s">
        <v>22</v>
      </c>
      <c r="C8" s="9"/>
      <c r="D8" s="9"/>
      <c r="E8" s="9"/>
      <c r="F8" s="9"/>
      <c r="G8" s="9"/>
      <c r="H8" s="9"/>
      <c r="I8" s="9"/>
      <c r="J8" s="9"/>
      <c r="K8" s="9"/>
      <c r="L8" s="9"/>
      <c r="M8" s="9"/>
      <c r="N8" s="9"/>
      <c r="O8" s="9"/>
      <c r="P8" s="9"/>
      <c r="Q8" s="9"/>
      <c r="R8" s="22"/>
      <c r="T8" s="26"/>
      <c r="U8" s="9"/>
      <c r="V8" s="9"/>
      <c r="W8" s="9"/>
      <c r="X8" s="9"/>
      <c r="Y8" s="44"/>
    </row>
    <row r="9" spans="1:30" ht="16.899999999999999" customHeight="1">
      <c r="A9" s="10"/>
      <c r="B9" s="11" t="s">
        <v>23</v>
      </c>
      <c r="C9" s="9" t="s">
        <v>24</v>
      </c>
      <c r="D9" s="12" t="s">
        <v>25</v>
      </c>
      <c r="E9" s="12"/>
      <c r="F9" s="102"/>
      <c r="G9" s="103"/>
      <c r="H9" s="103"/>
      <c r="I9" s="103"/>
      <c r="J9" s="103"/>
      <c r="K9" s="103"/>
      <c r="L9" s="103"/>
      <c r="M9" s="103"/>
      <c r="N9" s="104"/>
      <c r="O9" s="9">
        <v>4.5599999999999996</v>
      </c>
      <c r="P9" s="66">
        <v>4.66</v>
      </c>
      <c r="Q9" s="9">
        <v>4.6399999999999997</v>
      </c>
      <c r="R9" s="23">
        <f>AVERAGE(O9:Q9)</f>
        <v>4.62</v>
      </c>
      <c r="S9" s="18"/>
      <c r="T9" s="26">
        <v>4.74</v>
      </c>
      <c r="U9" s="9">
        <v>4.72</v>
      </c>
      <c r="V9" s="9">
        <v>4.78</v>
      </c>
      <c r="W9" s="66">
        <v>4.75</v>
      </c>
      <c r="X9" s="9">
        <v>4.68</v>
      </c>
      <c r="Y9" s="67">
        <v>4.7</v>
      </c>
    </row>
    <row r="10" spans="1:30" ht="16.899999999999999" customHeight="1">
      <c r="A10" s="10"/>
      <c r="B10" s="11" t="s">
        <v>26</v>
      </c>
      <c r="C10" s="9" t="s">
        <v>27</v>
      </c>
      <c r="D10" s="12" t="s">
        <v>25</v>
      </c>
      <c r="E10" s="12"/>
      <c r="F10" s="105"/>
      <c r="G10" s="106"/>
      <c r="H10" s="106"/>
      <c r="I10" s="106"/>
      <c r="J10" s="106"/>
      <c r="K10" s="106"/>
      <c r="L10" s="106"/>
      <c r="M10" s="106"/>
      <c r="N10" s="107"/>
      <c r="O10" s="9">
        <v>4.67</v>
      </c>
      <c r="P10" s="9">
        <v>4.76</v>
      </c>
      <c r="Q10" s="9">
        <v>4.7300000000000004</v>
      </c>
      <c r="R10" s="22"/>
      <c r="T10" s="26">
        <v>4.82</v>
      </c>
      <c r="U10" s="9">
        <v>4.78</v>
      </c>
      <c r="V10" s="66">
        <v>4.8</v>
      </c>
      <c r="W10" s="9">
        <v>4.8</v>
      </c>
      <c r="X10" s="9">
        <v>4.76</v>
      </c>
      <c r="Y10" s="67">
        <v>4.8</v>
      </c>
      <c r="AD10" t="s">
        <v>28</v>
      </c>
    </row>
    <row r="11" spans="1:30" ht="16.899999999999999" customHeight="1">
      <c r="A11" s="10"/>
      <c r="B11" s="11" t="s">
        <v>29</v>
      </c>
      <c r="C11" s="9" t="s">
        <v>30</v>
      </c>
      <c r="D11" s="12" t="s">
        <v>25</v>
      </c>
      <c r="E11" s="12"/>
      <c r="F11" s="105"/>
      <c r="G11" s="106"/>
      <c r="H11" s="106"/>
      <c r="I11" s="106"/>
      <c r="J11" s="106"/>
      <c r="K11" s="106"/>
      <c r="L11" s="106"/>
      <c r="M11" s="106"/>
      <c r="N11" s="107"/>
      <c r="O11" s="9">
        <v>4.68</v>
      </c>
      <c r="P11" s="9">
        <v>4.74</v>
      </c>
      <c r="Q11" s="9">
        <v>4.6399999999999997</v>
      </c>
      <c r="R11" s="22"/>
      <c r="T11" s="26">
        <v>4.76</v>
      </c>
      <c r="U11" s="9">
        <v>4.67</v>
      </c>
      <c r="V11" s="9">
        <v>4.75</v>
      </c>
      <c r="W11" s="9">
        <v>4.74</v>
      </c>
      <c r="X11" s="9">
        <v>4.6500000000000004</v>
      </c>
      <c r="Y11" s="44">
        <v>4.76</v>
      </c>
    </row>
    <row r="12" spans="1:30" ht="16.899999999999999" customHeight="1">
      <c r="A12" s="13"/>
      <c r="B12" s="11" t="s">
        <v>31</v>
      </c>
      <c r="C12" s="9" t="s">
        <v>32</v>
      </c>
      <c r="D12" s="12" t="s">
        <v>25</v>
      </c>
      <c r="E12" s="12"/>
      <c r="F12" s="108"/>
      <c r="G12" s="109"/>
      <c r="H12" s="109"/>
      <c r="I12" s="109"/>
      <c r="J12" s="109"/>
      <c r="K12" s="109"/>
      <c r="L12" s="109"/>
      <c r="M12" s="109"/>
      <c r="N12" s="110"/>
      <c r="O12" s="9">
        <v>4.53</v>
      </c>
      <c r="P12" s="9">
        <v>4.68</v>
      </c>
      <c r="Q12" s="9">
        <v>4.63</v>
      </c>
      <c r="R12" s="22"/>
      <c r="T12" s="26">
        <v>4.76</v>
      </c>
      <c r="U12" s="9">
        <v>4.71</v>
      </c>
      <c r="V12" s="9">
        <v>4.76</v>
      </c>
      <c r="W12" s="9">
        <v>4.68</v>
      </c>
      <c r="X12" s="9">
        <v>4.66</v>
      </c>
      <c r="Y12" s="67">
        <v>4.7</v>
      </c>
    </row>
    <row r="13" spans="1:30">
      <c r="A13" s="7">
        <v>2</v>
      </c>
      <c r="B13" s="8" t="s">
        <v>33</v>
      </c>
      <c r="C13" s="9"/>
      <c r="D13" s="12"/>
      <c r="E13" s="12"/>
      <c r="F13" s="9"/>
      <c r="G13" s="9"/>
      <c r="H13" s="9"/>
      <c r="I13" s="9"/>
      <c r="J13" s="9"/>
      <c r="K13" s="9"/>
      <c r="L13" s="9"/>
      <c r="M13" s="9"/>
      <c r="N13" s="9"/>
      <c r="O13" s="9"/>
      <c r="P13" s="9"/>
      <c r="Q13" s="9"/>
      <c r="R13" s="22"/>
      <c r="T13" s="26"/>
      <c r="U13" s="9"/>
      <c r="V13" s="9"/>
      <c r="W13" s="9"/>
      <c r="X13" s="9"/>
      <c r="Y13" s="9"/>
    </row>
    <row r="14" spans="1:30">
      <c r="A14" s="10"/>
      <c r="B14" s="11" t="s">
        <v>23</v>
      </c>
      <c r="C14" s="9" t="s">
        <v>34</v>
      </c>
      <c r="D14" s="12" t="s">
        <v>35</v>
      </c>
      <c r="E14" s="12"/>
      <c r="F14" s="9">
        <v>475</v>
      </c>
      <c r="G14" s="9">
        <v>595</v>
      </c>
      <c r="H14" s="9">
        <v>674</v>
      </c>
      <c r="I14" s="9">
        <v>952</v>
      </c>
      <c r="J14" s="9">
        <v>275</v>
      </c>
      <c r="K14" s="15">
        <v>1006</v>
      </c>
      <c r="L14" s="15">
        <v>1235</v>
      </c>
      <c r="M14" s="9">
        <v>621</v>
      </c>
      <c r="N14" s="9">
        <v>712</v>
      </c>
      <c r="O14" s="9">
        <v>708</v>
      </c>
      <c r="P14" s="9">
        <v>493</v>
      </c>
      <c r="Q14" s="9">
        <v>439</v>
      </c>
      <c r="R14" s="22">
        <f>SUM(F14:Q14)</f>
        <v>8185</v>
      </c>
      <c r="T14" s="26">
        <v>428</v>
      </c>
      <c r="U14" s="9">
        <v>190</v>
      </c>
      <c r="V14" s="9">
        <v>272</v>
      </c>
      <c r="W14" s="9">
        <v>220</v>
      </c>
      <c r="X14" s="9">
        <v>229</v>
      </c>
      <c r="Y14" s="44">
        <v>210</v>
      </c>
    </row>
    <row r="15" spans="1:30">
      <c r="A15" s="10"/>
      <c r="B15" s="11" t="s">
        <v>26</v>
      </c>
      <c r="C15" s="9" t="s">
        <v>36</v>
      </c>
      <c r="D15" s="12" t="s">
        <v>37</v>
      </c>
      <c r="E15" s="12"/>
      <c r="F15" s="16"/>
      <c r="G15" s="16"/>
      <c r="H15" s="16"/>
      <c r="I15" s="16"/>
      <c r="J15" s="16"/>
      <c r="K15" s="16"/>
      <c r="L15" s="16"/>
      <c r="M15" s="16"/>
      <c r="N15" s="16"/>
      <c r="O15" s="16"/>
      <c r="P15" s="16"/>
      <c r="Q15" s="16"/>
      <c r="R15" s="24"/>
      <c r="S15" s="19"/>
      <c r="T15" s="27"/>
      <c r="U15" s="16"/>
      <c r="V15" s="16"/>
      <c r="W15" s="16"/>
      <c r="X15" s="16"/>
      <c r="Y15" s="16"/>
      <c r="Z15" t="s">
        <v>38</v>
      </c>
    </row>
    <row r="16" spans="1:30">
      <c r="A16" s="13"/>
      <c r="B16" s="11" t="s">
        <v>29</v>
      </c>
      <c r="C16" s="9" t="s">
        <v>39</v>
      </c>
      <c r="D16" s="12" t="s">
        <v>37</v>
      </c>
      <c r="E16" s="12"/>
      <c r="F16" s="16">
        <f>9/F14*100%</f>
        <v>1.8947368421052633E-2</v>
      </c>
      <c r="G16" s="16">
        <f>358/G14*100%</f>
        <v>0.60168067226890753</v>
      </c>
      <c r="H16" s="16">
        <f>236/H14*100%</f>
        <v>0.35014836795252224</v>
      </c>
      <c r="I16" s="16">
        <f>632/I14*100%</f>
        <v>0.66386554621848737</v>
      </c>
      <c r="J16" s="16">
        <f>68/J14*100%</f>
        <v>0.24727272727272728</v>
      </c>
      <c r="K16" s="16">
        <f>709/K14*100%</f>
        <v>0.70477137176938365</v>
      </c>
      <c r="L16" s="16">
        <f>305/L14*100%</f>
        <v>0.24696356275303644</v>
      </c>
      <c r="M16" s="16">
        <f>321/M14*100%</f>
        <v>0.51690821256038644</v>
      </c>
      <c r="N16" s="16">
        <f>350/N14*100%</f>
        <v>0.49157303370786515</v>
      </c>
      <c r="O16" s="16">
        <f>363/O14*100%</f>
        <v>0.51271186440677963</v>
      </c>
      <c r="P16" s="16">
        <f>213/P14*100%</f>
        <v>0.43204868154158216</v>
      </c>
      <c r="Q16" s="16">
        <f>316/Q14*100%</f>
        <v>0.71981776765375849</v>
      </c>
      <c r="R16" s="24">
        <f>AVERAGE(F16:Q16)</f>
        <v>0.45889243137720737</v>
      </c>
      <c r="S16" s="19"/>
      <c r="T16" s="27">
        <f>284/T14*100%</f>
        <v>0.66355140186915884</v>
      </c>
      <c r="U16" s="16">
        <f>123/U14*100%</f>
        <v>0.64736842105263159</v>
      </c>
      <c r="V16" s="16">
        <f>190/V14*100%</f>
        <v>0.69852941176470584</v>
      </c>
      <c r="W16" s="16">
        <f>192/W14*100%</f>
        <v>0.87272727272727268</v>
      </c>
      <c r="X16" s="16">
        <f>186/X14*100%</f>
        <v>0.81222707423580787</v>
      </c>
      <c r="Y16" s="16">
        <f>162/Y14*100%</f>
        <v>0.77142857142857146</v>
      </c>
    </row>
    <row r="17" spans="1:26">
      <c r="A17" s="7">
        <v>3</v>
      </c>
      <c r="B17" s="8" t="s">
        <v>40</v>
      </c>
      <c r="C17" s="9"/>
      <c r="D17" s="9"/>
      <c r="E17" s="9"/>
      <c r="F17" s="9"/>
      <c r="G17" s="9"/>
      <c r="H17" s="9"/>
      <c r="I17" s="9"/>
      <c r="J17" s="9"/>
      <c r="K17" s="9"/>
      <c r="L17" s="9"/>
      <c r="M17" s="9"/>
      <c r="N17" s="9"/>
      <c r="O17" s="9"/>
      <c r="P17" s="9"/>
      <c r="Q17" s="9"/>
      <c r="R17" s="22"/>
      <c r="T17" s="26"/>
      <c r="U17" s="9"/>
      <c r="V17" s="9"/>
      <c r="W17" s="9"/>
      <c r="X17" s="9"/>
      <c r="Y17" s="9"/>
    </row>
    <row r="18" spans="1:26">
      <c r="A18" s="10"/>
      <c r="B18" s="11" t="s">
        <v>23</v>
      </c>
      <c r="C18" s="9" t="s">
        <v>41</v>
      </c>
      <c r="D18" s="12" t="s">
        <v>35</v>
      </c>
      <c r="E18" s="12"/>
      <c r="F18" s="61">
        <v>75300</v>
      </c>
      <c r="G18" s="61">
        <v>25100</v>
      </c>
      <c r="H18" s="61">
        <v>64700</v>
      </c>
      <c r="I18" s="61">
        <v>319500</v>
      </c>
      <c r="J18" s="61">
        <v>94300</v>
      </c>
      <c r="K18" s="61">
        <v>31500</v>
      </c>
      <c r="L18" s="61">
        <v>20100</v>
      </c>
      <c r="M18" s="61">
        <v>5200</v>
      </c>
      <c r="N18" s="61">
        <v>18400</v>
      </c>
      <c r="O18" s="61">
        <v>17700</v>
      </c>
      <c r="P18" s="61">
        <v>18200</v>
      </c>
      <c r="Q18" s="61">
        <v>75300</v>
      </c>
      <c r="R18" s="61">
        <f>SUM(F18:Q18)</f>
        <v>765300</v>
      </c>
      <c r="T18" s="61">
        <v>12500</v>
      </c>
      <c r="U18" s="61">
        <v>19900</v>
      </c>
      <c r="V18" s="61">
        <v>22200</v>
      </c>
      <c r="W18" s="61">
        <v>20400</v>
      </c>
      <c r="X18" s="61">
        <v>183400</v>
      </c>
      <c r="Y18" s="61">
        <v>122100</v>
      </c>
      <c r="Z18" t="s">
        <v>42</v>
      </c>
    </row>
    <row r="19" spans="1:26">
      <c r="A19" s="10"/>
      <c r="B19" s="11" t="s">
        <v>26</v>
      </c>
      <c r="C19" s="9" t="s">
        <v>43</v>
      </c>
      <c r="D19" s="12" t="s">
        <v>37</v>
      </c>
      <c r="E19" s="12"/>
      <c r="F19" s="62">
        <v>9.3200000000000005E-2</v>
      </c>
      <c r="G19" s="62">
        <v>0.19950000000000001</v>
      </c>
      <c r="H19" s="62">
        <v>8.9200000000000002E-2</v>
      </c>
      <c r="I19" s="62">
        <v>9.2999999999999999E-2</v>
      </c>
      <c r="J19" s="62">
        <v>9.0200000000000002E-2</v>
      </c>
      <c r="K19" s="62">
        <v>8.2000000000000007E-3</v>
      </c>
      <c r="L19" s="62">
        <v>4.1700000000000001E-2</v>
      </c>
      <c r="M19" s="62">
        <v>7.2099999999999997E-2</v>
      </c>
      <c r="N19" s="62">
        <v>0.1852</v>
      </c>
      <c r="O19" s="62">
        <v>6.9000000000000006E-2</v>
      </c>
      <c r="P19" s="62">
        <v>0.1134</v>
      </c>
      <c r="Q19" s="62">
        <v>4.9399999999999999E-2</v>
      </c>
      <c r="R19" s="62">
        <f>SUM(F19:Q19)</f>
        <v>1.1040999999999999</v>
      </c>
      <c r="T19" s="62">
        <v>0.12570000000000001</v>
      </c>
      <c r="U19" s="62">
        <v>0.12709999999999999</v>
      </c>
      <c r="V19" s="62">
        <v>0.1115</v>
      </c>
      <c r="W19" s="62">
        <v>8.09E-2</v>
      </c>
      <c r="X19" s="62">
        <v>8.5099999999999995E-2</v>
      </c>
      <c r="Y19" s="62">
        <v>0.18410000000000001</v>
      </c>
    </row>
    <row r="20" spans="1:26">
      <c r="A20" s="10"/>
      <c r="B20" s="11" t="s">
        <v>29</v>
      </c>
      <c r="C20" s="9" t="s">
        <v>44</v>
      </c>
      <c r="D20" s="12" t="s">
        <v>45</v>
      </c>
      <c r="E20" s="12"/>
      <c r="F20" s="14"/>
      <c r="G20" s="14"/>
      <c r="H20" s="14"/>
      <c r="I20" s="14"/>
      <c r="J20" s="14"/>
      <c r="K20" s="14"/>
      <c r="L20" s="14"/>
      <c r="M20" s="14"/>
      <c r="N20" s="14"/>
      <c r="O20" s="14"/>
      <c r="P20" s="14"/>
      <c r="Q20" s="14"/>
      <c r="R20" s="25"/>
      <c r="S20" s="20"/>
      <c r="T20" s="28"/>
      <c r="U20" s="14"/>
      <c r="V20" s="14"/>
      <c r="W20" s="14"/>
      <c r="X20" s="14"/>
      <c r="Y20" s="14"/>
    </row>
    <row r="21" spans="1:26">
      <c r="A21" s="13"/>
      <c r="B21" s="11" t="s">
        <v>31</v>
      </c>
      <c r="C21" s="9" t="s">
        <v>46</v>
      </c>
      <c r="D21" s="12" t="s">
        <v>47</v>
      </c>
      <c r="E21" s="9"/>
      <c r="F21" s="63">
        <v>0.26</v>
      </c>
      <c r="G21" s="63">
        <v>0.06</v>
      </c>
      <c r="H21" s="63">
        <v>0.43</v>
      </c>
      <c r="I21" s="63">
        <v>0.1</v>
      </c>
      <c r="J21" s="63">
        <v>0.11</v>
      </c>
      <c r="K21" s="63">
        <v>0.25</v>
      </c>
      <c r="L21" s="63">
        <v>0.11</v>
      </c>
      <c r="M21" s="63">
        <v>0.46</v>
      </c>
      <c r="N21" s="63">
        <v>0.1</v>
      </c>
      <c r="O21" s="63">
        <v>0.21</v>
      </c>
      <c r="P21" s="63">
        <v>0.24</v>
      </c>
      <c r="Q21" s="63">
        <v>0.16</v>
      </c>
      <c r="R21" s="63">
        <f>SUM(F21:Q21)</f>
        <v>2.4900000000000002</v>
      </c>
      <c r="T21" s="63">
        <v>0.12</v>
      </c>
      <c r="U21" s="63">
        <v>0.06</v>
      </c>
      <c r="V21" s="64">
        <v>0.08</v>
      </c>
      <c r="W21" s="65">
        <v>0.11</v>
      </c>
      <c r="X21" s="65">
        <v>0.09</v>
      </c>
      <c r="Y21" s="65">
        <v>0.05</v>
      </c>
    </row>
    <row r="22" spans="1:26">
      <c r="A22" s="7">
        <v>4</v>
      </c>
      <c r="B22" s="8" t="s">
        <v>48</v>
      </c>
      <c r="C22" s="9"/>
      <c r="D22" s="9"/>
      <c r="E22" s="9"/>
      <c r="F22" s="9"/>
      <c r="G22" s="9"/>
      <c r="H22" s="9"/>
      <c r="I22" s="9"/>
      <c r="J22" s="9"/>
      <c r="K22" s="9"/>
      <c r="L22" s="9"/>
      <c r="M22" s="9"/>
      <c r="N22" s="9"/>
      <c r="O22" s="9"/>
      <c r="P22" s="9"/>
      <c r="Q22" s="9"/>
      <c r="R22" s="22"/>
      <c r="T22" s="26"/>
      <c r="U22" s="9"/>
      <c r="V22" s="9"/>
      <c r="W22" s="9"/>
      <c r="X22" s="9"/>
      <c r="Y22" s="9"/>
    </row>
    <row r="23" spans="1:26">
      <c r="A23" s="10"/>
      <c r="B23" s="11" t="s">
        <v>23</v>
      </c>
      <c r="C23" s="9" t="s">
        <v>49</v>
      </c>
      <c r="D23" s="12" t="s">
        <v>35</v>
      </c>
      <c r="E23" s="12"/>
      <c r="F23" s="9">
        <v>23</v>
      </c>
      <c r="G23" s="9">
        <v>24</v>
      </c>
      <c r="H23" s="9">
        <v>14</v>
      </c>
      <c r="I23" s="9">
        <v>3</v>
      </c>
      <c r="J23" s="9">
        <v>109</v>
      </c>
      <c r="K23" s="9">
        <v>106</v>
      </c>
      <c r="L23" s="9">
        <v>128</v>
      </c>
      <c r="M23" s="9">
        <v>96</v>
      </c>
      <c r="N23" s="9">
        <v>88</v>
      </c>
      <c r="O23" s="9">
        <v>116</v>
      </c>
      <c r="P23" s="9">
        <v>80</v>
      </c>
      <c r="Q23" s="9">
        <v>129</v>
      </c>
      <c r="R23" s="22">
        <f>SUM(F23:Q23)</f>
        <v>916</v>
      </c>
      <c r="T23" s="26">
        <v>88</v>
      </c>
      <c r="U23" s="9">
        <v>48</v>
      </c>
      <c r="V23" s="9">
        <v>78</v>
      </c>
      <c r="W23" s="44">
        <v>84</v>
      </c>
      <c r="X23" s="44">
        <v>85</v>
      </c>
      <c r="Y23" s="44">
        <v>95</v>
      </c>
    </row>
    <row r="24" spans="1:26">
      <c r="A24" s="10"/>
      <c r="B24" s="11" t="s">
        <v>26</v>
      </c>
      <c r="C24" s="9" t="s">
        <v>50</v>
      </c>
      <c r="D24" s="12" t="s">
        <v>35</v>
      </c>
      <c r="E24" s="12"/>
      <c r="F24" s="9">
        <v>23</v>
      </c>
      <c r="G24" s="9">
        <v>24</v>
      </c>
      <c r="H24" s="9">
        <v>14</v>
      </c>
      <c r="I24" s="9">
        <v>3</v>
      </c>
      <c r="J24" s="9">
        <v>109</v>
      </c>
      <c r="K24" s="9">
        <v>106</v>
      </c>
      <c r="L24" s="9">
        <v>128</v>
      </c>
      <c r="M24" s="9">
        <v>96</v>
      </c>
      <c r="N24" s="9">
        <v>88</v>
      </c>
      <c r="O24" s="9">
        <v>116</v>
      </c>
      <c r="P24" s="9">
        <v>80</v>
      </c>
      <c r="Q24" s="9">
        <v>129</v>
      </c>
      <c r="R24" s="22">
        <f t="shared" ref="R24:R25" si="0">SUM(F24:Q24)</f>
        <v>916</v>
      </c>
      <c r="T24" s="26">
        <v>88</v>
      </c>
      <c r="U24" s="9">
        <v>48</v>
      </c>
      <c r="V24" s="9">
        <v>78</v>
      </c>
      <c r="W24" s="44">
        <v>84</v>
      </c>
      <c r="X24" s="44">
        <v>85</v>
      </c>
      <c r="Y24" s="44">
        <v>95</v>
      </c>
    </row>
    <row r="25" spans="1:26">
      <c r="A25" s="10"/>
      <c r="B25" s="11" t="s">
        <v>29</v>
      </c>
      <c r="C25" s="9" t="s">
        <v>51</v>
      </c>
      <c r="D25" s="12" t="s">
        <v>35</v>
      </c>
      <c r="E25" s="12"/>
      <c r="F25" s="9">
        <v>0</v>
      </c>
      <c r="G25" s="9">
        <v>0</v>
      </c>
      <c r="H25" s="9">
        <v>0</v>
      </c>
      <c r="I25" s="9">
        <v>0</v>
      </c>
      <c r="J25" s="9">
        <v>0</v>
      </c>
      <c r="K25" s="9">
        <v>0</v>
      </c>
      <c r="L25" s="9">
        <v>0</v>
      </c>
      <c r="M25" s="9">
        <v>0</v>
      </c>
      <c r="N25" s="9">
        <v>0</v>
      </c>
      <c r="O25" s="9">
        <v>0</v>
      </c>
      <c r="P25" s="9">
        <v>0</v>
      </c>
      <c r="Q25" s="9">
        <v>0</v>
      </c>
      <c r="R25" s="22">
        <f t="shared" si="0"/>
        <v>0</v>
      </c>
      <c r="T25" s="26">
        <v>0</v>
      </c>
      <c r="U25" s="9">
        <v>0</v>
      </c>
      <c r="V25" s="9">
        <v>0</v>
      </c>
      <c r="W25" s="44">
        <v>0</v>
      </c>
      <c r="X25" s="44">
        <v>0</v>
      </c>
      <c r="Y25" s="44">
        <v>0</v>
      </c>
    </row>
    <row r="26" spans="1:26">
      <c r="A26" s="10"/>
      <c r="B26" s="11" t="s">
        <v>31</v>
      </c>
      <c r="C26" s="9" t="s">
        <v>52</v>
      </c>
      <c r="D26" s="12" t="s">
        <v>35</v>
      </c>
      <c r="E26" s="12"/>
      <c r="F26" s="9">
        <v>0</v>
      </c>
      <c r="G26" s="9">
        <v>0</v>
      </c>
      <c r="H26" s="9">
        <v>0</v>
      </c>
      <c r="I26" s="9">
        <v>0</v>
      </c>
      <c r="J26" s="9">
        <v>0</v>
      </c>
      <c r="K26" s="9">
        <v>0</v>
      </c>
      <c r="L26" s="9">
        <v>0</v>
      </c>
      <c r="M26" s="9">
        <v>0</v>
      </c>
      <c r="N26" s="9">
        <v>0</v>
      </c>
      <c r="O26" s="9">
        <v>0</v>
      </c>
      <c r="P26" s="9">
        <v>0</v>
      </c>
      <c r="Q26" s="9">
        <v>0</v>
      </c>
      <c r="R26" s="22">
        <v>0</v>
      </c>
      <c r="T26" s="26">
        <v>0</v>
      </c>
      <c r="U26" s="9">
        <v>0</v>
      </c>
      <c r="V26" s="9">
        <v>0</v>
      </c>
      <c r="W26" s="44">
        <v>0</v>
      </c>
      <c r="X26" s="44">
        <v>0</v>
      </c>
      <c r="Y26" s="44">
        <v>0</v>
      </c>
    </row>
    <row r="27" spans="1:26">
      <c r="A27" s="10"/>
      <c r="B27" s="12" t="s">
        <v>53</v>
      </c>
      <c r="C27" s="9" t="s">
        <v>54</v>
      </c>
      <c r="D27" s="12" t="s">
        <v>37</v>
      </c>
      <c r="E27" s="12"/>
      <c r="F27" s="16">
        <f>23/F23*100%</f>
        <v>1</v>
      </c>
      <c r="G27" s="16">
        <f>24/G23*100%</f>
        <v>1</v>
      </c>
      <c r="H27" s="16">
        <f>14/H23*100%</f>
        <v>1</v>
      </c>
      <c r="I27" s="16">
        <f>3/I23*100%</f>
        <v>1</v>
      </c>
      <c r="J27" s="16">
        <f>109/J23*100%</f>
        <v>1</v>
      </c>
      <c r="K27" s="16">
        <f>106/K23*100%</f>
        <v>1</v>
      </c>
      <c r="L27" s="16">
        <f>128/L23*100%</f>
        <v>1</v>
      </c>
      <c r="M27" s="16">
        <f>96/M23*100%</f>
        <v>1</v>
      </c>
      <c r="N27" s="16">
        <f>88/N23*100%</f>
        <v>1</v>
      </c>
      <c r="O27" s="16">
        <f>116/O23*100%</f>
        <v>1</v>
      </c>
      <c r="P27" s="16">
        <f>80/P23*100%</f>
        <v>1</v>
      </c>
      <c r="Q27" s="16">
        <f>129/Q23*100%</f>
        <v>1</v>
      </c>
      <c r="R27" s="22"/>
      <c r="T27" s="27">
        <f>88/T23*100%</f>
        <v>1</v>
      </c>
      <c r="U27" s="16">
        <f>48/U23*100%</f>
        <v>1</v>
      </c>
      <c r="V27" s="16">
        <f>78/V23*100%</f>
        <v>1</v>
      </c>
      <c r="W27" s="16">
        <f>84/W23*100%</f>
        <v>1</v>
      </c>
      <c r="X27" s="16">
        <f>85/X23*100%</f>
        <v>1</v>
      </c>
      <c r="Y27" s="16">
        <f>95/Y23*100%</f>
        <v>1</v>
      </c>
    </row>
    <row r="28" spans="1:26">
      <c r="A28" s="13"/>
      <c r="B28" s="12" t="s">
        <v>55</v>
      </c>
      <c r="C28" s="9" t="s">
        <v>56</v>
      </c>
      <c r="D28" s="12" t="s">
        <v>57</v>
      </c>
      <c r="E28" s="12"/>
      <c r="F28" s="9">
        <v>1</v>
      </c>
      <c r="G28" s="9">
        <v>1</v>
      </c>
      <c r="H28" s="9">
        <v>1</v>
      </c>
      <c r="I28" s="9">
        <v>1</v>
      </c>
      <c r="J28" s="9">
        <v>1</v>
      </c>
      <c r="K28" s="9">
        <v>1</v>
      </c>
      <c r="L28" s="9">
        <v>1</v>
      </c>
      <c r="M28" s="9">
        <v>1</v>
      </c>
      <c r="N28" s="9">
        <v>1</v>
      </c>
      <c r="O28" s="9">
        <v>1</v>
      </c>
      <c r="P28" s="9">
        <v>1</v>
      </c>
      <c r="Q28" s="9">
        <v>1</v>
      </c>
      <c r="R28" s="22"/>
      <c r="T28" s="26">
        <v>1</v>
      </c>
      <c r="U28" s="9">
        <v>1</v>
      </c>
      <c r="V28" s="9">
        <v>1</v>
      </c>
      <c r="W28" s="9">
        <v>1</v>
      </c>
      <c r="X28" s="9">
        <v>1</v>
      </c>
      <c r="Y28" s="9">
        <v>1</v>
      </c>
    </row>
    <row r="29" spans="1:26">
      <c r="D29" s="4"/>
      <c r="E29" s="4"/>
    </row>
  </sheetData>
  <mergeCells count="7">
    <mergeCell ref="T6:Y6"/>
    <mergeCell ref="F9:N12"/>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A8A7-2C0E-4EB1-824E-F21F49BBB6B7}">
  <dimension ref="A1:AY123"/>
  <sheetViews>
    <sheetView workbookViewId="0">
      <pane xSplit="5" topLeftCell="W67" activePane="topRight" state="frozen"/>
      <selection pane="topRight" activeCell="W53" sqref="W53"/>
    </sheetView>
  </sheetViews>
  <sheetFormatPr defaultRowHeight="16.5"/>
  <cols>
    <col min="3" max="3" width="22.25" customWidth="1"/>
    <col min="4" max="4" width="30.25" customWidth="1"/>
    <col min="5" max="5" width="33.25" customWidth="1"/>
    <col min="24" max="24" width="36.125" customWidth="1"/>
  </cols>
  <sheetData>
    <row r="1" spans="1:51">
      <c r="A1" s="29" t="s">
        <v>3</v>
      </c>
      <c r="B1" s="96" t="s">
        <v>58</v>
      </c>
      <c r="C1" s="97"/>
      <c r="D1" s="98"/>
      <c r="E1" s="51" t="s">
        <v>59</v>
      </c>
      <c r="F1" s="52">
        <v>45658</v>
      </c>
      <c r="G1" s="52">
        <v>45689</v>
      </c>
      <c r="H1" s="52">
        <v>45717</v>
      </c>
      <c r="I1" s="52">
        <v>45748</v>
      </c>
      <c r="J1" s="52">
        <v>45778</v>
      </c>
      <c r="K1" s="52">
        <v>45809</v>
      </c>
      <c r="L1" s="52">
        <v>45839</v>
      </c>
      <c r="M1" s="52">
        <v>45870</v>
      </c>
      <c r="N1" s="52">
        <v>45901</v>
      </c>
      <c r="O1" s="52">
        <v>45931</v>
      </c>
      <c r="P1" s="52">
        <v>45962</v>
      </c>
      <c r="Q1" s="52">
        <v>45992</v>
      </c>
      <c r="R1" s="52">
        <v>46023</v>
      </c>
      <c r="S1" s="52">
        <v>46054</v>
      </c>
      <c r="T1" s="52">
        <v>46082</v>
      </c>
      <c r="U1" s="52">
        <v>46113</v>
      </c>
      <c r="V1" s="52">
        <v>46143</v>
      </c>
      <c r="W1" s="52">
        <v>46174</v>
      </c>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3"/>
    </row>
    <row r="2" spans="1:51" ht="24">
      <c r="A2" s="34">
        <v>1</v>
      </c>
      <c r="B2" s="117" t="s">
        <v>60</v>
      </c>
      <c r="C2" s="118"/>
      <c r="D2" s="119"/>
      <c r="E2" s="35" t="s">
        <v>61</v>
      </c>
      <c r="F2" s="36"/>
      <c r="G2" s="36"/>
      <c r="H2" s="36"/>
      <c r="I2" s="36"/>
      <c r="J2" s="36"/>
      <c r="K2" s="36"/>
      <c r="L2" s="36"/>
      <c r="M2" s="36"/>
      <c r="N2" s="36"/>
      <c r="O2" s="36"/>
      <c r="P2" s="36"/>
      <c r="Q2" s="36"/>
      <c r="R2" s="49">
        <v>247297</v>
      </c>
      <c r="S2" s="49">
        <v>145751</v>
      </c>
      <c r="T2" s="49">
        <v>169045</v>
      </c>
      <c r="U2" s="49">
        <v>241827</v>
      </c>
      <c r="V2" s="49">
        <v>247017</v>
      </c>
      <c r="W2" s="49">
        <v>268685</v>
      </c>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8"/>
    </row>
    <row r="3" spans="1:51" ht="48">
      <c r="A3" s="34">
        <v>2</v>
      </c>
      <c r="B3" s="117" t="s">
        <v>62</v>
      </c>
      <c r="C3" s="118"/>
      <c r="D3" s="119"/>
      <c r="E3" s="35" t="s">
        <v>63</v>
      </c>
      <c r="F3" s="36">
        <v>0</v>
      </c>
      <c r="G3" s="36">
        <v>0</v>
      </c>
      <c r="H3" s="36">
        <v>0</v>
      </c>
      <c r="I3" s="36">
        <v>0</v>
      </c>
      <c r="J3" s="36">
        <v>0</v>
      </c>
      <c r="K3" s="36">
        <v>0</v>
      </c>
      <c r="L3" s="36">
        <v>0</v>
      </c>
      <c r="M3" s="36">
        <v>0</v>
      </c>
      <c r="N3" s="36">
        <v>0</v>
      </c>
      <c r="O3" s="36">
        <v>0</v>
      </c>
      <c r="P3" s="36">
        <v>0</v>
      </c>
      <c r="Q3" s="36">
        <v>0</v>
      </c>
      <c r="R3" s="36">
        <f>SUM(R5:R9)</f>
        <v>301</v>
      </c>
      <c r="S3" s="36">
        <f>SUM(S5:S9)</f>
        <v>249</v>
      </c>
      <c r="T3" s="36">
        <f t="shared" ref="T3:W3" si="0">SUM(T5:T9)</f>
        <v>310</v>
      </c>
      <c r="U3" s="36">
        <f t="shared" si="0"/>
        <v>353</v>
      </c>
      <c r="V3" s="36">
        <f t="shared" si="0"/>
        <v>308</v>
      </c>
      <c r="W3" s="36">
        <f t="shared" si="0"/>
        <v>144</v>
      </c>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8"/>
    </row>
    <row r="4" spans="1:51">
      <c r="A4" s="82">
        <v>3</v>
      </c>
      <c r="B4" s="117" t="s">
        <v>64</v>
      </c>
      <c r="C4" s="118"/>
      <c r="D4" s="119"/>
      <c r="E4" s="36"/>
      <c r="F4" s="36"/>
      <c r="G4" s="36"/>
      <c r="H4" s="36"/>
      <c r="I4" s="36"/>
      <c r="J4" s="36"/>
      <c r="K4" s="36"/>
      <c r="L4" s="36"/>
      <c r="M4" s="36"/>
      <c r="N4" s="36"/>
      <c r="O4" s="36"/>
      <c r="P4" s="36"/>
      <c r="Q4" s="36"/>
      <c r="R4" s="36"/>
      <c r="S4" s="36"/>
      <c r="T4" s="36"/>
      <c r="U4" s="36"/>
      <c r="V4" s="36"/>
      <c r="W4" s="36"/>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8"/>
    </row>
    <row r="5" spans="1:51">
      <c r="A5" s="83"/>
      <c r="B5" s="36" t="s">
        <v>65</v>
      </c>
      <c r="C5" s="90" t="s">
        <v>66</v>
      </c>
      <c r="D5" s="91"/>
      <c r="E5" s="87" t="s">
        <v>67</v>
      </c>
      <c r="F5" s="36">
        <v>0</v>
      </c>
      <c r="G5" s="36">
        <v>0</v>
      </c>
      <c r="H5" s="36">
        <v>0</v>
      </c>
      <c r="I5" s="36">
        <v>0</v>
      </c>
      <c r="J5" s="36">
        <v>0</v>
      </c>
      <c r="K5" s="36">
        <v>0</v>
      </c>
      <c r="L5" s="36">
        <v>0</v>
      </c>
      <c r="M5" s="36">
        <v>0</v>
      </c>
      <c r="N5" s="36">
        <v>0</v>
      </c>
      <c r="O5" s="36">
        <v>0</v>
      </c>
      <c r="P5" s="36">
        <v>0</v>
      </c>
      <c r="Q5" s="36">
        <v>0</v>
      </c>
      <c r="R5" s="36">
        <f>SUM(R13,R20,R27,R34,R41,R48,R53,R60,R67,R74,R81)</f>
        <v>89</v>
      </c>
      <c r="S5" s="36">
        <f>SUM(S13,S20,S27,S34,S41,S48,S53,S60,S67,S74,S81)</f>
        <v>49</v>
      </c>
      <c r="T5" s="36">
        <f t="shared" ref="T5:W5" si="1">SUM(T13,T20,T27,T34,T41,T48,T53,T60,T67,T74,T81)</f>
        <v>78</v>
      </c>
      <c r="U5" s="36">
        <f t="shared" si="1"/>
        <v>84</v>
      </c>
      <c r="V5" s="36">
        <f t="shared" si="1"/>
        <v>86</v>
      </c>
      <c r="W5" s="36">
        <f t="shared" si="1"/>
        <v>33</v>
      </c>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8"/>
    </row>
    <row r="6" spans="1:51">
      <c r="A6" s="83"/>
      <c r="B6" s="36" t="s">
        <v>68</v>
      </c>
      <c r="C6" s="90" t="s">
        <v>69</v>
      </c>
      <c r="D6" s="91"/>
      <c r="E6" s="88"/>
      <c r="F6" s="36">
        <v>0</v>
      </c>
      <c r="G6" s="36">
        <v>0</v>
      </c>
      <c r="H6" s="36">
        <v>0</v>
      </c>
      <c r="I6" s="36">
        <v>0</v>
      </c>
      <c r="J6" s="36">
        <v>0</v>
      </c>
      <c r="K6" s="36">
        <v>0</v>
      </c>
      <c r="L6" s="36">
        <v>0</v>
      </c>
      <c r="M6" s="36">
        <v>0</v>
      </c>
      <c r="N6" s="36">
        <v>0</v>
      </c>
      <c r="O6" s="36">
        <v>0</v>
      </c>
      <c r="P6" s="36">
        <v>0</v>
      </c>
      <c r="Q6" s="36">
        <v>0</v>
      </c>
      <c r="R6" s="36">
        <v>0</v>
      </c>
      <c r="S6" s="36">
        <v>0</v>
      </c>
      <c r="T6" s="36">
        <v>0</v>
      </c>
      <c r="U6" s="36">
        <v>0</v>
      </c>
      <c r="V6" s="36">
        <v>0</v>
      </c>
      <c r="W6" s="36">
        <v>0</v>
      </c>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row>
    <row r="7" spans="1:51">
      <c r="A7" s="83"/>
      <c r="B7" s="36" t="s">
        <v>70</v>
      </c>
      <c r="C7" s="90" t="s">
        <v>71</v>
      </c>
      <c r="D7" s="91"/>
      <c r="E7" s="88"/>
      <c r="F7" s="36">
        <v>0</v>
      </c>
      <c r="G7" s="36">
        <v>0</v>
      </c>
      <c r="H7" s="36">
        <v>0</v>
      </c>
      <c r="I7" s="36">
        <v>0</v>
      </c>
      <c r="J7" s="36">
        <v>0</v>
      </c>
      <c r="K7" s="36">
        <v>0</v>
      </c>
      <c r="L7" s="36">
        <v>0</v>
      </c>
      <c r="M7" s="36">
        <v>0</v>
      </c>
      <c r="N7" s="36">
        <v>0</v>
      </c>
      <c r="O7" s="36">
        <v>0</v>
      </c>
      <c r="P7" s="36">
        <v>0</v>
      </c>
      <c r="Q7" s="36">
        <v>0</v>
      </c>
      <c r="R7" s="36">
        <f>SUM(R15,R22,R29,R36,R43,R50,R55,R62,R69,R76,R83)</f>
        <v>88</v>
      </c>
      <c r="S7" s="36">
        <f>SUM(S15,S22,S29,S36,S43,S50,S55,S62,S69,S76,S83)</f>
        <v>77</v>
      </c>
      <c r="T7" s="36">
        <f t="shared" ref="T7:W7" si="2">SUM(T15,T22,T29,T36,T43,T50,T55,T62,T69,T76,T83)</f>
        <v>93</v>
      </c>
      <c r="U7" s="36">
        <f t="shared" si="2"/>
        <v>127</v>
      </c>
      <c r="V7" s="36">
        <f t="shared" si="2"/>
        <v>108</v>
      </c>
      <c r="W7" s="36">
        <f t="shared" si="2"/>
        <v>52</v>
      </c>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8"/>
    </row>
    <row r="8" spans="1:51">
      <c r="A8" s="83"/>
      <c r="B8" s="36" t="s">
        <v>72</v>
      </c>
      <c r="C8" s="90" t="s">
        <v>73</v>
      </c>
      <c r="D8" s="91"/>
      <c r="E8" s="88"/>
      <c r="F8" s="36">
        <v>0</v>
      </c>
      <c r="G8" s="36">
        <v>0</v>
      </c>
      <c r="H8" s="36">
        <v>0</v>
      </c>
      <c r="I8" s="36">
        <v>0</v>
      </c>
      <c r="J8" s="36">
        <v>0</v>
      </c>
      <c r="K8" s="36">
        <v>0</v>
      </c>
      <c r="L8" s="36">
        <v>0</v>
      </c>
      <c r="M8" s="36">
        <v>0</v>
      </c>
      <c r="N8" s="36">
        <v>0</v>
      </c>
      <c r="O8" s="36">
        <v>0</v>
      </c>
      <c r="P8" s="36">
        <v>0</v>
      </c>
      <c r="Q8" s="36">
        <v>0</v>
      </c>
      <c r="R8" s="36">
        <v>0</v>
      </c>
      <c r="S8" s="36">
        <v>0</v>
      </c>
      <c r="T8" s="36">
        <v>0</v>
      </c>
      <c r="U8" s="36">
        <v>0</v>
      </c>
      <c r="V8" s="36">
        <v>0</v>
      </c>
      <c r="W8" s="36">
        <v>0</v>
      </c>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8"/>
    </row>
    <row r="9" spans="1:51">
      <c r="A9" s="120"/>
      <c r="B9" s="36" t="s">
        <v>74</v>
      </c>
      <c r="C9" s="90" t="s">
        <v>75</v>
      </c>
      <c r="D9" s="91"/>
      <c r="E9" s="89"/>
      <c r="F9" s="36">
        <v>0</v>
      </c>
      <c r="G9" s="36">
        <v>0</v>
      </c>
      <c r="H9" s="36">
        <v>0</v>
      </c>
      <c r="I9" s="36">
        <v>0</v>
      </c>
      <c r="J9" s="36">
        <v>0</v>
      </c>
      <c r="K9" s="36">
        <v>0</v>
      </c>
      <c r="L9" s="36">
        <v>0</v>
      </c>
      <c r="M9" s="36">
        <v>0</v>
      </c>
      <c r="N9" s="36">
        <v>0</v>
      </c>
      <c r="O9" s="36">
        <v>0</v>
      </c>
      <c r="P9" s="36">
        <v>0</v>
      </c>
      <c r="Q9" s="36">
        <v>0</v>
      </c>
      <c r="R9" s="36">
        <f>SUM(R17,R24,R31,R38,R45,R52,R57,R64,R71,R78,R85)</f>
        <v>124</v>
      </c>
      <c r="S9" s="36">
        <f>SUM(S17,S24,S31,S38,S45,S52,S57,S64,S71,S78,S85)</f>
        <v>123</v>
      </c>
      <c r="T9" s="36">
        <f t="shared" ref="T9:W9" si="3">SUM(T17,T24,T31,T38,T45,T52,T57,T64,T71,T78,T85)</f>
        <v>139</v>
      </c>
      <c r="U9" s="36">
        <f t="shared" si="3"/>
        <v>142</v>
      </c>
      <c r="V9" s="36">
        <f t="shared" si="3"/>
        <v>114</v>
      </c>
      <c r="W9" s="36">
        <f t="shared" si="3"/>
        <v>59</v>
      </c>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8"/>
    </row>
    <row r="10" spans="1:51">
      <c r="A10" s="53"/>
      <c r="B10" s="36" t="s">
        <v>76</v>
      </c>
      <c r="C10" s="90" t="s">
        <v>77</v>
      </c>
      <c r="D10" s="91"/>
      <c r="E10" s="36"/>
      <c r="F10" s="36"/>
      <c r="G10" s="36"/>
      <c r="H10" s="36"/>
      <c r="I10" s="36"/>
      <c r="J10" s="36"/>
      <c r="K10" s="36"/>
      <c r="L10" s="36"/>
      <c r="M10" s="36"/>
      <c r="N10" s="36"/>
      <c r="O10" s="36"/>
      <c r="P10" s="36"/>
      <c r="Q10" s="36"/>
      <c r="R10" s="36"/>
      <c r="S10" s="36"/>
      <c r="T10" s="36"/>
      <c r="U10" s="36"/>
      <c r="V10" s="36"/>
      <c r="W10" s="36"/>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8"/>
    </row>
    <row r="11" spans="1:51">
      <c r="A11" s="34"/>
      <c r="B11" s="36" t="s">
        <v>78</v>
      </c>
      <c r="C11" s="90" t="s">
        <v>79</v>
      </c>
      <c r="D11" s="91"/>
      <c r="E11" s="36"/>
      <c r="F11" s="36"/>
      <c r="G11" s="36"/>
      <c r="H11" s="36"/>
      <c r="I11" s="36"/>
      <c r="J11" s="36"/>
      <c r="K11" s="36"/>
      <c r="L11" s="36"/>
      <c r="M11" s="36"/>
      <c r="N11" s="36"/>
      <c r="O11" s="36"/>
      <c r="P11" s="36"/>
      <c r="Q11" s="36"/>
      <c r="R11" s="36"/>
      <c r="S11" s="36"/>
      <c r="T11" s="36"/>
      <c r="U11" s="36"/>
      <c r="V11" s="36"/>
      <c r="W11" s="36"/>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8"/>
    </row>
    <row r="12" spans="1:51">
      <c r="A12" s="82">
        <v>4</v>
      </c>
      <c r="B12" s="117" t="s">
        <v>80</v>
      </c>
      <c r="C12" s="118"/>
      <c r="D12" s="119"/>
      <c r="E12" s="36"/>
      <c r="F12" s="36"/>
      <c r="G12" s="36"/>
      <c r="H12" s="36"/>
      <c r="I12" s="36"/>
      <c r="J12" s="36"/>
      <c r="K12" s="36"/>
      <c r="L12" s="36"/>
      <c r="M12" s="36"/>
      <c r="N12" s="36"/>
      <c r="O12" s="36"/>
      <c r="P12" s="36"/>
      <c r="Q12" s="36"/>
      <c r="R12" s="36"/>
      <c r="S12" s="36"/>
      <c r="T12" s="36"/>
      <c r="U12" s="36"/>
      <c r="V12" s="36"/>
      <c r="W12" s="36"/>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8"/>
    </row>
    <row r="13" spans="1:51">
      <c r="A13" s="83"/>
      <c r="B13" s="36" t="s">
        <v>65</v>
      </c>
      <c r="C13" s="48" t="s">
        <v>81</v>
      </c>
      <c r="D13" s="36" t="s">
        <v>66</v>
      </c>
      <c r="E13" s="36"/>
      <c r="F13" s="36"/>
      <c r="G13" s="36"/>
      <c r="H13" s="36"/>
      <c r="I13" s="36"/>
      <c r="J13" s="36"/>
      <c r="K13" s="36"/>
      <c r="L13" s="36"/>
      <c r="M13" s="36"/>
      <c r="N13" s="36"/>
      <c r="O13" s="36"/>
      <c r="P13" s="36"/>
      <c r="Q13" s="36"/>
      <c r="R13" s="36">
        <v>0</v>
      </c>
      <c r="S13" s="36">
        <v>0</v>
      </c>
      <c r="T13" s="36">
        <v>0</v>
      </c>
      <c r="U13" s="36">
        <v>0</v>
      </c>
      <c r="V13" s="36">
        <v>0</v>
      </c>
      <c r="W13" s="36">
        <v>0</v>
      </c>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8"/>
    </row>
    <row r="14" spans="1:51">
      <c r="A14" s="83"/>
      <c r="B14" s="36"/>
      <c r="C14" s="36"/>
      <c r="D14" s="36" t="s">
        <v>69</v>
      </c>
      <c r="E14" s="36"/>
      <c r="F14" s="36"/>
      <c r="G14" s="36"/>
      <c r="H14" s="36"/>
      <c r="I14" s="36"/>
      <c r="J14" s="36"/>
      <c r="K14" s="36"/>
      <c r="L14" s="36"/>
      <c r="M14" s="36"/>
      <c r="N14" s="36"/>
      <c r="O14" s="36"/>
      <c r="P14" s="36"/>
      <c r="Q14" s="36"/>
      <c r="R14" s="36">
        <v>29</v>
      </c>
      <c r="S14" s="36">
        <v>14</v>
      </c>
      <c r="T14" s="36">
        <v>8</v>
      </c>
      <c r="U14" s="36">
        <v>34</v>
      </c>
      <c r="V14" s="36">
        <v>28</v>
      </c>
      <c r="W14" s="36">
        <v>15</v>
      </c>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8"/>
    </row>
    <row r="15" spans="1:51">
      <c r="A15" s="83"/>
      <c r="B15" s="36"/>
      <c r="C15" s="36"/>
      <c r="D15" s="36" t="s">
        <v>71</v>
      </c>
      <c r="E15" s="36"/>
      <c r="F15" s="36"/>
      <c r="G15" s="36"/>
      <c r="H15" s="36"/>
      <c r="I15" s="36"/>
      <c r="J15" s="36"/>
      <c r="K15" s="36"/>
      <c r="L15" s="36"/>
      <c r="M15" s="36"/>
      <c r="N15" s="36"/>
      <c r="O15" s="36"/>
      <c r="P15" s="36"/>
      <c r="Q15" s="36"/>
      <c r="R15" s="36">
        <v>0</v>
      </c>
      <c r="S15" s="36">
        <v>0</v>
      </c>
      <c r="T15" s="36">
        <v>0</v>
      </c>
      <c r="U15" s="36">
        <v>0</v>
      </c>
      <c r="V15" s="36">
        <v>0</v>
      </c>
      <c r="W15" s="36">
        <v>0</v>
      </c>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8"/>
    </row>
    <row r="16" spans="1:51">
      <c r="A16" s="83"/>
      <c r="B16" s="36"/>
      <c r="C16" s="36"/>
      <c r="D16" s="36" t="s">
        <v>73</v>
      </c>
      <c r="E16" s="36"/>
      <c r="F16" s="36"/>
      <c r="G16" s="36"/>
      <c r="H16" s="36"/>
      <c r="I16" s="36"/>
      <c r="J16" s="36"/>
      <c r="K16" s="36"/>
      <c r="L16" s="36"/>
      <c r="M16" s="36"/>
      <c r="N16" s="36"/>
      <c r="O16" s="36"/>
      <c r="P16" s="36"/>
      <c r="Q16" s="36"/>
      <c r="R16" s="36">
        <v>234</v>
      </c>
      <c r="S16" s="36">
        <v>107</v>
      </c>
      <c r="T16" s="36">
        <v>273</v>
      </c>
      <c r="U16" s="36">
        <v>222</v>
      </c>
      <c r="V16" s="36">
        <v>231</v>
      </c>
      <c r="W16" s="36">
        <v>211</v>
      </c>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8"/>
    </row>
    <row r="17" spans="1:51">
      <c r="A17" s="83"/>
      <c r="B17" s="36"/>
      <c r="C17" s="36"/>
      <c r="D17" s="36" t="s">
        <v>75</v>
      </c>
      <c r="E17" s="36"/>
      <c r="F17" s="36"/>
      <c r="G17" s="36"/>
      <c r="H17" s="36"/>
      <c r="I17" s="36"/>
      <c r="J17" s="36"/>
      <c r="K17" s="36"/>
      <c r="L17" s="36"/>
      <c r="M17" s="36"/>
      <c r="N17" s="36"/>
      <c r="O17" s="36"/>
      <c r="P17" s="36"/>
      <c r="Q17" s="36"/>
      <c r="R17" s="36">
        <v>0</v>
      </c>
      <c r="S17" s="36">
        <v>0</v>
      </c>
      <c r="T17" s="36">
        <v>0</v>
      </c>
      <c r="U17" s="36">
        <v>0</v>
      </c>
      <c r="V17" s="36">
        <v>0</v>
      </c>
      <c r="W17" s="36">
        <v>0</v>
      </c>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8"/>
    </row>
    <row r="18" spans="1:51">
      <c r="A18" s="83"/>
      <c r="B18" s="36"/>
      <c r="C18" s="36"/>
      <c r="D18" s="36" t="s">
        <v>77</v>
      </c>
      <c r="E18" s="36"/>
      <c r="F18" s="36"/>
      <c r="G18" s="36"/>
      <c r="H18" s="36"/>
      <c r="I18" s="36"/>
      <c r="J18" s="36"/>
      <c r="K18" s="36"/>
      <c r="L18" s="36"/>
      <c r="M18" s="36"/>
      <c r="N18" s="36"/>
      <c r="O18" s="36"/>
      <c r="P18" s="36"/>
      <c r="Q18" s="36"/>
      <c r="R18" s="36"/>
      <c r="S18" s="36"/>
      <c r="T18" s="36"/>
      <c r="U18" s="36"/>
      <c r="V18" s="36"/>
      <c r="W18" s="36"/>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8"/>
    </row>
    <row r="19" spans="1:51">
      <c r="A19" s="83"/>
      <c r="B19" s="36"/>
      <c r="C19" s="36"/>
      <c r="D19" s="36" t="s">
        <v>79</v>
      </c>
      <c r="E19" s="36"/>
      <c r="F19" s="36"/>
      <c r="G19" s="36"/>
      <c r="H19" s="36"/>
      <c r="I19" s="36"/>
      <c r="J19" s="36"/>
      <c r="K19" s="36"/>
      <c r="L19" s="36"/>
      <c r="M19" s="36"/>
      <c r="N19" s="36"/>
      <c r="O19" s="36"/>
      <c r="P19" s="36"/>
      <c r="Q19" s="36"/>
      <c r="R19" s="36"/>
      <c r="S19" s="36"/>
      <c r="T19" s="36"/>
      <c r="U19" s="36"/>
      <c r="V19" s="36"/>
      <c r="W19" s="36"/>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8"/>
    </row>
    <row r="20" spans="1:51">
      <c r="A20" s="83"/>
      <c r="B20" s="36" t="s">
        <v>68</v>
      </c>
      <c r="C20" s="48" t="s">
        <v>82</v>
      </c>
      <c r="D20" s="36" t="s">
        <v>66</v>
      </c>
      <c r="E20" s="36"/>
      <c r="F20" s="36"/>
      <c r="G20" s="36"/>
      <c r="H20" s="36"/>
      <c r="I20" s="36"/>
      <c r="J20" s="36"/>
      <c r="K20" s="36"/>
      <c r="L20" s="36"/>
      <c r="M20" s="36"/>
      <c r="N20" s="36"/>
      <c r="O20" s="36"/>
      <c r="P20" s="36"/>
      <c r="Q20" s="36"/>
      <c r="R20" s="36">
        <v>8</v>
      </c>
      <c r="S20" s="36">
        <v>9</v>
      </c>
      <c r="T20" s="36">
        <v>17</v>
      </c>
      <c r="U20" s="36">
        <v>7</v>
      </c>
      <c r="V20" s="36">
        <v>4</v>
      </c>
      <c r="W20" s="36">
        <v>0</v>
      </c>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8"/>
    </row>
    <row r="21" spans="1:51">
      <c r="A21" s="83"/>
      <c r="B21" s="36"/>
      <c r="C21" s="36"/>
      <c r="D21" s="36" t="s">
        <v>69</v>
      </c>
      <c r="E21" s="36"/>
      <c r="F21" s="36"/>
      <c r="G21" s="36"/>
      <c r="H21" s="36"/>
      <c r="I21" s="36"/>
      <c r="J21" s="36"/>
      <c r="K21" s="36"/>
      <c r="L21" s="36"/>
      <c r="M21" s="36"/>
      <c r="N21" s="36"/>
      <c r="O21" s="36"/>
      <c r="P21" s="36"/>
      <c r="Q21" s="36"/>
      <c r="R21" s="36">
        <v>0</v>
      </c>
      <c r="S21" s="36">
        <v>0</v>
      </c>
      <c r="T21" s="36">
        <v>0</v>
      </c>
      <c r="U21" s="36">
        <v>0</v>
      </c>
      <c r="V21" s="36">
        <v>0</v>
      </c>
      <c r="W21" s="36">
        <v>0</v>
      </c>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8"/>
    </row>
    <row r="22" spans="1:51">
      <c r="A22" s="83"/>
      <c r="B22" s="36"/>
      <c r="C22" s="36"/>
      <c r="D22" s="36" t="s">
        <v>71</v>
      </c>
      <c r="E22" s="36"/>
      <c r="F22" s="36"/>
      <c r="G22" s="36"/>
      <c r="H22" s="36"/>
      <c r="I22" s="36"/>
      <c r="J22" s="36"/>
      <c r="K22" s="36"/>
      <c r="L22" s="36"/>
      <c r="M22" s="36"/>
      <c r="N22" s="36"/>
      <c r="O22" s="36"/>
      <c r="P22" s="36"/>
      <c r="Q22" s="36"/>
      <c r="R22" s="36">
        <v>0</v>
      </c>
      <c r="S22" s="36">
        <v>0</v>
      </c>
      <c r="T22" s="36">
        <v>0</v>
      </c>
      <c r="U22" s="36">
        <v>0</v>
      </c>
      <c r="V22" s="36">
        <v>0</v>
      </c>
      <c r="W22" s="36">
        <v>0</v>
      </c>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8"/>
    </row>
    <row r="23" spans="1:51">
      <c r="A23" s="83"/>
      <c r="B23" s="36"/>
      <c r="C23" s="36"/>
      <c r="D23" s="36" t="s">
        <v>73</v>
      </c>
      <c r="E23" s="36"/>
      <c r="F23" s="36"/>
      <c r="G23" s="36"/>
      <c r="H23" s="36"/>
      <c r="I23" s="36"/>
      <c r="J23" s="36"/>
      <c r="K23" s="36"/>
      <c r="L23" s="36"/>
      <c r="M23" s="36"/>
      <c r="N23" s="36"/>
      <c r="O23" s="36"/>
      <c r="P23" s="36"/>
      <c r="Q23" s="36"/>
      <c r="R23" s="36">
        <v>0</v>
      </c>
      <c r="S23" s="36">
        <v>0</v>
      </c>
      <c r="T23" s="36">
        <v>0</v>
      </c>
      <c r="U23" s="36">
        <v>0</v>
      </c>
      <c r="V23" s="36">
        <v>0</v>
      </c>
      <c r="W23" s="36">
        <v>0</v>
      </c>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8"/>
    </row>
    <row r="24" spans="1:51">
      <c r="A24" s="83"/>
      <c r="B24" s="36"/>
      <c r="C24" s="36"/>
      <c r="D24" s="36" t="s">
        <v>75</v>
      </c>
      <c r="E24" s="36"/>
      <c r="F24" s="36"/>
      <c r="G24" s="36"/>
      <c r="H24" s="36"/>
      <c r="I24" s="36"/>
      <c r="J24" s="36"/>
      <c r="K24" s="36"/>
      <c r="L24" s="36"/>
      <c r="M24" s="36"/>
      <c r="N24" s="36"/>
      <c r="O24" s="36"/>
      <c r="P24" s="36"/>
      <c r="Q24" s="36"/>
      <c r="R24" s="36">
        <v>0</v>
      </c>
      <c r="S24" s="36">
        <v>0</v>
      </c>
      <c r="T24" s="36">
        <v>1</v>
      </c>
      <c r="U24" s="36">
        <v>0</v>
      </c>
      <c r="V24" s="36">
        <v>0</v>
      </c>
      <c r="W24" s="36">
        <v>0</v>
      </c>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8"/>
    </row>
    <row r="25" spans="1:51">
      <c r="A25" s="83"/>
      <c r="B25" s="36"/>
      <c r="C25" s="36"/>
      <c r="D25" s="36" t="s">
        <v>77</v>
      </c>
      <c r="E25" s="36"/>
      <c r="F25" s="36"/>
      <c r="G25" s="36"/>
      <c r="H25" s="36"/>
      <c r="I25" s="36"/>
      <c r="J25" s="36"/>
      <c r="K25" s="36"/>
      <c r="L25" s="36"/>
      <c r="M25" s="36"/>
      <c r="N25" s="36"/>
      <c r="O25" s="36"/>
      <c r="P25" s="36"/>
      <c r="Q25" s="36"/>
      <c r="R25" s="36"/>
      <c r="S25" s="36"/>
      <c r="T25" s="36"/>
      <c r="U25" s="36"/>
      <c r="V25" s="36"/>
      <c r="W25" s="36"/>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8"/>
    </row>
    <row r="26" spans="1:51">
      <c r="A26" s="83"/>
      <c r="B26" s="36"/>
      <c r="C26" s="36"/>
      <c r="D26" s="36" t="s">
        <v>79</v>
      </c>
      <c r="E26" s="36"/>
      <c r="F26" s="36"/>
      <c r="G26" s="36"/>
      <c r="H26" s="36"/>
      <c r="I26" s="36"/>
      <c r="J26" s="36"/>
      <c r="K26" s="36"/>
      <c r="L26" s="36"/>
      <c r="M26" s="36"/>
      <c r="N26" s="36"/>
      <c r="O26" s="36"/>
      <c r="P26" s="36"/>
      <c r="Q26" s="36"/>
      <c r="R26" s="36"/>
      <c r="S26" s="36"/>
      <c r="T26" s="36"/>
      <c r="U26" s="36"/>
      <c r="V26" s="36"/>
      <c r="W26" s="36"/>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8"/>
    </row>
    <row r="27" spans="1:51">
      <c r="A27" s="83"/>
      <c r="B27" s="36" t="s">
        <v>70</v>
      </c>
      <c r="C27" s="36" t="s">
        <v>83</v>
      </c>
      <c r="D27" s="36" t="s">
        <v>66</v>
      </c>
      <c r="E27" s="36"/>
      <c r="F27" s="36"/>
      <c r="G27" s="36"/>
      <c r="H27" s="36"/>
      <c r="I27" s="36"/>
      <c r="J27" s="36"/>
      <c r="K27" s="36"/>
      <c r="L27" s="36"/>
      <c r="M27" s="36"/>
      <c r="N27" s="36"/>
      <c r="O27" s="36"/>
      <c r="P27" s="36"/>
      <c r="Q27" s="36"/>
      <c r="R27" s="36">
        <v>0</v>
      </c>
      <c r="S27" s="36">
        <v>0</v>
      </c>
      <c r="T27" s="36">
        <v>0</v>
      </c>
      <c r="U27" s="36">
        <v>1</v>
      </c>
      <c r="V27" s="36">
        <v>1</v>
      </c>
      <c r="W27" s="36">
        <v>0</v>
      </c>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8"/>
    </row>
    <row r="28" spans="1:51">
      <c r="A28" s="83"/>
      <c r="B28" s="36"/>
      <c r="C28" s="36"/>
      <c r="D28" s="36" t="s">
        <v>69</v>
      </c>
      <c r="E28" s="36"/>
      <c r="F28" s="36"/>
      <c r="G28" s="36"/>
      <c r="H28" s="36"/>
      <c r="I28" s="36"/>
      <c r="J28" s="36"/>
      <c r="K28" s="36"/>
      <c r="L28" s="36"/>
      <c r="M28" s="36"/>
      <c r="N28" s="36"/>
      <c r="O28" s="36"/>
      <c r="P28" s="36"/>
      <c r="Q28" s="36"/>
      <c r="R28" s="36">
        <v>0</v>
      </c>
      <c r="S28" s="36">
        <v>0</v>
      </c>
      <c r="T28" s="36">
        <v>0</v>
      </c>
      <c r="U28" s="36">
        <v>0</v>
      </c>
      <c r="V28" s="36">
        <v>0</v>
      </c>
      <c r="W28" s="36">
        <v>0</v>
      </c>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8"/>
    </row>
    <row r="29" spans="1:51">
      <c r="A29" s="83"/>
      <c r="B29" s="36"/>
      <c r="C29" s="36"/>
      <c r="D29" s="36" t="s">
        <v>71</v>
      </c>
      <c r="E29" s="36"/>
      <c r="F29" s="36"/>
      <c r="G29" s="36"/>
      <c r="H29" s="36"/>
      <c r="I29" s="36"/>
      <c r="J29" s="36"/>
      <c r="K29" s="36"/>
      <c r="L29" s="36"/>
      <c r="M29" s="36"/>
      <c r="N29" s="36"/>
      <c r="O29" s="36"/>
      <c r="P29" s="36"/>
      <c r="Q29" s="36"/>
      <c r="R29" s="36">
        <v>0</v>
      </c>
      <c r="S29" s="36">
        <v>0</v>
      </c>
      <c r="T29" s="36">
        <v>0</v>
      </c>
      <c r="U29" s="36">
        <v>0</v>
      </c>
      <c r="V29" s="36">
        <v>0</v>
      </c>
      <c r="W29" s="36">
        <v>0</v>
      </c>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8"/>
    </row>
    <row r="30" spans="1:51">
      <c r="A30" s="83"/>
      <c r="B30" s="36"/>
      <c r="C30" s="36"/>
      <c r="D30" s="36" t="s">
        <v>73</v>
      </c>
      <c r="E30" s="36"/>
      <c r="F30" s="36"/>
      <c r="G30" s="36"/>
      <c r="H30" s="36"/>
      <c r="I30" s="36"/>
      <c r="J30" s="36"/>
      <c r="K30" s="36"/>
      <c r="L30" s="36"/>
      <c r="M30" s="36"/>
      <c r="N30" s="36"/>
      <c r="O30" s="36"/>
      <c r="P30" s="36"/>
      <c r="Q30" s="36"/>
      <c r="R30" s="36">
        <v>0</v>
      </c>
      <c r="S30" s="36">
        <v>0</v>
      </c>
      <c r="T30" s="36">
        <v>0</v>
      </c>
      <c r="U30" s="36">
        <v>0</v>
      </c>
      <c r="V30" s="36">
        <v>0</v>
      </c>
      <c r="W30" s="36">
        <v>0</v>
      </c>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8"/>
    </row>
    <row r="31" spans="1:51">
      <c r="A31" s="83"/>
      <c r="B31" s="36"/>
      <c r="C31" s="36"/>
      <c r="D31" s="36" t="s">
        <v>75</v>
      </c>
      <c r="E31" s="36"/>
      <c r="F31" s="36"/>
      <c r="G31" s="36"/>
      <c r="H31" s="36"/>
      <c r="I31" s="36"/>
      <c r="J31" s="36"/>
      <c r="K31" s="36"/>
      <c r="L31" s="36"/>
      <c r="M31" s="36"/>
      <c r="N31" s="36"/>
      <c r="O31" s="36"/>
      <c r="P31" s="36"/>
      <c r="Q31" s="36"/>
      <c r="R31" s="36">
        <v>0</v>
      </c>
      <c r="S31" s="36">
        <v>0</v>
      </c>
      <c r="T31" s="36">
        <v>0</v>
      </c>
      <c r="U31" s="36">
        <v>0</v>
      </c>
      <c r="V31" s="36">
        <v>0</v>
      </c>
      <c r="W31" s="36">
        <v>0</v>
      </c>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8"/>
    </row>
    <row r="32" spans="1:51">
      <c r="A32" s="83"/>
      <c r="B32" s="36"/>
      <c r="C32" s="36"/>
      <c r="D32" s="36" t="s">
        <v>77</v>
      </c>
      <c r="E32" s="36"/>
      <c r="F32" s="36"/>
      <c r="G32" s="36"/>
      <c r="H32" s="36"/>
      <c r="I32" s="36"/>
      <c r="J32" s="36"/>
      <c r="K32" s="36"/>
      <c r="L32" s="36"/>
      <c r="M32" s="36"/>
      <c r="N32" s="36"/>
      <c r="O32" s="36"/>
      <c r="P32" s="36"/>
      <c r="Q32" s="36"/>
      <c r="R32" s="36"/>
      <c r="S32" s="36"/>
      <c r="T32" s="36"/>
      <c r="U32" s="36"/>
      <c r="V32" s="36"/>
      <c r="W32" s="36"/>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8"/>
    </row>
    <row r="33" spans="1:51">
      <c r="A33" s="83"/>
      <c r="B33" s="36"/>
      <c r="C33" s="36"/>
      <c r="D33" s="36" t="s">
        <v>79</v>
      </c>
      <c r="E33" s="36"/>
      <c r="F33" s="36"/>
      <c r="G33" s="36"/>
      <c r="H33" s="36"/>
      <c r="I33" s="36"/>
      <c r="J33" s="36"/>
      <c r="K33" s="36"/>
      <c r="L33" s="36"/>
      <c r="M33" s="36"/>
      <c r="N33" s="36"/>
      <c r="O33" s="36"/>
      <c r="P33" s="36"/>
      <c r="Q33" s="36"/>
      <c r="R33" s="36"/>
      <c r="S33" s="36"/>
      <c r="T33" s="36"/>
      <c r="U33" s="36"/>
      <c r="V33" s="36"/>
      <c r="W33" s="36"/>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8"/>
    </row>
    <row r="34" spans="1:51">
      <c r="A34" s="83"/>
      <c r="B34" s="36" t="s">
        <v>72</v>
      </c>
      <c r="C34" s="48" t="s">
        <v>84</v>
      </c>
      <c r="D34" s="36" t="s">
        <v>66</v>
      </c>
      <c r="E34" s="36"/>
      <c r="F34" s="36"/>
      <c r="G34" s="36"/>
      <c r="H34" s="36"/>
      <c r="I34" s="36"/>
      <c r="J34" s="36"/>
      <c r="K34" s="36"/>
      <c r="L34" s="36"/>
      <c r="M34" s="36"/>
      <c r="N34" s="36"/>
      <c r="O34" s="36"/>
      <c r="P34" s="36"/>
      <c r="Q34" s="36"/>
      <c r="R34" s="36">
        <v>0</v>
      </c>
      <c r="S34" s="36">
        <v>0</v>
      </c>
      <c r="T34" s="36">
        <v>0</v>
      </c>
      <c r="U34" s="36">
        <v>0</v>
      </c>
      <c r="V34" s="36">
        <v>0</v>
      </c>
      <c r="W34" s="36">
        <v>0</v>
      </c>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8"/>
    </row>
    <row r="35" spans="1:51">
      <c r="A35" s="83"/>
      <c r="B35" s="36"/>
      <c r="C35" s="36"/>
      <c r="D35" s="36" t="s">
        <v>69</v>
      </c>
      <c r="E35" s="36"/>
      <c r="F35" s="36"/>
      <c r="G35" s="36"/>
      <c r="H35" s="36"/>
      <c r="I35" s="36"/>
      <c r="J35" s="36"/>
      <c r="K35" s="36"/>
      <c r="L35" s="36"/>
      <c r="M35" s="36"/>
      <c r="N35" s="36"/>
      <c r="O35" s="36"/>
      <c r="P35" s="36"/>
      <c r="Q35" s="36"/>
      <c r="R35" s="36">
        <v>0</v>
      </c>
      <c r="S35" s="36">
        <v>0</v>
      </c>
      <c r="T35" s="36">
        <v>0</v>
      </c>
      <c r="U35" s="36">
        <v>0</v>
      </c>
      <c r="V35" s="36">
        <v>0</v>
      </c>
      <c r="W35" s="36">
        <v>0</v>
      </c>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8"/>
    </row>
    <row r="36" spans="1:51">
      <c r="A36" s="83"/>
      <c r="B36" s="36"/>
      <c r="C36" s="36"/>
      <c r="D36" s="36" t="s">
        <v>71</v>
      </c>
      <c r="E36" s="36"/>
      <c r="F36" s="36"/>
      <c r="G36" s="36"/>
      <c r="H36" s="36"/>
      <c r="I36" s="36"/>
      <c r="J36" s="36"/>
      <c r="K36" s="36"/>
      <c r="L36" s="36"/>
      <c r="M36" s="36"/>
      <c r="N36" s="36"/>
      <c r="O36" s="36"/>
      <c r="P36" s="36"/>
      <c r="Q36" s="36"/>
      <c r="R36" s="36">
        <v>0</v>
      </c>
      <c r="S36" s="36">
        <v>0</v>
      </c>
      <c r="T36" s="36">
        <v>0</v>
      </c>
      <c r="U36" s="36">
        <v>0</v>
      </c>
      <c r="V36" s="36">
        <v>0</v>
      </c>
      <c r="W36" s="36">
        <v>0</v>
      </c>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8"/>
    </row>
    <row r="37" spans="1:51">
      <c r="A37" s="83"/>
      <c r="B37" s="36"/>
      <c r="C37" s="36"/>
      <c r="D37" s="36" t="s">
        <v>73</v>
      </c>
      <c r="E37" s="36"/>
      <c r="F37" s="36"/>
      <c r="G37" s="36"/>
      <c r="H37" s="36"/>
      <c r="I37" s="36"/>
      <c r="J37" s="36"/>
      <c r="K37" s="36"/>
      <c r="L37" s="36"/>
      <c r="M37" s="36"/>
      <c r="N37" s="36"/>
      <c r="O37" s="36"/>
      <c r="P37" s="36"/>
      <c r="Q37" s="36"/>
      <c r="R37" s="36">
        <v>0</v>
      </c>
      <c r="S37" s="36">
        <v>0</v>
      </c>
      <c r="T37" s="36">
        <v>0</v>
      </c>
      <c r="U37" s="36">
        <v>0</v>
      </c>
      <c r="V37" s="36">
        <v>0</v>
      </c>
      <c r="W37" s="36">
        <v>0</v>
      </c>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8"/>
    </row>
    <row r="38" spans="1:51">
      <c r="A38" s="83"/>
      <c r="B38" s="36"/>
      <c r="C38" s="36"/>
      <c r="D38" s="36" t="s">
        <v>75</v>
      </c>
      <c r="E38" s="36"/>
      <c r="F38" s="36"/>
      <c r="G38" s="36"/>
      <c r="H38" s="36"/>
      <c r="I38" s="36"/>
      <c r="J38" s="36"/>
      <c r="K38" s="36"/>
      <c r="L38" s="36"/>
      <c r="M38" s="36"/>
      <c r="N38" s="36"/>
      <c r="O38" s="36"/>
      <c r="P38" s="36"/>
      <c r="Q38" s="36"/>
      <c r="R38" s="36">
        <v>0</v>
      </c>
      <c r="S38" s="36">
        <v>0</v>
      </c>
      <c r="T38" s="36">
        <v>0</v>
      </c>
      <c r="U38" s="36">
        <v>0</v>
      </c>
      <c r="V38" s="36">
        <v>0</v>
      </c>
      <c r="W38" s="36">
        <v>0</v>
      </c>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8"/>
    </row>
    <row r="39" spans="1:51">
      <c r="A39" s="83"/>
      <c r="B39" s="36"/>
      <c r="C39" s="36"/>
      <c r="D39" s="36" t="s">
        <v>77</v>
      </c>
      <c r="E39" s="36"/>
      <c r="F39" s="36"/>
      <c r="G39" s="36"/>
      <c r="H39" s="36"/>
      <c r="I39" s="36"/>
      <c r="J39" s="36"/>
      <c r="K39" s="36"/>
      <c r="L39" s="36"/>
      <c r="M39" s="36"/>
      <c r="N39" s="36"/>
      <c r="O39" s="36"/>
      <c r="P39" s="36"/>
      <c r="Q39" s="36"/>
      <c r="R39" s="36"/>
      <c r="S39" s="36"/>
      <c r="T39" s="36"/>
      <c r="U39" s="36"/>
      <c r="V39" s="36"/>
      <c r="W39" s="36"/>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8"/>
    </row>
    <row r="40" spans="1:51">
      <c r="A40" s="83"/>
      <c r="B40" s="36"/>
      <c r="C40" s="36"/>
      <c r="D40" s="36" t="s">
        <v>79</v>
      </c>
      <c r="E40" s="36"/>
      <c r="F40" s="36"/>
      <c r="G40" s="36"/>
      <c r="H40" s="36"/>
      <c r="I40" s="36"/>
      <c r="J40" s="36"/>
      <c r="K40" s="36"/>
      <c r="L40" s="36"/>
      <c r="M40" s="36"/>
      <c r="N40" s="36"/>
      <c r="O40" s="36"/>
      <c r="P40" s="36"/>
      <c r="Q40" s="36"/>
      <c r="R40" s="36"/>
      <c r="S40" s="36"/>
      <c r="T40" s="36"/>
      <c r="U40" s="36"/>
      <c r="V40" s="36"/>
      <c r="W40" s="36"/>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8"/>
    </row>
    <row r="41" spans="1:51">
      <c r="A41" s="83"/>
      <c r="B41" s="36" t="s">
        <v>74</v>
      </c>
      <c r="C41" s="48" t="s">
        <v>85</v>
      </c>
      <c r="D41" s="36" t="s">
        <v>66</v>
      </c>
      <c r="E41" s="36"/>
      <c r="F41" s="36"/>
      <c r="G41" s="36"/>
      <c r="H41" s="36"/>
      <c r="I41" s="36"/>
      <c r="J41" s="36"/>
      <c r="K41" s="36"/>
      <c r="L41" s="36"/>
      <c r="M41" s="36"/>
      <c r="N41" s="36"/>
      <c r="O41" s="36"/>
      <c r="P41" s="36"/>
      <c r="Q41" s="36"/>
      <c r="R41" s="36">
        <v>0</v>
      </c>
      <c r="S41" s="36">
        <v>0</v>
      </c>
      <c r="T41" s="36">
        <v>0</v>
      </c>
      <c r="U41" s="36">
        <v>0</v>
      </c>
      <c r="V41" s="36">
        <v>0</v>
      </c>
      <c r="W41" s="36">
        <v>0</v>
      </c>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8"/>
    </row>
    <row r="42" spans="1:51">
      <c r="A42" s="83"/>
      <c r="B42" s="54"/>
      <c r="C42" s="54"/>
      <c r="D42" s="36" t="s">
        <v>69</v>
      </c>
      <c r="E42" s="36"/>
      <c r="F42" s="36"/>
      <c r="G42" s="36"/>
      <c r="H42" s="36"/>
      <c r="I42" s="36"/>
      <c r="J42" s="36"/>
      <c r="K42" s="36"/>
      <c r="L42" s="36"/>
      <c r="M42" s="36"/>
      <c r="N42" s="36"/>
      <c r="O42" s="36"/>
      <c r="P42" s="36"/>
      <c r="Q42" s="36"/>
      <c r="R42" s="36">
        <v>0</v>
      </c>
      <c r="S42" s="36">
        <v>0</v>
      </c>
      <c r="T42" s="36">
        <v>0</v>
      </c>
      <c r="U42" s="36">
        <v>0</v>
      </c>
      <c r="V42" s="36">
        <v>0</v>
      </c>
      <c r="W42" s="36">
        <v>0</v>
      </c>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8"/>
    </row>
    <row r="43" spans="1:51">
      <c r="A43" s="83"/>
      <c r="B43" s="54"/>
      <c r="C43" s="54"/>
      <c r="D43" s="36" t="s">
        <v>71</v>
      </c>
      <c r="E43" s="36"/>
      <c r="F43" s="36"/>
      <c r="G43" s="36"/>
      <c r="H43" s="36"/>
      <c r="I43" s="36"/>
      <c r="J43" s="36"/>
      <c r="K43" s="36"/>
      <c r="L43" s="36"/>
      <c r="M43" s="36"/>
      <c r="N43" s="36"/>
      <c r="O43" s="36"/>
      <c r="P43" s="36"/>
      <c r="Q43" s="36"/>
      <c r="R43" s="36">
        <v>0</v>
      </c>
      <c r="S43" s="36">
        <v>0</v>
      </c>
      <c r="T43" s="36">
        <v>0</v>
      </c>
      <c r="U43" s="36">
        <v>0</v>
      </c>
      <c r="V43" s="36">
        <v>0</v>
      </c>
      <c r="W43" s="36">
        <v>0</v>
      </c>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8"/>
    </row>
    <row r="44" spans="1:51">
      <c r="A44" s="83"/>
      <c r="B44" s="54"/>
      <c r="C44" s="54"/>
      <c r="D44" s="36" t="s">
        <v>73</v>
      </c>
      <c r="E44" s="36"/>
      <c r="F44" s="36"/>
      <c r="G44" s="36"/>
      <c r="H44" s="36"/>
      <c r="I44" s="36"/>
      <c r="J44" s="36"/>
      <c r="K44" s="36"/>
      <c r="L44" s="36"/>
      <c r="M44" s="36"/>
      <c r="N44" s="36"/>
      <c r="O44" s="36"/>
      <c r="P44" s="36"/>
      <c r="Q44" s="36"/>
      <c r="R44" s="36">
        <v>0</v>
      </c>
      <c r="S44" s="36">
        <v>0</v>
      </c>
      <c r="T44" s="36">
        <v>0</v>
      </c>
      <c r="U44" s="36">
        <v>0</v>
      </c>
      <c r="V44" s="36">
        <v>0</v>
      </c>
      <c r="W44" s="36">
        <v>0</v>
      </c>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8"/>
    </row>
    <row r="45" spans="1:51">
      <c r="A45" s="83"/>
      <c r="B45" s="54"/>
      <c r="C45" s="54"/>
      <c r="D45" s="36" t="s">
        <v>75</v>
      </c>
      <c r="E45" s="36"/>
      <c r="F45" s="36"/>
      <c r="G45" s="36"/>
      <c r="H45" s="36"/>
      <c r="I45" s="36"/>
      <c r="J45" s="36"/>
      <c r="K45" s="36"/>
      <c r="L45" s="36"/>
      <c r="M45" s="36"/>
      <c r="N45" s="36"/>
      <c r="O45" s="36"/>
      <c r="P45" s="36"/>
      <c r="Q45" s="36"/>
      <c r="R45" s="36">
        <v>0</v>
      </c>
      <c r="S45" s="36">
        <v>0</v>
      </c>
      <c r="T45" s="36">
        <v>0</v>
      </c>
      <c r="U45" s="36">
        <v>0</v>
      </c>
      <c r="V45" s="36">
        <v>0</v>
      </c>
      <c r="W45" s="36">
        <v>0</v>
      </c>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8"/>
    </row>
    <row r="46" spans="1:51">
      <c r="A46" s="83"/>
      <c r="B46" s="54"/>
      <c r="C46" s="54"/>
      <c r="D46" s="36" t="s">
        <v>77</v>
      </c>
      <c r="E46" s="36"/>
      <c r="F46" s="36"/>
      <c r="G46" s="36"/>
      <c r="H46" s="36"/>
      <c r="I46" s="36"/>
      <c r="J46" s="36"/>
      <c r="K46" s="36"/>
      <c r="L46" s="36"/>
      <c r="M46" s="36"/>
      <c r="N46" s="36"/>
      <c r="O46" s="36"/>
      <c r="P46" s="36"/>
      <c r="Q46" s="36"/>
      <c r="R46" s="36"/>
      <c r="S46" s="36"/>
      <c r="T46" s="36"/>
      <c r="U46" s="36"/>
      <c r="V46" s="36"/>
      <c r="W46" s="36"/>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8"/>
    </row>
    <row r="47" spans="1:51">
      <c r="A47" s="83"/>
      <c r="B47" s="54"/>
      <c r="C47" s="54"/>
      <c r="D47" s="36" t="s">
        <v>79</v>
      </c>
      <c r="E47" s="36"/>
      <c r="F47" s="36"/>
      <c r="G47" s="36"/>
      <c r="H47" s="36"/>
      <c r="I47" s="36"/>
      <c r="J47" s="36"/>
      <c r="K47" s="36"/>
      <c r="L47" s="36"/>
      <c r="M47" s="36"/>
      <c r="N47" s="36"/>
      <c r="O47" s="36"/>
      <c r="P47" s="36"/>
      <c r="Q47" s="36"/>
      <c r="R47" s="36"/>
      <c r="S47" s="36"/>
      <c r="T47" s="36"/>
      <c r="U47" s="36"/>
      <c r="V47" s="36"/>
      <c r="W47" s="36"/>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8"/>
    </row>
    <row r="48" spans="1:51">
      <c r="A48" s="83"/>
      <c r="B48" s="54" t="s">
        <v>76</v>
      </c>
      <c r="C48" s="55" t="s">
        <v>86</v>
      </c>
      <c r="D48" s="54" t="s">
        <v>66</v>
      </c>
      <c r="E48" s="36"/>
      <c r="F48" s="36"/>
      <c r="G48" s="36"/>
      <c r="H48" s="36"/>
      <c r="I48" s="36"/>
      <c r="J48" s="36"/>
      <c r="K48" s="36"/>
      <c r="L48" s="36"/>
      <c r="M48" s="36"/>
      <c r="N48" s="36"/>
      <c r="O48" s="36"/>
      <c r="P48" s="36"/>
      <c r="Q48" s="36"/>
      <c r="R48" s="36">
        <v>0</v>
      </c>
      <c r="S48" s="36">
        <v>0</v>
      </c>
      <c r="T48" s="36">
        <v>0</v>
      </c>
      <c r="U48" s="36">
        <v>0</v>
      </c>
      <c r="V48" s="36">
        <v>0</v>
      </c>
      <c r="W48" s="36">
        <v>0</v>
      </c>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8"/>
    </row>
    <row r="49" spans="1:51">
      <c r="A49" s="83"/>
      <c r="B49" s="54"/>
      <c r="C49" s="54"/>
      <c r="D49" s="54" t="s">
        <v>69</v>
      </c>
      <c r="E49" s="36"/>
      <c r="F49" s="36"/>
      <c r="G49" s="36"/>
      <c r="H49" s="36"/>
      <c r="I49" s="36"/>
      <c r="J49" s="36"/>
      <c r="K49" s="36"/>
      <c r="L49" s="36"/>
      <c r="M49" s="36"/>
      <c r="N49" s="36"/>
      <c r="O49" s="36"/>
      <c r="P49" s="36"/>
      <c r="Q49" s="36"/>
      <c r="R49" s="36">
        <v>0</v>
      </c>
      <c r="S49" s="36">
        <v>0</v>
      </c>
      <c r="T49" s="36">
        <v>0</v>
      </c>
      <c r="U49" s="36">
        <v>0</v>
      </c>
      <c r="V49" s="36">
        <v>0</v>
      </c>
      <c r="W49" s="36">
        <v>0</v>
      </c>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8"/>
    </row>
    <row r="50" spans="1:51">
      <c r="A50" s="83"/>
      <c r="B50" s="54"/>
      <c r="C50" s="54"/>
      <c r="D50" s="54" t="s">
        <v>71</v>
      </c>
      <c r="E50" s="36"/>
      <c r="F50" s="36"/>
      <c r="G50" s="36"/>
      <c r="H50" s="36"/>
      <c r="I50" s="36"/>
      <c r="J50" s="36"/>
      <c r="K50" s="36"/>
      <c r="L50" s="36"/>
      <c r="M50" s="36"/>
      <c r="N50" s="36"/>
      <c r="O50" s="36"/>
      <c r="P50" s="36"/>
      <c r="Q50" s="36"/>
      <c r="R50" s="36">
        <v>0</v>
      </c>
      <c r="S50" s="36">
        <v>0</v>
      </c>
      <c r="T50" s="36">
        <v>0</v>
      </c>
      <c r="U50" s="36">
        <v>0</v>
      </c>
      <c r="V50" s="36">
        <v>0</v>
      </c>
      <c r="W50" s="36">
        <v>0</v>
      </c>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8"/>
    </row>
    <row r="51" spans="1:51">
      <c r="A51" s="83"/>
      <c r="B51" s="54"/>
      <c r="C51" s="54"/>
      <c r="D51" s="54" t="s">
        <v>73</v>
      </c>
      <c r="E51" s="36"/>
      <c r="F51" s="36"/>
      <c r="G51" s="36"/>
      <c r="H51" s="36"/>
      <c r="I51" s="36"/>
      <c r="J51" s="36"/>
      <c r="K51" s="36"/>
      <c r="L51" s="36"/>
      <c r="M51" s="36"/>
      <c r="N51" s="36"/>
      <c r="O51" s="36"/>
      <c r="P51" s="36"/>
      <c r="Q51" s="36"/>
      <c r="R51" s="36">
        <v>0</v>
      </c>
      <c r="S51" s="36">
        <v>0</v>
      </c>
      <c r="T51" s="36">
        <v>0</v>
      </c>
      <c r="U51" s="36">
        <v>0</v>
      </c>
      <c r="V51" s="36">
        <v>0</v>
      </c>
      <c r="W51" s="36">
        <v>0</v>
      </c>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8"/>
    </row>
    <row r="52" spans="1:51">
      <c r="A52" s="83"/>
      <c r="B52" s="54"/>
      <c r="C52" s="54"/>
      <c r="D52" s="54" t="s">
        <v>75</v>
      </c>
      <c r="E52" s="36"/>
      <c r="F52" s="36"/>
      <c r="G52" s="36"/>
      <c r="H52" s="36"/>
      <c r="I52" s="36"/>
      <c r="J52" s="36"/>
      <c r="K52" s="36"/>
      <c r="L52" s="36"/>
      <c r="M52" s="36"/>
      <c r="N52" s="36"/>
      <c r="O52" s="36"/>
      <c r="P52" s="36"/>
      <c r="Q52" s="36"/>
      <c r="R52" s="36">
        <v>0</v>
      </c>
      <c r="S52" s="36">
        <v>0</v>
      </c>
      <c r="T52" s="36">
        <v>0</v>
      </c>
      <c r="U52" s="36">
        <v>0</v>
      </c>
      <c r="V52" s="36">
        <v>0</v>
      </c>
      <c r="W52" s="36">
        <v>0</v>
      </c>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8"/>
    </row>
    <row r="53" spans="1:51">
      <c r="A53" s="83"/>
      <c r="B53" s="54" t="s">
        <v>78</v>
      </c>
      <c r="C53" s="55" t="s">
        <v>87</v>
      </c>
      <c r="D53" s="54" t="s">
        <v>66</v>
      </c>
      <c r="E53" s="36"/>
      <c r="F53" s="36"/>
      <c r="G53" s="36"/>
      <c r="H53" s="36"/>
      <c r="I53" s="36"/>
      <c r="J53" s="36"/>
      <c r="K53" s="36"/>
      <c r="L53" s="36"/>
      <c r="M53" s="36"/>
      <c r="N53" s="36"/>
      <c r="O53" s="36"/>
      <c r="P53" s="36"/>
      <c r="Q53" s="36"/>
      <c r="R53" s="36">
        <v>1</v>
      </c>
      <c r="S53" s="36">
        <v>1</v>
      </c>
      <c r="T53" s="36">
        <v>0</v>
      </c>
      <c r="U53" s="36">
        <v>0</v>
      </c>
      <c r="V53" s="36">
        <v>1</v>
      </c>
      <c r="W53" s="36">
        <v>1</v>
      </c>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8"/>
    </row>
    <row r="54" spans="1:51">
      <c r="A54" s="83"/>
      <c r="B54" s="54"/>
      <c r="C54" s="54"/>
      <c r="D54" s="54" t="s">
        <v>69</v>
      </c>
      <c r="E54" s="36"/>
      <c r="F54" s="36"/>
      <c r="G54" s="36"/>
      <c r="H54" s="36"/>
      <c r="I54" s="36"/>
      <c r="J54" s="36"/>
      <c r="K54" s="36"/>
      <c r="L54" s="36"/>
      <c r="M54" s="36"/>
      <c r="N54" s="36"/>
      <c r="O54" s="36"/>
      <c r="P54" s="36"/>
      <c r="Q54" s="36"/>
      <c r="R54" s="36">
        <v>0</v>
      </c>
      <c r="S54" s="36">
        <v>0</v>
      </c>
      <c r="T54" s="36">
        <v>0</v>
      </c>
      <c r="U54" s="36">
        <v>0</v>
      </c>
      <c r="V54" s="36">
        <v>0</v>
      </c>
      <c r="W54" s="36">
        <v>0</v>
      </c>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8"/>
    </row>
    <row r="55" spans="1:51">
      <c r="A55" s="83"/>
      <c r="B55" s="54"/>
      <c r="C55" s="54"/>
      <c r="D55" s="54" t="s">
        <v>71</v>
      </c>
      <c r="E55" s="36"/>
      <c r="F55" s="36"/>
      <c r="G55" s="36"/>
      <c r="H55" s="36"/>
      <c r="I55" s="36"/>
      <c r="J55" s="36"/>
      <c r="K55" s="36"/>
      <c r="L55" s="36"/>
      <c r="M55" s="36"/>
      <c r="N55" s="36"/>
      <c r="O55" s="36"/>
      <c r="P55" s="36"/>
      <c r="Q55" s="36"/>
      <c r="R55" s="36">
        <v>18</v>
      </c>
      <c r="S55" s="36">
        <v>13</v>
      </c>
      <c r="T55" s="36">
        <v>12</v>
      </c>
      <c r="U55" s="36">
        <v>17</v>
      </c>
      <c r="V55" s="36">
        <v>27</v>
      </c>
      <c r="W55" s="36">
        <v>28</v>
      </c>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8"/>
    </row>
    <row r="56" spans="1:51">
      <c r="A56" s="83"/>
      <c r="B56" s="54"/>
      <c r="C56" s="54"/>
      <c r="D56" s="54" t="s">
        <v>73</v>
      </c>
      <c r="E56" s="36"/>
      <c r="F56" s="36"/>
      <c r="G56" s="36"/>
      <c r="H56" s="36"/>
      <c r="I56" s="36"/>
      <c r="J56" s="36"/>
      <c r="K56" s="36"/>
      <c r="L56" s="36"/>
      <c r="M56" s="36"/>
      <c r="N56" s="36"/>
      <c r="O56" s="36"/>
      <c r="P56" s="36"/>
      <c r="Q56" s="36"/>
      <c r="R56" s="36">
        <v>0</v>
      </c>
      <c r="S56" s="36">
        <v>0</v>
      </c>
      <c r="T56" s="36">
        <v>0</v>
      </c>
      <c r="U56" s="36">
        <v>0</v>
      </c>
      <c r="V56" s="36">
        <v>0</v>
      </c>
      <c r="W56" s="36">
        <v>0</v>
      </c>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8"/>
    </row>
    <row r="57" spans="1:51">
      <c r="A57" s="83"/>
      <c r="B57" s="54"/>
      <c r="C57" s="54"/>
      <c r="D57" s="54" t="s">
        <v>75</v>
      </c>
      <c r="E57" s="36"/>
      <c r="F57" s="36"/>
      <c r="G57" s="36"/>
      <c r="H57" s="36"/>
      <c r="I57" s="36"/>
      <c r="J57" s="36"/>
      <c r="K57" s="36"/>
      <c r="L57" s="36"/>
      <c r="M57" s="36"/>
      <c r="N57" s="36"/>
      <c r="O57" s="36"/>
      <c r="P57" s="36"/>
      <c r="Q57" s="36"/>
      <c r="R57" s="36">
        <v>0</v>
      </c>
      <c r="S57" s="36">
        <v>0</v>
      </c>
      <c r="T57" s="36">
        <v>0</v>
      </c>
      <c r="U57" s="36">
        <v>0</v>
      </c>
      <c r="V57" s="36">
        <v>0</v>
      </c>
      <c r="W57" s="36">
        <v>0</v>
      </c>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8"/>
    </row>
    <row r="58" spans="1:51">
      <c r="A58" s="83"/>
      <c r="B58" s="54"/>
      <c r="C58" s="54"/>
      <c r="D58" s="54" t="s">
        <v>77</v>
      </c>
      <c r="E58" s="36"/>
      <c r="F58" s="36"/>
      <c r="G58" s="36"/>
      <c r="H58" s="36"/>
      <c r="I58" s="36"/>
      <c r="J58" s="36"/>
      <c r="K58" s="36"/>
      <c r="L58" s="36"/>
      <c r="M58" s="36"/>
      <c r="N58" s="36"/>
      <c r="O58" s="36"/>
      <c r="P58" s="36"/>
      <c r="Q58" s="36"/>
      <c r="R58" s="36">
        <v>0</v>
      </c>
      <c r="S58" s="36">
        <v>0</v>
      </c>
      <c r="T58" s="36">
        <v>0</v>
      </c>
      <c r="U58" s="36">
        <v>0</v>
      </c>
      <c r="V58" s="36">
        <v>0</v>
      </c>
      <c r="W58" s="36">
        <v>0</v>
      </c>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8"/>
    </row>
    <row r="59" spans="1:51">
      <c r="A59" s="83"/>
      <c r="B59" s="54"/>
      <c r="C59" s="54"/>
      <c r="D59" s="54" t="s">
        <v>79</v>
      </c>
      <c r="E59" s="36"/>
      <c r="F59" s="36"/>
      <c r="G59" s="36"/>
      <c r="H59" s="36"/>
      <c r="I59" s="36"/>
      <c r="J59" s="36"/>
      <c r="K59" s="36"/>
      <c r="L59" s="36"/>
      <c r="M59" s="36"/>
      <c r="N59" s="36"/>
      <c r="O59" s="36"/>
      <c r="P59" s="36"/>
      <c r="Q59" s="36"/>
      <c r="R59" s="36">
        <v>0</v>
      </c>
      <c r="S59" s="36">
        <v>0</v>
      </c>
      <c r="T59" s="36">
        <v>0</v>
      </c>
      <c r="U59" s="36">
        <v>0</v>
      </c>
      <c r="V59" s="36">
        <v>0</v>
      </c>
      <c r="W59" s="36">
        <v>0</v>
      </c>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8"/>
    </row>
    <row r="60" spans="1:51">
      <c r="A60" s="83"/>
      <c r="B60" s="36" t="s">
        <v>88</v>
      </c>
      <c r="C60" s="48" t="s">
        <v>89</v>
      </c>
      <c r="D60" s="36" t="s">
        <v>66</v>
      </c>
      <c r="E60" s="36"/>
      <c r="F60" s="36"/>
      <c r="G60" s="36"/>
      <c r="H60" s="36"/>
      <c r="I60" s="36"/>
      <c r="J60" s="36"/>
      <c r="K60" s="36"/>
      <c r="L60" s="36"/>
      <c r="M60" s="36"/>
      <c r="N60" s="36"/>
      <c r="O60" s="36"/>
      <c r="P60" s="36"/>
      <c r="Q60" s="36"/>
      <c r="R60" s="36">
        <v>7</v>
      </c>
      <c r="S60" s="36">
        <v>2</v>
      </c>
      <c r="T60" s="36">
        <v>15</v>
      </c>
      <c r="U60" s="36">
        <v>18</v>
      </c>
      <c r="V60" s="36">
        <v>11</v>
      </c>
      <c r="W60" s="36">
        <v>1</v>
      </c>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8"/>
    </row>
    <row r="61" spans="1:51">
      <c r="A61" s="83"/>
      <c r="B61" s="54"/>
      <c r="C61" s="54"/>
      <c r="D61" s="36" t="s">
        <v>69</v>
      </c>
      <c r="E61" s="36"/>
      <c r="F61" s="36"/>
      <c r="G61" s="36"/>
      <c r="H61" s="36"/>
      <c r="I61" s="36"/>
      <c r="J61" s="36"/>
      <c r="K61" s="36"/>
      <c r="L61" s="36"/>
      <c r="M61" s="36"/>
      <c r="N61" s="36"/>
      <c r="O61" s="36"/>
      <c r="P61" s="36"/>
      <c r="Q61" s="36"/>
      <c r="R61" s="36">
        <v>0</v>
      </c>
      <c r="S61" s="36">
        <v>0</v>
      </c>
      <c r="T61" s="36">
        <v>0</v>
      </c>
      <c r="U61" s="36">
        <v>0</v>
      </c>
      <c r="V61" s="36">
        <v>0</v>
      </c>
      <c r="W61" s="36">
        <v>0</v>
      </c>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8"/>
    </row>
    <row r="62" spans="1:51">
      <c r="A62" s="83"/>
      <c r="B62" s="36"/>
      <c r="C62" s="36"/>
      <c r="D62" s="36" t="s">
        <v>71</v>
      </c>
      <c r="E62" s="36"/>
      <c r="F62" s="36"/>
      <c r="G62" s="36"/>
      <c r="H62" s="36"/>
      <c r="I62" s="36"/>
      <c r="J62" s="36"/>
      <c r="K62" s="36"/>
      <c r="L62" s="36"/>
      <c r="M62" s="36"/>
      <c r="N62" s="36"/>
      <c r="O62" s="36"/>
      <c r="P62" s="36"/>
      <c r="Q62" s="36"/>
      <c r="R62" s="36">
        <v>0</v>
      </c>
      <c r="S62" s="36">
        <v>1</v>
      </c>
      <c r="T62" s="36">
        <v>1</v>
      </c>
      <c r="U62" s="36">
        <v>7</v>
      </c>
      <c r="V62" s="36">
        <v>2</v>
      </c>
      <c r="W62" s="36">
        <v>0</v>
      </c>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8"/>
    </row>
    <row r="63" spans="1:51">
      <c r="A63" s="83"/>
      <c r="B63" s="36"/>
      <c r="C63" s="36"/>
      <c r="D63" s="36" t="s">
        <v>73</v>
      </c>
      <c r="E63" s="36"/>
      <c r="F63" s="36"/>
      <c r="G63" s="36"/>
      <c r="H63" s="36"/>
      <c r="I63" s="36"/>
      <c r="J63" s="36"/>
      <c r="K63" s="36"/>
      <c r="L63" s="36"/>
      <c r="M63" s="36"/>
      <c r="N63" s="36"/>
      <c r="O63" s="36"/>
      <c r="P63" s="36"/>
      <c r="Q63" s="36"/>
      <c r="R63" s="36">
        <v>0</v>
      </c>
      <c r="S63" s="36">
        <v>0</v>
      </c>
      <c r="T63" s="36">
        <v>0</v>
      </c>
      <c r="U63" s="36">
        <v>0</v>
      </c>
      <c r="V63" s="36">
        <v>0</v>
      </c>
      <c r="W63" s="36">
        <v>0</v>
      </c>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8"/>
    </row>
    <row r="64" spans="1:51">
      <c r="A64" s="83"/>
      <c r="B64" s="54"/>
      <c r="C64" s="54"/>
      <c r="D64" s="36" t="s">
        <v>75</v>
      </c>
      <c r="E64" s="36"/>
      <c r="F64" s="36"/>
      <c r="G64" s="36"/>
      <c r="H64" s="36"/>
      <c r="I64" s="36"/>
      <c r="J64" s="36"/>
      <c r="K64" s="36"/>
      <c r="L64" s="36"/>
      <c r="M64" s="36"/>
      <c r="N64" s="36"/>
      <c r="O64" s="36"/>
      <c r="P64" s="36"/>
      <c r="Q64" s="36"/>
      <c r="R64" s="36">
        <v>0</v>
      </c>
      <c r="S64" s="36">
        <v>1</v>
      </c>
      <c r="T64" s="36">
        <v>0</v>
      </c>
      <c r="U64" s="36">
        <v>3</v>
      </c>
      <c r="V64" s="36">
        <v>0</v>
      </c>
      <c r="W64" s="36">
        <v>1</v>
      </c>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8"/>
    </row>
    <row r="65" spans="1:51">
      <c r="A65" s="83"/>
      <c r="B65" s="54"/>
      <c r="C65" s="54"/>
      <c r="D65" s="36" t="s">
        <v>77</v>
      </c>
      <c r="E65" s="36"/>
      <c r="F65" s="36"/>
      <c r="G65" s="36"/>
      <c r="H65" s="36"/>
      <c r="I65" s="36"/>
      <c r="J65" s="36"/>
      <c r="K65" s="36"/>
      <c r="L65" s="36"/>
      <c r="M65" s="36"/>
      <c r="N65" s="36"/>
      <c r="O65" s="36"/>
      <c r="P65" s="36"/>
      <c r="Q65" s="36"/>
      <c r="R65" s="36">
        <v>0</v>
      </c>
      <c r="S65" s="36">
        <v>0</v>
      </c>
      <c r="T65" s="36">
        <v>0</v>
      </c>
      <c r="U65" s="36">
        <v>0</v>
      </c>
      <c r="V65" s="36">
        <v>0</v>
      </c>
      <c r="W65" s="36">
        <v>0</v>
      </c>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8"/>
    </row>
    <row r="66" spans="1:51">
      <c r="A66" s="83"/>
      <c r="B66" s="54"/>
      <c r="C66" s="54"/>
      <c r="D66" s="36" t="s">
        <v>79</v>
      </c>
      <c r="E66" s="36"/>
      <c r="F66" s="36"/>
      <c r="G66" s="36"/>
      <c r="H66" s="36"/>
      <c r="I66" s="36"/>
      <c r="J66" s="36"/>
      <c r="K66" s="36"/>
      <c r="L66" s="36"/>
      <c r="M66" s="36"/>
      <c r="N66" s="36"/>
      <c r="O66" s="36"/>
      <c r="P66" s="36"/>
      <c r="Q66" s="36"/>
      <c r="R66" s="36">
        <v>0</v>
      </c>
      <c r="S66" s="36">
        <v>0</v>
      </c>
      <c r="T66" s="36">
        <v>0</v>
      </c>
      <c r="U66" s="36">
        <v>0</v>
      </c>
      <c r="V66" s="36">
        <v>0</v>
      </c>
      <c r="W66" s="36">
        <v>0</v>
      </c>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8"/>
    </row>
    <row r="67" spans="1:51">
      <c r="A67" s="83"/>
      <c r="B67" s="36" t="s">
        <v>90</v>
      </c>
      <c r="C67" s="48" t="s">
        <v>91</v>
      </c>
      <c r="D67" s="36" t="s">
        <v>66</v>
      </c>
      <c r="E67" s="36"/>
      <c r="F67" s="36"/>
      <c r="G67" s="36"/>
      <c r="H67" s="36"/>
      <c r="I67" s="36"/>
      <c r="J67" s="36"/>
      <c r="K67" s="36"/>
      <c r="L67" s="36"/>
      <c r="M67" s="36"/>
      <c r="N67" s="36"/>
      <c r="O67" s="36"/>
      <c r="P67" s="36"/>
      <c r="Q67" s="36"/>
      <c r="R67" s="36">
        <v>0</v>
      </c>
      <c r="S67" s="36">
        <v>0</v>
      </c>
      <c r="T67" s="36">
        <v>0</v>
      </c>
      <c r="U67" s="36">
        <v>0</v>
      </c>
      <c r="V67" s="36">
        <v>0</v>
      </c>
      <c r="W67" s="36">
        <v>0</v>
      </c>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8"/>
    </row>
    <row r="68" spans="1:51">
      <c r="A68" s="83"/>
      <c r="B68" s="54"/>
      <c r="C68" s="54"/>
      <c r="D68" s="36" t="s">
        <v>69</v>
      </c>
      <c r="E68" s="36"/>
      <c r="F68" s="36"/>
      <c r="G68" s="36"/>
      <c r="H68" s="36"/>
      <c r="I68" s="36"/>
      <c r="J68" s="36"/>
      <c r="K68" s="36"/>
      <c r="L68" s="36"/>
      <c r="M68" s="36"/>
      <c r="N68" s="36"/>
      <c r="O68" s="36"/>
      <c r="P68" s="36"/>
      <c r="Q68" s="36"/>
      <c r="R68" s="36">
        <v>0</v>
      </c>
      <c r="S68" s="36">
        <v>0</v>
      </c>
      <c r="T68" s="36">
        <v>0</v>
      </c>
      <c r="U68" s="36">
        <v>0</v>
      </c>
      <c r="V68" s="36">
        <v>0</v>
      </c>
      <c r="W68" s="36">
        <v>0</v>
      </c>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8"/>
    </row>
    <row r="69" spans="1:51">
      <c r="A69" s="83"/>
      <c r="B69" s="36"/>
      <c r="C69" s="36"/>
      <c r="D69" s="36" t="s">
        <v>71</v>
      </c>
      <c r="E69" s="36"/>
      <c r="F69" s="36"/>
      <c r="G69" s="36"/>
      <c r="H69" s="36"/>
      <c r="I69" s="36"/>
      <c r="J69" s="36"/>
      <c r="K69" s="36"/>
      <c r="L69" s="36"/>
      <c r="M69" s="36"/>
      <c r="N69" s="36"/>
      <c r="O69" s="36"/>
      <c r="P69" s="36"/>
      <c r="Q69" s="36"/>
      <c r="R69" s="36">
        <v>0</v>
      </c>
      <c r="S69" s="36">
        <v>0</v>
      </c>
      <c r="T69" s="36">
        <v>0</v>
      </c>
      <c r="U69" s="36">
        <v>0</v>
      </c>
      <c r="V69" s="36">
        <v>0</v>
      </c>
      <c r="W69" s="36">
        <v>0</v>
      </c>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8"/>
    </row>
    <row r="70" spans="1:51">
      <c r="A70" s="83"/>
      <c r="B70" s="36"/>
      <c r="C70" s="36"/>
      <c r="D70" s="36" t="s">
        <v>73</v>
      </c>
      <c r="E70" s="36"/>
      <c r="F70" s="36"/>
      <c r="G70" s="36"/>
      <c r="H70" s="36"/>
      <c r="I70" s="36"/>
      <c r="J70" s="36"/>
      <c r="K70" s="36"/>
      <c r="L70" s="36"/>
      <c r="M70" s="36"/>
      <c r="N70" s="36"/>
      <c r="O70" s="36"/>
      <c r="P70" s="36"/>
      <c r="Q70" s="36"/>
      <c r="R70" s="36">
        <v>0</v>
      </c>
      <c r="S70" s="36">
        <v>0</v>
      </c>
      <c r="T70" s="36">
        <v>0</v>
      </c>
      <c r="U70" s="36">
        <v>0</v>
      </c>
      <c r="V70" s="36">
        <v>0</v>
      </c>
      <c r="W70" s="36">
        <v>0</v>
      </c>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8"/>
    </row>
    <row r="71" spans="1:51">
      <c r="A71" s="120"/>
      <c r="B71" s="54"/>
      <c r="C71" s="54"/>
      <c r="D71" s="36" t="s">
        <v>75</v>
      </c>
      <c r="E71" s="36"/>
      <c r="F71" s="36"/>
      <c r="G71" s="36"/>
      <c r="H71" s="36"/>
      <c r="I71" s="36"/>
      <c r="J71" s="36"/>
      <c r="K71" s="36"/>
      <c r="L71" s="36"/>
      <c r="M71" s="36"/>
      <c r="N71" s="36"/>
      <c r="O71" s="36"/>
      <c r="P71" s="36"/>
      <c r="Q71" s="36"/>
      <c r="R71" s="36">
        <v>0</v>
      </c>
      <c r="S71" s="36">
        <v>0</v>
      </c>
      <c r="T71" s="36">
        <v>0</v>
      </c>
      <c r="U71" s="36">
        <v>0</v>
      </c>
      <c r="V71" s="36">
        <v>0</v>
      </c>
      <c r="W71" s="36">
        <v>0</v>
      </c>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8"/>
    </row>
    <row r="72" spans="1:51">
      <c r="A72" s="53"/>
      <c r="B72" s="54"/>
      <c r="C72" s="54"/>
      <c r="D72" s="36" t="s">
        <v>77</v>
      </c>
      <c r="E72" s="36"/>
      <c r="F72" s="36"/>
      <c r="G72" s="36"/>
      <c r="H72" s="36"/>
      <c r="I72" s="36"/>
      <c r="J72" s="36"/>
      <c r="K72" s="36"/>
      <c r="L72" s="36"/>
      <c r="M72" s="36"/>
      <c r="N72" s="36"/>
      <c r="O72" s="36"/>
      <c r="P72" s="36"/>
      <c r="Q72" s="36"/>
      <c r="R72" s="36">
        <v>0</v>
      </c>
      <c r="S72" s="36">
        <v>0</v>
      </c>
      <c r="T72" s="36">
        <v>0</v>
      </c>
      <c r="U72" s="36">
        <v>0</v>
      </c>
      <c r="V72" s="36">
        <v>0</v>
      </c>
      <c r="W72" s="36">
        <v>0</v>
      </c>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8"/>
    </row>
    <row r="73" spans="1:51">
      <c r="A73" s="53"/>
      <c r="B73" s="54"/>
      <c r="C73" s="54"/>
      <c r="D73" s="36" t="s">
        <v>79</v>
      </c>
      <c r="E73" s="36"/>
      <c r="F73" s="36"/>
      <c r="G73" s="36"/>
      <c r="H73" s="36"/>
      <c r="I73" s="36"/>
      <c r="J73" s="36"/>
      <c r="K73" s="36"/>
      <c r="L73" s="36"/>
      <c r="M73" s="36"/>
      <c r="N73" s="36"/>
      <c r="O73" s="36"/>
      <c r="P73" s="36"/>
      <c r="Q73" s="36"/>
      <c r="R73" s="36">
        <v>0</v>
      </c>
      <c r="S73" s="36">
        <v>0</v>
      </c>
      <c r="T73" s="36">
        <v>0</v>
      </c>
      <c r="U73" s="36">
        <v>0</v>
      </c>
      <c r="V73" s="36">
        <v>0</v>
      </c>
      <c r="W73" s="36">
        <v>0</v>
      </c>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8"/>
    </row>
    <row r="74" spans="1:51">
      <c r="A74" s="53"/>
      <c r="B74" s="36" t="s">
        <v>92</v>
      </c>
      <c r="C74" s="48" t="s">
        <v>93</v>
      </c>
      <c r="D74" s="36" t="s">
        <v>66</v>
      </c>
      <c r="E74" s="36"/>
      <c r="F74" s="36"/>
      <c r="G74" s="36"/>
      <c r="H74" s="36"/>
      <c r="I74" s="36"/>
      <c r="J74" s="36"/>
      <c r="K74" s="36"/>
      <c r="L74" s="36"/>
      <c r="M74" s="36"/>
      <c r="N74" s="36"/>
      <c r="O74" s="36"/>
      <c r="P74" s="36"/>
      <c r="Q74" s="36"/>
      <c r="R74" s="36">
        <v>39</v>
      </c>
      <c r="S74" s="36">
        <v>16</v>
      </c>
      <c r="T74" s="36">
        <v>21</v>
      </c>
      <c r="U74" s="36">
        <v>36</v>
      </c>
      <c r="V74" s="36">
        <v>29</v>
      </c>
      <c r="W74" s="36">
        <v>19</v>
      </c>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8"/>
    </row>
    <row r="75" spans="1:51">
      <c r="A75" s="53"/>
      <c r="B75" s="54"/>
      <c r="C75" s="54"/>
      <c r="D75" s="36" t="s">
        <v>69</v>
      </c>
      <c r="E75" s="36"/>
      <c r="F75" s="36"/>
      <c r="G75" s="36"/>
      <c r="H75" s="36"/>
      <c r="I75" s="36"/>
      <c r="J75" s="36"/>
      <c r="K75" s="36"/>
      <c r="L75" s="36"/>
      <c r="M75" s="36"/>
      <c r="N75" s="36"/>
      <c r="O75" s="36"/>
      <c r="P75" s="36"/>
      <c r="Q75" s="36"/>
      <c r="R75" s="36">
        <v>0</v>
      </c>
      <c r="S75" s="36">
        <v>0</v>
      </c>
      <c r="T75" s="36">
        <v>0</v>
      </c>
      <c r="U75" s="36">
        <v>0</v>
      </c>
      <c r="V75" s="36">
        <v>0</v>
      </c>
      <c r="W75" s="36">
        <v>0</v>
      </c>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8"/>
    </row>
    <row r="76" spans="1:51">
      <c r="A76" s="53"/>
      <c r="B76" s="36"/>
      <c r="C76" s="36"/>
      <c r="D76" s="36" t="s">
        <v>71</v>
      </c>
      <c r="E76" s="36"/>
      <c r="F76" s="36"/>
      <c r="G76" s="36"/>
      <c r="H76" s="36"/>
      <c r="I76" s="36"/>
      <c r="J76" s="36"/>
      <c r="K76" s="36"/>
      <c r="L76" s="36"/>
      <c r="M76" s="36"/>
      <c r="N76" s="36"/>
      <c r="O76" s="36"/>
      <c r="P76" s="36"/>
      <c r="Q76" s="36"/>
      <c r="R76" s="36">
        <v>55</v>
      </c>
      <c r="S76" s="36">
        <v>38</v>
      </c>
      <c r="T76" s="36">
        <v>43</v>
      </c>
      <c r="U76" s="36">
        <v>67</v>
      </c>
      <c r="V76" s="36">
        <v>62</v>
      </c>
      <c r="W76" s="36">
        <v>13</v>
      </c>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8"/>
    </row>
    <row r="77" spans="1:51">
      <c r="A77" s="53"/>
      <c r="B77" s="36"/>
      <c r="C77" s="36"/>
      <c r="D77" s="36" t="s">
        <v>73</v>
      </c>
      <c r="E77" s="36"/>
      <c r="F77" s="36"/>
      <c r="G77" s="36"/>
      <c r="H77" s="36"/>
      <c r="I77" s="36"/>
      <c r="J77" s="36"/>
      <c r="K77" s="36"/>
      <c r="L77" s="36"/>
      <c r="M77" s="36"/>
      <c r="N77" s="36"/>
      <c r="O77" s="36"/>
      <c r="P77" s="36"/>
      <c r="Q77" s="36"/>
      <c r="R77" s="36">
        <v>0</v>
      </c>
      <c r="S77" s="36">
        <v>0</v>
      </c>
      <c r="T77" s="36">
        <v>0</v>
      </c>
      <c r="U77" s="36">
        <v>0</v>
      </c>
      <c r="V77" s="36">
        <v>0</v>
      </c>
      <c r="W77" s="36">
        <v>0</v>
      </c>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8"/>
    </row>
    <row r="78" spans="1:51">
      <c r="A78" s="53"/>
      <c r="B78" s="54"/>
      <c r="C78" s="54"/>
      <c r="D78" s="36" t="s">
        <v>75</v>
      </c>
      <c r="E78" s="36"/>
      <c r="F78" s="36"/>
      <c r="G78" s="36"/>
      <c r="H78" s="36"/>
      <c r="I78" s="36"/>
      <c r="J78" s="36"/>
      <c r="K78" s="36"/>
      <c r="L78" s="36"/>
      <c r="M78" s="36"/>
      <c r="N78" s="36"/>
      <c r="O78" s="36"/>
      <c r="P78" s="36"/>
      <c r="Q78" s="36"/>
      <c r="R78" s="36">
        <v>61</v>
      </c>
      <c r="S78" s="36">
        <v>50</v>
      </c>
      <c r="T78" s="36">
        <v>55</v>
      </c>
      <c r="U78" s="36">
        <v>66</v>
      </c>
      <c r="V78" s="36">
        <v>60</v>
      </c>
      <c r="W78" s="36">
        <v>24</v>
      </c>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8"/>
    </row>
    <row r="79" spans="1:51">
      <c r="A79" s="53"/>
      <c r="B79" s="54"/>
      <c r="C79" s="54"/>
      <c r="D79" s="36" t="s">
        <v>77</v>
      </c>
      <c r="E79" s="36"/>
      <c r="F79" s="36"/>
      <c r="G79" s="36"/>
      <c r="H79" s="36"/>
      <c r="I79" s="36"/>
      <c r="J79" s="36"/>
      <c r="K79" s="36"/>
      <c r="L79" s="36"/>
      <c r="M79" s="36"/>
      <c r="N79" s="36"/>
      <c r="O79" s="36"/>
      <c r="P79" s="36"/>
      <c r="Q79" s="36"/>
      <c r="R79" s="36">
        <v>0</v>
      </c>
      <c r="S79" s="36">
        <v>0</v>
      </c>
      <c r="T79" s="36">
        <v>0</v>
      </c>
      <c r="U79" s="36">
        <v>0</v>
      </c>
      <c r="V79" s="36">
        <v>0</v>
      </c>
      <c r="W79" s="36">
        <v>0</v>
      </c>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8"/>
    </row>
    <row r="80" spans="1:51">
      <c r="A80" s="53"/>
      <c r="B80" s="54"/>
      <c r="C80" s="54"/>
      <c r="D80" s="36" t="s">
        <v>79</v>
      </c>
      <c r="E80" s="36"/>
      <c r="F80" s="36"/>
      <c r="G80" s="36"/>
      <c r="H80" s="36"/>
      <c r="I80" s="36"/>
      <c r="J80" s="36"/>
      <c r="K80" s="36"/>
      <c r="L80" s="36"/>
      <c r="M80" s="36"/>
      <c r="N80" s="36"/>
      <c r="O80" s="36"/>
      <c r="P80" s="36"/>
      <c r="Q80" s="36"/>
      <c r="R80" s="36">
        <v>0</v>
      </c>
      <c r="S80" s="36">
        <v>0</v>
      </c>
      <c r="T80" s="36">
        <v>0</v>
      </c>
      <c r="U80" s="36">
        <v>0</v>
      </c>
      <c r="V80" s="36">
        <v>0</v>
      </c>
      <c r="W80" s="36">
        <v>0</v>
      </c>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8"/>
    </row>
    <row r="81" spans="1:51">
      <c r="A81" s="53"/>
      <c r="B81" s="36" t="s">
        <v>94</v>
      </c>
      <c r="C81" s="48" t="s">
        <v>95</v>
      </c>
      <c r="D81" s="36" t="s">
        <v>66</v>
      </c>
      <c r="E81" s="36"/>
      <c r="F81" s="36"/>
      <c r="G81" s="36"/>
      <c r="H81" s="36"/>
      <c r="I81" s="36"/>
      <c r="J81" s="36"/>
      <c r="K81" s="36"/>
      <c r="L81" s="36"/>
      <c r="M81" s="36"/>
      <c r="N81" s="36"/>
      <c r="O81" s="36"/>
      <c r="P81" s="36"/>
      <c r="Q81" s="36"/>
      <c r="R81" s="36">
        <v>34</v>
      </c>
      <c r="S81" s="36">
        <v>21</v>
      </c>
      <c r="T81" s="36">
        <v>25</v>
      </c>
      <c r="U81" s="36">
        <v>22</v>
      </c>
      <c r="V81" s="36">
        <v>40</v>
      </c>
      <c r="W81" s="36">
        <v>12</v>
      </c>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8"/>
    </row>
    <row r="82" spans="1:51">
      <c r="A82" s="53"/>
      <c r="B82" s="54"/>
      <c r="C82" s="54"/>
      <c r="D82" s="36" t="s">
        <v>69</v>
      </c>
      <c r="E82" s="36"/>
      <c r="F82" s="36"/>
      <c r="G82" s="36"/>
      <c r="H82" s="36"/>
      <c r="I82" s="36"/>
      <c r="J82" s="36"/>
      <c r="K82" s="36"/>
      <c r="L82" s="36"/>
      <c r="M82" s="36"/>
      <c r="N82" s="36"/>
      <c r="O82" s="36"/>
      <c r="P82" s="36"/>
      <c r="Q82" s="36"/>
      <c r="R82" s="36">
        <v>0</v>
      </c>
      <c r="S82" s="36">
        <v>0</v>
      </c>
      <c r="T82" s="36">
        <v>0</v>
      </c>
      <c r="U82" s="36">
        <v>0</v>
      </c>
      <c r="V82" s="36">
        <v>0</v>
      </c>
      <c r="W82" s="36">
        <v>0</v>
      </c>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8"/>
    </row>
    <row r="83" spans="1:51">
      <c r="A83" s="53"/>
      <c r="B83" s="36"/>
      <c r="C83" s="36"/>
      <c r="D83" s="36" t="s">
        <v>71</v>
      </c>
      <c r="E83" s="36"/>
      <c r="F83" s="36"/>
      <c r="G83" s="36"/>
      <c r="H83" s="36"/>
      <c r="I83" s="36"/>
      <c r="J83" s="36"/>
      <c r="K83" s="36"/>
      <c r="L83" s="36"/>
      <c r="M83" s="36"/>
      <c r="N83" s="36"/>
      <c r="O83" s="36"/>
      <c r="P83" s="36"/>
      <c r="Q83" s="36"/>
      <c r="R83" s="36">
        <v>15</v>
      </c>
      <c r="S83" s="36">
        <v>25</v>
      </c>
      <c r="T83" s="36">
        <v>37</v>
      </c>
      <c r="U83" s="36">
        <v>36</v>
      </c>
      <c r="V83" s="36">
        <v>17</v>
      </c>
      <c r="W83" s="36">
        <v>11</v>
      </c>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8"/>
    </row>
    <row r="84" spans="1:51">
      <c r="A84" s="53"/>
      <c r="B84" s="36"/>
      <c r="C84" s="36"/>
      <c r="D84" s="36" t="s">
        <v>73</v>
      </c>
      <c r="E84" s="36"/>
      <c r="F84" s="36"/>
      <c r="G84" s="36"/>
      <c r="H84" s="36"/>
      <c r="I84" s="36"/>
      <c r="J84" s="36"/>
      <c r="K84" s="36"/>
      <c r="L84" s="36"/>
      <c r="M84" s="36"/>
      <c r="N84" s="36"/>
      <c r="O84" s="36"/>
      <c r="P84" s="36"/>
      <c r="Q84" s="36"/>
      <c r="R84" s="36">
        <v>0</v>
      </c>
      <c r="S84" s="36">
        <v>0</v>
      </c>
      <c r="T84" s="36">
        <v>0</v>
      </c>
      <c r="U84" s="36">
        <v>0</v>
      </c>
      <c r="V84" s="36">
        <v>0</v>
      </c>
      <c r="W84" s="36">
        <v>0</v>
      </c>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8"/>
    </row>
    <row r="85" spans="1:51">
      <c r="A85" s="53"/>
      <c r="B85" s="54"/>
      <c r="C85" s="54"/>
      <c r="D85" s="36" t="s">
        <v>75</v>
      </c>
      <c r="E85" s="36"/>
      <c r="F85" s="36"/>
      <c r="G85" s="36"/>
      <c r="H85" s="36"/>
      <c r="I85" s="36"/>
      <c r="J85" s="36"/>
      <c r="K85" s="36"/>
      <c r="L85" s="36"/>
      <c r="M85" s="36"/>
      <c r="N85" s="36"/>
      <c r="O85" s="36"/>
      <c r="P85" s="36"/>
      <c r="Q85" s="36"/>
      <c r="R85" s="36">
        <v>63</v>
      </c>
      <c r="S85" s="36">
        <v>72</v>
      </c>
      <c r="T85" s="36">
        <v>83</v>
      </c>
      <c r="U85" s="36">
        <v>73</v>
      </c>
      <c r="V85" s="36">
        <v>54</v>
      </c>
      <c r="W85" s="36">
        <v>34</v>
      </c>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8"/>
    </row>
    <row r="86" spans="1:51">
      <c r="A86" s="53"/>
      <c r="B86" s="54"/>
      <c r="C86" s="54"/>
      <c r="D86" s="36" t="s">
        <v>77</v>
      </c>
      <c r="E86" s="36"/>
      <c r="F86" s="36"/>
      <c r="G86" s="36"/>
      <c r="H86" s="36"/>
      <c r="I86" s="36"/>
      <c r="J86" s="36"/>
      <c r="K86" s="36"/>
      <c r="L86" s="36"/>
      <c r="M86" s="36"/>
      <c r="N86" s="36"/>
      <c r="O86" s="36"/>
      <c r="P86" s="36"/>
      <c r="Q86" s="36"/>
      <c r="R86" s="36">
        <v>0</v>
      </c>
      <c r="S86" s="36">
        <v>0</v>
      </c>
      <c r="T86" s="36">
        <v>0</v>
      </c>
      <c r="U86" s="36">
        <v>0</v>
      </c>
      <c r="V86" s="36">
        <v>0</v>
      </c>
      <c r="W86" s="36">
        <v>0</v>
      </c>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8"/>
    </row>
    <row r="87" spans="1:51">
      <c r="A87" s="34"/>
      <c r="B87" s="54"/>
      <c r="C87" s="54"/>
      <c r="D87" s="36" t="s">
        <v>79</v>
      </c>
      <c r="E87" s="36"/>
      <c r="F87" s="36"/>
      <c r="G87" s="36"/>
      <c r="H87" s="36"/>
      <c r="I87" s="36"/>
      <c r="J87" s="36"/>
      <c r="K87" s="36"/>
      <c r="L87" s="36"/>
      <c r="M87" s="36"/>
      <c r="N87" s="36"/>
      <c r="O87" s="36"/>
      <c r="P87" s="36"/>
      <c r="Q87" s="36"/>
      <c r="R87" s="36">
        <v>0</v>
      </c>
      <c r="S87" s="36">
        <v>0</v>
      </c>
      <c r="T87" s="36">
        <v>0</v>
      </c>
      <c r="U87" s="36">
        <v>0</v>
      </c>
      <c r="V87" s="36">
        <v>0</v>
      </c>
      <c r="W87" s="36">
        <v>0</v>
      </c>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8"/>
    </row>
    <row r="88" spans="1:51" ht="86.25" customHeight="1">
      <c r="A88" s="82">
        <v>5</v>
      </c>
      <c r="B88" s="117" t="s">
        <v>96</v>
      </c>
      <c r="C88" s="118"/>
      <c r="D88" s="119"/>
      <c r="E88" s="35" t="s">
        <v>97</v>
      </c>
      <c r="F88" s="36"/>
      <c r="G88" s="36"/>
      <c r="H88" s="36"/>
      <c r="I88" s="36"/>
      <c r="J88" s="36"/>
      <c r="K88" s="36"/>
      <c r="L88" s="36"/>
      <c r="M88" s="36"/>
      <c r="N88" s="36"/>
      <c r="O88" s="36"/>
      <c r="P88" s="36"/>
      <c r="Q88" s="36"/>
      <c r="R88" s="36">
        <v>0</v>
      </c>
      <c r="S88" s="36">
        <v>0</v>
      </c>
      <c r="T88" s="36">
        <v>0</v>
      </c>
      <c r="U88" s="36">
        <v>0</v>
      </c>
      <c r="V88" s="36">
        <v>0</v>
      </c>
      <c r="W88" s="36">
        <v>0</v>
      </c>
      <c r="X88" s="121" t="s">
        <v>98</v>
      </c>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8"/>
    </row>
    <row r="89" spans="1:51" ht="24">
      <c r="A89" s="83"/>
      <c r="B89" s="36" t="s">
        <v>65</v>
      </c>
      <c r="C89" s="90" t="s">
        <v>99</v>
      </c>
      <c r="D89" s="91"/>
      <c r="E89" s="35" t="s">
        <v>100</v>
      </c>
      <c r="F89" s="36"/>
      <c r="G89" s="36"/>
      <c r="H89" s="36"/>
      <c r="I89" s="36"/>
      <c r="J89" s="36"/>
      <c r="K89" s="36"/>
      <c r="L89" s="36"/>
      <c r="M89" s="36"/>
      <c r="N89" s="36"/>
      <c r="O89" s="36"/>
      <c r="P89" s="36"/>
      <c r="Q89" s="36"/>
      <c r="R89" s="36">
        <v>0</v>
      </c>
      <c r="S89" s="36">
        <v>0</v>
      </c>
      <c r="T89" s="36">
        <v>0</v>
      </c>
      <c r="U89" s="36">
        <v>0</v>
      </c>
      <c r="V89" s="36">
        <v>0</v>
      </c>
      <c r="W89" s="36">
        <v>0</v>
      </c>
      <c r="X89" s="122"/>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8"/>
    </row>
    <row r="90" spans="1:51">
      <c r="A90" s="83"/>
      <c r="B90" s="36" t="s">
        <v>68</v>
      </c>
      <c r="C90" s="56" t="s">
        <v>101</v>
      </c>
      <c r="D90" s="36"/>
      <c r="E90" s="36"/>
      <c r="F90" s="36"/>
      <c r="G90" s="36"/>
      <c r="H90" s="36"/>
      <c r="I90" s="36"/>
      <c r="J90" s="36"/>
      <c r="K90" s="36"/>
      <c r="L90" s="36"/>
      <c r="M90" s="36"/>
      <c r="N90" s="36"/>
      <c r="O90" s="36"/>
      <c r="P90" s="36"/>
      <c r="Q90" s="36"/>
      <c r="R90" s="36">
        <v>0</v>
      </c>
      <c r="S90" s="36">
        <v>0</v>
      </c>
      <c r="T90" s="36">
        <v>0</v>
      </c>
      <c r="U90" s="36">
        <v>0</v>
      </c>
      <c r="V90" s="36">
        <v>0</v>
      </c>
      <c r="W90" s="36">
        <v>0</v>
      </c>
      <c r="X90" s="122"/>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8"/>
    </row>
    <row r="91" spans="1:51">
      <c r="A91" s="83"/>
      <c r="B91" s="36" t="s">
        <v>70</v>
      </c>
      <c r="C91" s="90" t="s">
        <v>102</v>
      </c>
      <c r="D91" s="91"/>
      <c r="E91" s="36"/>
      <c r="F91" s="36"/>
      <c r="G91" s="36"/>
      <c r="H91" s="36"/>
      <c r="I91" s="36"/>
      <c r="J91" s="36"/>
      <c r="K91" s="36"/>
      <c r="L91" s="36"/>
      <c r="M91" s="36"/>
      <c r="N91" s="36"/>
      <c r="O91" s="36"/>
      <c r="P91" s="36"/>
      <c r="Q91" s="36"/>
      <c r="R91" s="36">
        <v>0</v>
      </c>
      <c r="S91" s="36">
        <v>0</v>
      </c>
      <c r="T91" s="36">
        <v>0</v>
      </c>
      <c r="U91" s="36">
        <v>0</v>
      </c>
      <c r="V91" s="36">
        <v>0</v>
      </c>
      <c r="W91" s="36">
        <v>0</v>
      </c>
      <c r="X91" s="122"/>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8"/>
    </row>
    <row r="92" spans="1:51">
      <c r="A92" s="83"/>
      <c r="B92" s="36" t="s">
        <v>72</v>
      </c>
      <c r="C92" s="90" t="s">
        <v>103</v>
      </c>
      <c r="D92" s="91"/>
      <c r="E92" s="36"/>
      <c r="F92" s="36"/>
      <c r="G92" s="36"/>
      <c r="H92" s="36"/>
      <c r="I92" s="36"/>
      <c r="J92" s="36"/>
      <c r="K92" s="36"/>
      <c r="L92" s="36"/>
      <c r="M92" s="36"/>
      <c r="N92" s="36"/>
      <c r="O92" s="36"/>
      <c r="P92" s="36"/>
      <c r="Q92" s="36"/>
      <c r="R92" s="36">
        <v>0</v>
      </c>
      <c r="S92" s="36">
        <v>0</v>
      </c>
      <c r="T92" s="36">
        <v>0</v>
      </c>
      <c r="U92" s="36">
        <v>0</v>
      </c>
      <c r="V92" s="36">
        <v>0</v>
      </c>
      <c r="W92" s="36">
        <v>0</v>
      </c>
      <c r="X92" s="122"/>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8"/>
    </row>
    <row r="93" spans="1:51">
      <c r="A93" s="84"/>
      <c r="B93" s="36" t="s">
        <v>74</v>
      </c>
      <c r="C93" s="80" t="s">
        <v>104</v>
      </c>
      <c r="D93" s="81"/>
      <c r="E93" s="36"/>
      <c r="F93" s="36"/>
      <c r="G93" s="36"/>
      <c r="H93" s="36"/>
      <c r="I93" s="36"/>
      <c r="J93" s="36"/>
      <c r="K93" s="36"/>
      <c r="L93" s="36"/>
      <c r="M93" s="36"/>
      <c r="N93" s="36"/>
      <c r="O93" s="36"/>
      <c r="P93" s="36"/>
      <c r="Q93" s="36"/>
      <c r="R93" s="36">
        <v>0</v>
      </c>
      <c r="S93" s="36">
        <v>0</v>
      </c>
      <c r="T93" s="36">
        <v>0</v>
      </c>
      <c r="U93" s="36">
        <v>0</v>
      </c>
      <c r="V93" s="36">
        <v>0</v>
      </c>
      <c r="W93" s="36">
        <v>0</v>
      </c>
      <c r="X93" s="123"/>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8"/>
    </row>
    <row r="94" spans="1:51" ht="24">
      <c r="A94" s="82">
        <v>6</v>
      </c>
      <c r="B94" s="117" t="s">
        <v>105</v>
      </c>
      <c r="C94" s="118"/>
      <c r="D94" s="119"/>
      <c r="E94" s="35" t="s">
        <v>106</v>
      </c>
      <c r="F94" s="36"/>
      <c r="G94" s="36"/>
      <c r="H94" s="36"/>
      <c r="I94" s="36"/>
      <c r="J94" s="36"/>
      <c r="K94" s="36"/>
      <c r="L94" s="36"/>
      <c r="M94" s="36"/>
      <c r="N94" s="36"/>
      <c r="O94" s="36"/>
      <c r="P94" s="36"/>
      <c r="Q94" s="36"/>
      <c r="R94" s="36"/>
      <c r="S94" s="36"/>
      <c r="T94" s="36"/>
      <c r="U94" s="36"/>
      <c r="V94" s="36"/>
      <c r="W94" s="36"/>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8"/>
    </row>
    <row r="95" spans="1:51">
      <c r="A95" s="83"/>
      <c r="B95" s="36" t="s">
        <v>65</v>
      </c>
      <c r="C95" s="90" t="s">
        <v>81</v>
      </c>
      <c r="D95" s="91"/>
      <c r="E95" s="87" t="s">
        <v>107</v>
      </c>
      <c r="F95" s="36"/>
      <c r="G95" s="36"/>
      <c r="H95" s="36"/>
      <c r="I95" s="36"/>
      <c r="J95" s="36"/>
      <c r="K95" s="36"/>
      <c r="L95" s="36"/>
      <c r="M95" s="36"/>
      <c r="N95" s="36"/>
      <c r="O95" s="36"/>
      <c r="P95" s="36"/>
      <c r="Q95" s="36"/>
      <c r="R95" s="46">
        <v>1.0324074074074074E-2</v>
      </c>
      <c r="S95" s="46">
        <v>5.8101851851851856E-3</v>
      </c>
      <c r="T95" s="46">
        <v>7.2106481481481483E-3</v>
      </c>
      <c r="U95" s="46">
        <v>8.5532407407407415E-3</v>
      </c>
      <c r="V95" s="46">
        <v>7.8240740740740736E-3</v>
      </c>
      <c r="W95" s="46">
        <v>8.5995370370370375E-3</v>
      </c>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8"/>
    </row>
    <row r="96" spans="1:51">
      <c r="A96" s="83"/>
      <c r="B96" s="36" t="s">
        <v>68</v>
      </c>
      <c r="C96" s="90" t="s">
        <v>82</v>
      </c>
      <c r="D96" s="91"/>
      <c r="E96" s="88"/>
      <c r="F96" s="36"/>
      <c r="G96" s="36"/>
      <c r="H96" s="36"/>
      <c r="I96" s="36"/>
      <c r="J96" s="36"/>
      <c r="K96" s="36"/>
      <c r="L96" s="36"/>
      <c r="M96" s="36"/>
      <c r="N96" s="36"/>
      <c r="O96" s="36"/>
      <c r="P96" s="36"/>
      <c r="Q96" s="36"/>
      <c r="R96" s="36">
        <v>0</v>
      </c>
      <c r="S96" s="36">
        <v>0</v>
      </c>
      <c r="T96" s="36">
        <v>0</v>
      </c>
      <c r="U96" s="36">
        <v>0</v>
      </c>
      <c r="V96" s="36">
        <v>0</v>
      </c>
      <c r="W96" s="36">
        <v>0</v>
      </c>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8"/>
    </row>
    <row r="97" spans="1:51">
      <c r="A97" s="83"/>
      <c r="B97" s="36" t="s">
        <v>70</v>
      </c>
      <c r="C97" s="90" t="s">
        <v>83</v>
      </c>
      <c r="D97" s="91"/>
      <c r="E97" s="88"/>
      <c r="F97" s="36"/>
      <c r="G97" s="36"/>
      <c r="H97" s="36"/>
      <c r="I97" s="36"/>
      <c r="J97" s="36"/>
      <c r="K97" s="36"/>
      <c r="L97" s="36"/>
      <c r="M97" s="36"/>
      <c r="N97" s="36"/>
      <c r="O97" s="36"/>
      <c r="P97" s="36"/>
      <c r="Q97" s="36"/>
      <c r="R97" s="36">
        <v>0</v>
      </c>
      <c r="S97" s="36">
        <v>0</v>
      </c>
      <c r="T97" s="36">
        <v>0</v>
      </c>
      <c r="U97" s="36">
        <v>0</v>
      </c>
      <c r="V97" s="36">
        <v>0</v>
      </c>
      <c r="W97" s="36">
        <v>0</v>
      </c>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8"/>
    </row>
    <row r="98" spans="1:51">
      <c r="A98" s="83"/>
      <c r="B98" s="36" t="s">
        <v>72</v>
      </c>
      <c r="C98" s="90" t="s">
        <v>84</v>
      </c>
      <c r="D98" s="91"/>
      <c r="E98" s="88"/>
      <c r="F98" s="36"/>
      <c r="G98" s="36"/>
      <c r="H98" s="36"/>
      <c r="I98" s="36"/>
      <c r="J98" s="36"/>
      <c r="K98" s="36"/>
      <c r="L98" s="36"/>
      <c r="M98" s="36"/>
      <c r="N98" s="36"/>
      <c r="O98" s="36"/>
      <c r="P98" s="36"/>
      <c r="Q98" s="36"/>
      <c r="R98" s="36">
        <v>0</v>
      </c>
      <c r="S98" s="36">
        <v>0</v>
      </c>
      <c r="T98" s="36">
        <v>0</v>
      </c>
      <c r="U98" s="36">
        <v>0</v>
      </c>
      <c r="V98" s="36">
        <v>0</v>
      </c>
      <c r="W98" s="36">
        <v>0</v>
      </c>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8"/>
    </row>
    <row r="99" spans="1:51">
      <c r="A99" s="83"/>
      <c r="B99" s="36" t="s">
        <v>74</v>
      </c>
      <c r="C99" s="90" t="s">
        <v>85</v>
      </c>
      <c r="D99" s="91"/>
      <c r="E99" s="88"/>
      <c r="F99" s="36"/>
      <c r="G99" s="36"/>
      <c r="H99" s="36"/>
      <c r="I99" s="36"/>
      <c r="J99" s="36"/>
      <c r="K99" s="36"/>
      <c r="L99" s="36"/>
      <c r="M99" s="36"/>
      <c r="N99" s="36"/>
      <c r="O99" s="36"/>
      <c r="P99" s="36"/>
      <c r="Q99" s="36"/>
      <c r="R99" s="36">
        <v>0</v>
      </c>
      <c r="S99" s="36">
        <v>0</v>
      </c>
      <c r="T99" s="36">
        <v>0</v>
      </c>
      <c r="U99" s="36">
        <v>0</v>
      </c>
      <c r="V99" s="36">
        <v>0</v>
      </c>
      <c r="W99" s="36">
        <v>0</v>
      </c>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8"/>
    </row>
    <row r="100" spans="1:51">
      <c r="A100" s="83"/>
      <c r="B100" s="36" t="s">
        <v>76</v>
      </c>
      <c r="C100" s="90" t="s">
        <v>86</v>
      </c>
      <c r="D100" s="91"/>
      <c r="E100" s="88"/>
      <c r="F100" s="36"/>
      <c r="G100" s="36"/>
      <c r="H100" s="36"/>
      <c r="I100" s="36"/>
      <c r="J100" s="36"/>
      <c r="K100" s="36"/>
      <c r="L100" s="36"/>
      <c r="M100" s="36"/>
      <c r="N100" s="36"/>
      <c r="O100" s="36"/>
      <c r="P100" s="36"/>
      <c r="Q100" s="36"/>
      <c r="R100" s="36">
        <v>0</v>
      </c>
      <c r="S100" s="36">
        <v>0</v>
      </c>
      <c r="T100" s="36">
        <v>0</v>
      </c>
      <c r="U100" s="36">
        <v>0</v>
      </c>
      <c r="V100" s="36">
        <v>0</v>
      </c>
      <c r="W100" s="36">
        <v>0</v>
      </c>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8"/>
    </row>
    <row r="101" spans="1:51">
      <c r="A101" s="83"/>
      <c r="B101" s="36" t="s">
        <v>78</v>
      </c>
      <c r="C101" s="90" t="s">
        <v>87</v>
      </c>
      <c r="D101" s="91"/>
      <c r="E101" s="88"/>
      <c r="F101" s="36"/>
      <c r="G101" s="36"/>
      <c r="H101" s="36"/>
      <c r="I101" s="36"/>
      <c r="J101" s="36"/>
      <c r="K101" s="36"/>
      <c r="L101" s="36"/>
      <c r="M101" s="36"/>
      <c r="N101" s="36"/>
      <c r="O101" s="36"/>
      <c r="P101" s="36"/>
      <c r="Q101" s="36"/>
      <c r="R101" s="46">
        <v>7.6736111111111111E-3</v>
      </c>
      <c r="S101" s="46">
        <v>1.6620370370370369E-2</v>
      </c>
      <c r="T101" s="46">
        <v>8.7152777777777784E-3</v>
      </c>
      <c r="U101" s="46">
        <v>1.0775462962962962E-2</v>
      </c>
      <c r="V101" s="46">
        <v>6.851851851851852E-3</v>
      </c>
      <c r="W101" s="46">
        <v>1.1655092592592592E-2</v>
      </c>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8"/>
    </row>
    <row r="102" spans="1:51">
      <c r="A102" s="83"/>
      <c r="B102" s="36" t="s">
        <v>88</v>
      </c>
      <c r="C102" s="90" t="s">
        <v>89</v>
      </c>
      <c r="D102" s="91"/>
      <c r="E102" s="88"/>
      <c r="F102" s="36"/>
      <c r="G102" s="36"/>
      <c r="H102" s="36"/>
      <c r="I102" s="36"/>
      <c r="J102" s="36"/>
      <c r="K102" s="36"/>
      <c r="L102" s="36"/>
      <c r="M102" s="36"/>
      <c r="N102" s="36"/>
      <c r="O102" s="36"/>
      <c r="P102" s="36"/>
      <c r="Q102" s="36"/>
      <c r="R102" s="36">
        <v>0</v>
      </c>
      <c r="S102" s="36">
        <v>0</v>
      </c>
      <c r="T102" s="36">
        <v>0</v>
      </c>
      <c r="U102" s="36">
        <v>0</v>
      </c>
      <c r="V102" s="36">
        <v>0</v>
      </c>
      <c r="W102" s="36">
        <v>0</v>
      </c>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8"/>
    </row>
    <row r="103" spans="1:51">
      <c r="A103" s="120"/>
      <c r="B103" s="36" t="s">
        <v>90</v>
      </c>
      <c r="C103" s="90" t="s">
        <v>91</v>
      </c>
      <c r="D103" s="91"/>
      <c r="E103" s="89"/>
      <c r="F103" s="36"/>
      <c r="G103" s="36"/>
      <c r="H103" s="36"/>
      <c r="I103" s="36"/>
      <c r="J103" s="36"/>
      <c r="K103" s="36"/>
      <c r="L103" s="36"/>
      <c r="M103" s="36"/>
      <c r="N103" s="36"/>
      <c r="O103" s="36"/>
      <c r="P103" s="36"/>
      <c r="Q103" s="36"/>
      <c r="R103" s="36">
        <v>0</v>
      </c>
      <c r="S103" s="36">
        <v>0</v>
      </c>
      <c r="T103" s="36">
        <v>0</v>
      </c>
      <c r="U103" s="36">
        <v>0</v>
      </c>
      <c r="V103" s="36">
        <v>0</v>
      </c>
      <c r="W103" s="36">
        <v>0</v>
      </c>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8"/>
    </row>
    <row r="104" spans="1:51">
      <c r="A104" s="5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8"/>
    </row>
    <row r="105" spans="1:51">
      <c r="A105" s="5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8"/>
    </row>
    <row r="106" spans="1:51">
      <c r="A106" s="5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8"/>
    </row>
    <row r="107" spans="1:51">
      <c r="A107" s="5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8"/>
    </row>
    <row r="108" spans="1:51">
      <c r="A108" s="5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8"/>
    </row>
    <row r="109" spans="1:51">
      <c r="A109" s="57"/>
      <c r="B109" s="37"/>
      <c r="C109" s="58" t="s">
        <v>108</v>
      </c>
      <c r="D109" s="47"/>
      <c r="E109" s="47"/>
      <c r="F109" s="47"/>
      <c r="G109" s="47"/>
      <c r="H109" s="47"/>
      <c r="I109" s="47"/>
      <c r="J109" s="47"/>
      <c r="K109" s="47"/>
      <c r="L109" s="47"/>
      <c r="M109" s="47"/>
      <c r="N109" s="47"/>
      <c r="O109" s="4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8"/>
    </row>
    <row r="110" spans="1:51">
      <c r="A110" s="57"/>
      <c r="B110" s="38"/>
      <c r="C110" s="36" t="s">
        <v>66</v>
      </c>
      <c r="D110" s="47" t="s">
        <v>109</v>
      </c>
      <c r="E110" s="47"/>
      <c r="F110" s="47"/>
      <c r="G110" s="47"/>
      <c r="H110" s="47"/>
      <c r="I110" s="47"/>
      <c r="J110" s="47"/>
      <c r="K110" s="47"/>
      <c r="L110" s="36"/>
      <c r="M110" s="36"/>
      <c r="N110" s="36"/>
      <c r="O110" s="36"/>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8"/>
    </row>
    <row r="111" spans="1:51">
      <c r="A111" s="57"/>
      <c r="B111" s="38"/>
      <c r="C111" s="36" t="s">
        <v>69</v>
      </c>
      <c r="D111" s="47" t="s">
        <v>110</v>
      </c>
      <c r="E111" s="47"/>
      <c r="F111" s="47"/>
      <c r="G111" s="47"/>
      <c r="H111" s="47"/>
      <c r="I111" s="47"/>
      <c r="J111" s="47"/>
      <c r="K111" s="36"/>
      <c r="L111" s="36"/>
      <c r="M111" s="36"/>
      <c r="N111" s="36"/>
      <c r="O111" s="36"/>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8"/>
    </row>
    <row r="112" spans="1:51">
      <c r="A112" s="57"/>
      <c r="B112" s="38"/>
      <c r="C112" s="36" t="s">
        <v>71</v>
      </c>
      <c r="D112" s="47" t="s">
        <v>111</v>
      </c>
      <c r="E112" s="47"/>
      <c r="F112" s="47"/>
      <c r="G112" s="36"/>
      <c r="H112" s="36"/>
      <c r="I112" s="36"/>
      <c r="J112" s="36"/>
      <c r="K112" s="36"/>
      <c r="L112" s="36"/>
      <c r="M112" s="36"/>
      <c r="N112" s="36"/>
      <c r="O112" s="36"/>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8"/>
    </row>
    <row r="113" spans="1:51">
      <c r="A113" s="57"/>
      <c r="B113" s="38"/>
      <c r="C113" s="36" t="s">
        <v>73</v>
      </c>
      <c r="D113" s="47" t="s">
        <v>112</v>
      </c>
      <c r="E113" s="47"/>
      <c r="F113" s="47"/>
      <c r="G113" s="47"/>
      <c r="H113" s="47"/>
      <c r="I113" s="47"/>
      <c r="J113" s="36"/>
      <c r="K113" s="36"/>
      <c r="L113" s="36"/>
      <c r="M113" s="36"/>
      <c r="N113" s="36"/>
      <c r="O113" s="36"/>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8"/>
    </row>
    <row r="114" spans="1:51" ht="214.5">
      <c r="A114" s="57"/>
      <c r="B114" s="38"/>
      <c r="C114" s="36" t="s">
        <v>75</v>
      </c>
      <c r="D114" s="59" t="s">
        <v>113</v>
      </c>
      <c r="E114" s="36"/>
      <c r="F114" s="36"/>
      <c r="G114" s="36"/>
      <c r="H114" s="36"/>
      <c r="I114" s="36"/>
      <c r="J114" s="36"/>
      <c r="K114" s="36"/>
      <c r="L114" s="36"/>
      <c r="M114" s="36"/>
      <c r="N114" s="36"/>
      <c r="O114" s="36"/>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8"/>
    </row>
    <row r="115" spans="1:51">
      <c r="A115" s="57"/>
      <c r="B115" s="38"/>
      <c r="C115" s="36" t="s">
        <v>77</v>
      </c>
      <c r="D115" s="47" t="s">
        <v>114</v>
      </c>
      <c r="E115" s="47"/>
      <c r="F115" s="47"/>
      <c r="G115" s="47"/>
      <c r="H115" s="47"/>
      <c r="I115" s="47"/>
      <c r="J115" s="47"/>
      <c r="K115" s="47"/>
      <c r="L115" s="47"/>
      <c r="M115" s="47"/>
      <c r="N115" s="47"/>
      <c r="O115" s="36"/>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8"/>
    </row>
    <row r="116" spans="1:51">
      <c r="A116" s="57"/>
      <c r="B116" s="38"/>
      <c r="C116" s="36" t="s">
        <v>79</v>
      </c>
      <c r="D116" s="47" t="s">
        <v>115</v>
      </c>
      <c r="E116" s="47"/>
      <c r="F116" s="47"/>
      <c r="G116" s="47"/>
      <c r="H116" s="47"/>
      <c r="I116" s="47"/>
      <c r="J116" s="47"/>
      <c r="K116" s="47"/>
      <c r="L116" s="47"/>
      <c r="M116" s="47"/>
      <c r="N116" s="47"/>
      <c r="O116" s="36"/>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8"/>
    </row>
    <row r="117" spans="1:51">
      <c r="A117" s="57"/>
      <c r="B117" s="38"/>
      <c r="C117" s="36" t="s">
        <v>116</v>
      </c>
      <c r="D117" s="47" t="s">
        <v>117</v>
      </c>
      <c r="E117" s="47"/>
      <c r="F117" s="36"/>
      <c r="G117" s="36"/>
      <c r="H117" s="36"/>
      <c r="I117" s="36"/>
      <c r="J117" s="36"/>
      <c r="K117" s="36"/>
      <c r="L117" s="36"/>
      <c r="M117" s="36"/>
      <c r="N117" s="36"/>
      <c r="O117" s="36"/>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8"/>
    </row>
    <row r="118" spans="1:51">
      <c r="A118" s="57"/>
      <c r="B118" s="38"/>
      <c r="C118" s="36" t="s">
        <v>118</v>
      </c>
      <c r="D118" s="47" t="s">
        <v>119</v>
      </c>
      <c r="E118" s="47"/>
      <c r="F118" s="47"/>
      <c r="G118" s="47"/>
      <c r="H118" s="47"/>
      <c r="I118" s="47"/>
      <c r="J118" s="36"/>
      <c r="K118" s="36"/>
      <c r="L118" s="36"/>
      <c r="M118" s="36"/>
      <c r="N118" s="36"/>
      <c r="O118" s="36"/>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8"/>
    </row>
    <row r="119" spans="1:51">
      <c r="A119" s="57"/>
      <c r="B119" s="38"/>
      <c r="C119" s="36" t="s">
        <v>120</v>
      </c>
      <c r="D119" s="47" t="s">
        <v>121</v>
      </c>
      <c r="E119" s="47"/>
      <c r="F119" s="47"/>
      <c r="G119" s="47"/>
      <c r="H119" s="47"/>
      <c r="I119" s="47"/>
      <c r="J119" s="36"/>
      <c r="K119" s="36"/>
      <c r="L119" s="36"/>
      <c r="M119" s="36"/>
      <c r="N119" s="36"/>
      <c r="O119" s="36"/>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8"/>
    </row>
    <row r="120" spans="1:51">
      <c r="A120" s="57"/>
      <c r="B120" s="38"/>
      <c r="C120" s="36" t="s">
        <v>122</v>
      </c>
      <c r="D120" s="47" t="s">
        <v>123</v>
      </c>
      <c r="E120" s="47"/>
      <c r="F120" s="47"/>
      <c r="G120" s="47"/>
      <c r="H120" s="47"/>
      <c r="I120" s="47"/>
      <c r="J120" s="47"/>
      <c r="K120" s="47"/>
      <c r="L120" s="47"/>
      <c r="M120" s="36"/>
      <c r="N120" s="36"/>
      <c r="O120" s="36"/>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8"/>
    </row>
    <row r="121" spans="1:51">
      <c r="A121" s="57"/>
      <c r="B121" s="38"/>
      <c r="C121" s="36" t="s">
        <v>124</v>
      </c>
      <c r="D121" s="47" t="s">
        <v>125</v>
      </c>
      <c r="E121" s="36"/>
      <c r="F121" s="36"/>
      <c r="G121" s="36"/>
      <c r="H121" s="36"/>
      <c r="I121" s="36"/>
      <c r="J121" s="36"/>
      <c r="K121" s="36"/>
      <c r="L121" s="36"/>
      <c r="M121" s="36"/>
      <c r="N121" s="36"/>
      <c r="O121" s="36"/>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8"/>
    </row>
    <row r="122" spans="1:51">
      <c r="A122" s="57"/>
      <c r="B122" s="38"/>
      <c r="C122" s="36" t="s">
        <v>126</v>
      </c>
      <c r="D122" s="47" t="s">
        <v>127</v>
      </c>
      <c r="E122" s="36"/>
      <c r="F122" s="36"/>
      <c r="G122" s="36"/>
      <c r="H122" s="36"/>
      <c r="I122" s="36"/>
      <c r="J122" s="36"/>
      <c r="K122" s="36"/>
      <c r="L122" s="36"/>
      <c r="M122" s="36"/>
      <c r="N122" s="36"/>
      <c r="O122" s="36"/>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8"/>
    </row>
    <row r="123" spans="1:51">
      <c r="A123" s="60"/>
      <c r="B123" s="36"/>
      <c r="C123" s="36" t="s">
        <v>128</v>
      </c>
      <c r="D123" s="47" t="s">
        <v>129</v>
      </c>
      <c r="E123" s="47"/>
      <c r="F123" s="47"/>
      <c r="G123" s="36"/>
      <c r="H123" s="36"/>
      <c r="I123" s="36"/>
      <c r="J123" s="36"/>
      <c r="K123" s="36"/>
      <c r="L123" s="36"/>
      <c r="M123" s="36"/>
      <c r="N123" s="36"/>
      <c r="O123" s="36"/>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36"/>
    </row>
  </sheetData>
  <mergeCells count="34">
    <mergeCell ref="A94:A103"/>
    <mergeCell ref="B94:D94"/>
    <mergeCell ref="C95:D95"/>
    <mergeCell ref="E95:E103"/>
    <mergeCell ref="C96:D96"/>
    <mergeCell ref="C97:D97"/>
    <mergeCell ref="C98:D98"/>
    <mergeCell ref="C99:D99"/>
    <mergeCell ref="C100:D100"/>
    <mergeCell ref="C101:D101"/>
    <mergeCell ref="C102:D102"/>
    <mergeCell ref="C103:D103"/>
    <mergeCell ref="C11:D11"/>
    <mergeCell ref="A12:A71"/>
    <mergeCell ref="B12:D12"/>
    <mergeCell ref="A88:A93"/>
    <mergeCell ref="B88:D88"/>
    <mergeCell ref="X88:X93"/>
    <mergeCell ref="C89:D89"/>
    <mergeCell ref="C91:D91"/>
    <mergeCell ref="C92:D92"/>
    <mergeCell ref="C93:D93"/>
    <mergeCell ref="E5:E9"/>
    <mergeCell ref="C6:D6"/>
    <mergeCell ref="C7:D7"/>
    <mergeCell ref="C8:D8"/>
    <mergeCell ref="C9:D9"/>
    <mergeCell ref="C10:D10"/>
    <mergeCell ref="B1:D1"/>
    <mergeCell ref="B2:D2"/>
    <mergeCell ref="B3:D3"/>
    <mergeCell ref="A4:A9"/>
    <mergeCell ref="B4:D4"/>
    <mergeCell ref="C5:D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87AC-7636-4610-BAF0-A3120862E9B9}">
  <sheetPr>
    <tabColor rgb="FFFF0000"/>
  </sheetPr>
  <dimension ref="A1:AC40"/>
  <sheetViews>
    <sheetView tabSelected="1" topLeftCell="E1" workbookViewId="0">
      <selection activeCell="W3" sqref="W3:W6"/>
    </sheetView>
  </sheetViews>
  <sheetFormatPr defaultRowHeight="16.5"/>
  <cols>
    <col min="3" max="3" width="17.25" customWidth="1"/>
    <col min="4" max="4" width="18.375" customWidth="1"/>
    <col min="5" max="5" width="28.5" customWidth="1"/>
    <col min="6" max="22" width="9" customWidth="1"/>
  </cols>
  <sheetData>
    <row r="1" spans="1:29">
      <c r="A1" s="29" t="s">
        <v>3</v>
      </c>
      <c r="B1" s="96" t="s">
        <v>58</v>
      </c>
      <c r="C1" s="97"/>
      <c r="D1" s="98"/>
      <c r="E1" s="30" t="s">
        <v>59</v>
      </c>
      <c r="F1" s="40">
        <v>45658</v>
      </c>
      <c r="G1" s="40">
        <v>45689</v>
      </c>
      <c r="H1" s="40">
        <v>45717</v>
      </c>
      <c r="I1" s="40">
        <v>45748</v>
      </c>
      <c r="J1" s="39" t="s">
        <v>130</v>
      </c>
      <c r="K1" s="39" t="s">
        <v>131</v>
      </c>
      <c r="L1" s="39" t="s">
        <v>132</v>
      </c>
      <c r="M1" s="39" t="s">
        <v>133</v>
      </c>
      <c r="N1" s="40">
        <v>45901</v>
      </c>
      <c r="O1" s="39" t="s">
        <v>134</v>
      </c>
      <c r="P1" s="40">
        <v>45962</v>
      </c>
      <c r="Q1" s="39" t="s">
        <v>135</v>
      </c>
      <c r="R1" s="40">
        <v>46023</v>
      </c>
      <c r="S1" s="40">
        <v>46054</v>
      </c>
      <c r="T1" s="40">
        <v>46082</v>
      </c>
      <c r="U1" s="40">
        <v>46113</v>
      </c>
      <c r="V1" s="30" t="s">
        <v>136</v>
      </c>
      <c r="W1" s="30" t="s">
        <v>137</v>
      </c>
      <c r="X1" s="30" t="s">
        <v>138</v>
      </c>
      <c r="Y1" s="32"/>
      <c r="Z1" s="32"/>
      <c r="AA1" s="32"/>
      <c r="AB1" s="32"/>
      <c r="AC1" s="33"/>
    </row>
    <row r="2" spans="1:29" ht="24">
      <c r="A2" s="34">
        <v>1</v>
      </c>
      <c r="B2" s="80" t="s">
        <v>60</v>
      </c>
      <c r="C2" s="85"/>
      <c r="D2" s="81"/>
      <c r="E2" s="35" t="s">
        <v>61</v>
      </c>
      <c r="F2" s="31">
        <v>45658</v>
      </c>
      <c r="G2" s="31">
        <v>45689</v>
      </c>
      <c r="H2" s="31">
        <v>45717</v>
      </c>
      <c r="I2" s="31">
        <v>45748</v>
      </c>
      <c r="J2" s="31">
        <v>45778</v>
      </c>
      <c r="K2" s="31">
        <v>45809</v>
      </c>
      <c r="L2" s="31">
        <v>45839</v>
      </c>
      <c r="M2" s="31">
        <v>45870</v>
      </c>
      <c r="N2" s="31">
        <v>45901</v>
      </c>
      <c r="O2" s="31">
        <v>45931</v>
      </c>
      <c r="P2" s="31">
        <v>45962</v>
      </c>
      <c r="Q2" s="31">
        <v>45992</v>
      </c>
      <c r="R2" s="31">
        <v>247297</v>
      </c>
      <c r="S2" s="31">
        <v>145751</v>
      </c>
      <c r="T2" s="31">
        <v>169045</v>
      </c>
      <c r="U2" s="31">
        <v>241827</v>
      </c>
      <c r="V2" s="71">
        <v>247017</v>
      </c>
      <c r="W2" s="71">
        <v>268865</v>
      </c>
      <c r="X2" s="36"/>
      <c r="Y2" s="37"/>
      <c r="Z2" s="37"/>
      <c r="AA2" s="37"/>
      <c r="AB2" s="37"/>
      <c r="AC2" s="38"/>
    </row>
    <row r="3" spans="1:29" ht="24">
      <c r="A3" s="34">
        <v>2</v>
      </c>
      <c r="B3" s="80" t="s">
        <v>62</v>
      </c>
      <c r="C3" s="85"/>
      <c r="D3" s="81"/>
      <c r="E3" s="35" t="s">
        <v>139</v>
      </c>
      <c r="F3" s="36"/>
      <c r="G3" s="36"/>
      <c r="H3" s="36"/>
      <c r="I3" s="36"/>
      <c r="J3" s="36"/>
      <c r="K3" s="36"/>
      <c r="L3" s="36"/>
      <c r="M3" s="36"/>
      <c r="N3" s="36"/>
      <c r="O3" s="36"/>
      <c r="P3" s="36"/>
      <c r="Q3" s="36"/>
      <c r="R3" s="36"/>
      <c r="S3" s="36"/>
      <c r="T3" s="36"/>
      <c r="U3" s="36"/>
      <c r="V3" s="36"/>
      <c r="W3" s="36"/>
      <c r="X3" s="36"/>
      <c r="Y3" s="37"/>
      <c r="Z3" s="37"/>
      <c r="AA3" s="37"/>
      <c r="AB3" s="37"/>
      <c r="AC3" s="38"/>
    </row>
    <row r="4" spans="1:29">
      <c r="A4" s="82">
        <v>3</v>
      </c>
      <c r="B4" s="80" t="s">
        <v>64</v>
      </c>
      <c r="C4" s="85"/>
      <c r="D4" s="81"/>
      <c r="E4" s="87" t="s">
        <v>140</v>
      </c>
      <c r="F4" s="36"/>
      <c r="G4" s="36"/>
      <c r="H4" s="36"/>
      <c r="I4" s="36"/>
      <c r="J4" s="36"/>
      <c r="K4" s="36"/>
      <c r="L4" s="36"/>
      <c r="M4" s="36"/>
      <c r="N4" s="36"/>
      <c r="O4" s="36"/>
      <c r="P4" s="36"/>
      <c r="Q4" s="36"/>
      <c r="R4" s="36"/>
      <c r="S4" s="36"/>
      <c r="T4" s="36"/>
      <c r="U4" s="36"/>
      <c r="V4" s="36"/>
      <c r="W4" s="36"/>
      <c r="X4" s="36"/>
      <c r="Y4" s="37"/>
      <c r="Z4" s="37"/>
      <c r="AA4" s="37"/>
      <c r="AB4" s="37"/>
      <c r="AC4" s="38"/>
    </row>
    <row r="5" spans="1:29">
      <c r="A5" s="83"/>
      <c r="B5" s="36"/>
      <c r="C5" s="90" t="s">
        <v>141</v>
      </c>
      <c r="D5" s="91"/>
      <c r="E5" s="88"/>
      <c r="F5" s="36"/>
      <c r="G5" s="36"/>
      <c r="H5" s="36"/>
      <c r="I5" s="36"/>
      <c r="J5" s="36"/>
      <c r="K5" s="36"/>
      <c r="L5" s="36"/>
      <c r="M5" s="36"/>
      <c r="N5" s="36"/>
      <c r="O5" s="36"/>
      <c r="P5" s="36"/>
      <c r="Q5" s="36"/>
      <c r="R5" s="36"/>
      <c r="S5" s="36"/>
      <c r="T5" s="36"/>
      <c r="U5" s="36"/>
      <c r="V5" s="36"/>
      <c r="W5" s="36"/>
      <c r="X5" s="36"/>
      <c r="Y5" s="37"/>
      <c r="Z5" s="37"/>
      <c r="AA5" s="37"/>
      <c r="AB5" s="37"/>
      <c r="AC5" s="38"/>
    </row>
    <row r="6" spans="1:29">
      <c r="A6" s="83"/>
      <c r="B6" s="36"/>
      <c r="C6" s="90" t="s">
        <v>142</v>
      </c>
      <c r="D6" s="91"/>
      <c r="E6" s="88"/>
      <c r="F6" s="36"/>
      <c r="G6" s="36"/>
      <c r="H6" s="36"/>
      <c r="I6" s="36"/>
      <c r="J6" s="36"/>
      <c r="K6" s="36"/>
      <c r="L6" s="36"/>
      <c r="M6" s="36"/>
      <c r="N6" s="36"/>
      <c r="O6" s="36"/>
      <c r="P6" s="36"/>
      <c r="Q6" s="36"/>
      <c r="R6" s="36"/>
      <c r="S6" s="36"/>
      <c r="T6" s="36"/>
      <c r="U6" s="36"/>
      <c r="V6" s="36"/>
      <c r="W6" s="36"/>
      <c r="X6" s="36"/>
      <c r="Y6" s="37"/>
      <c r="Z6" s="37"/>
      <c r="AA6" s="37"/>
      <c r="AB6" s="37"/>
      <c r="AC6" s="38"/>
    </row>
    <row r="7" spans="1:29">
      <c r="A7" s="84"/>
      <c r="B7" s="36"/>
      <c r="C7" s="90" t="s">
        <v>143</v>
      </c>
      <c r="D7" s="91"/>
      <c r="E7" s="89"/>
      <c r="F7" s="36"/>
      <c r="G7" s="36"/>
      <c r="H7" s="36"/>
      <c r="I7" s="36"/>
      <c r="J7" s="36"/>
      <c r="K7" s="36"/>
      <c r="L7" s="36"/>
      <c r="M7" s="36"/>
      <c r="N7" s="36"/>
      <c r="O7" s="36"/>
      <c r="P7" s="36"/>
      <c r="Q7" s="36"/>
      <c r="R7" s="36"/>
      <c r="S7" s="36"/>
      <c r="T7" s="36"/>
      <c r="U7" s="36"/>
      <c r="V7" s="36"/>
      <c r="W7" s="36"/>
      <c r="X7" s="36"/>
      <c r="Y7" s="37"/>
      <c r="Z7" s="37"/>
      <c r="AA7" s="37"/>
      <c r="AB7" s="37"/>
      <c r="AC7" s="38"/>
    </row>
    <row r="8" spans="1:29">
      <c r="A8" s="82">
        <v>4</v>
      </c>
      <c r="B8" s="80" t="s">
        <v>80</v>
      </c>
      <c r="C8" s="85"/>
      <c r="D8" s="81"/>
      <c r="E8" s="87" t="s">
        <v>144</v>
      </c>
      <c r="F8" s="40">
        <v>45658</v>
      </c>
      <c r="G8" s="40">
        <v>45689</v>
      </c>
      <c r="H8" s="40">
        <v>45717</v>
      </c>
      <c r="I8" s="40">
        <v>45748</v>
      </c>
      <c r="J8" s="39" t="s">
        <v>130</v>
      </c>
      <c r="K8" s="39" t="s">
        <v>131</v>
      </c>
      <c r="L8" s="39" t="s">
        <v>132</v>
      </c>
      <c r="M8" s="39" t="s">
        <v>133</v>
      </c>
      <c r="N8" s="40">
        <v>45901</v>
      </c>
      <c r="O8" s="39" t="s">
        <v>134</v>
      </c>
      <c r="P8" s="40">
        <v>45962</v>
      </c>
      <c r="Q8" s="39" t="s">
        <v>135</v>
      </c>
      <c r="R8" s="40">
        <v>46023</v>
      </c>
      <c r="S8" s="40">
        <v>46054</v>
      </c>
      <c r="T8" s="40">
        <v>46082</v>
      </c>
      <c r="U8" s="40">
        <v>46113</v>
      </c>
      <c r="V8" s="39" t="s">
        <v>136</v>
      </c>
      <c r="W8" s="50" t="s">
        <v>137</v>
      </c>
      <c r="X8" s="39" t="s">
        <v>138</v>
      </c>
      <c r="Y8" s="37"/>
      <c r="Z8" s="37"/>
      <c r="AA8" s="37"/>
      <c r="AB8" s="37"/>
      <c r="AC8" s="38"/>
    </row>
    <row r="9" spans="1:29">
      <c r="A9" s="83"/>
      <c r="B9" s="36"/>
      <c r="C9" s="48" t="s">
        <v>83</v>
      </c>
      <c r="D9" s="36" t="s">
        <v>73</v>
      </c>
      <c r="E9" s="88"/>
      <c r="F9" s="36"/>
      <c r="G9" s="36"/>
      <c r="H9" s="36"/>
      <c r="I9" s="36"/>
      <c r="J9" s="36"/>
      <c r="K9" s="36"/>
      <c r="L9" s="36"/>
      <c r="M9" s="36"/>
      <c r="N9" s="36"/>
      <c r="O9" s="36"/>
      <c r="P9" s="36"/>
      <c r="Q9" s="36"/>
      <c r="R9" s="36"/>
      <c r="S9" s="36"/>
      <c r="T9" s="36"/>
      <c r="U9" s="36">
        <v>1</v>
      </c>
      <c r="V9" s="36">
        <v>3</v>
      </c>
      <c r="W9" s="41">
        <v>0</v>
      </c>
      <c r="X9" s="36"/>
      <c r="Y9" s="37"/>
      <c r="Z9" s="37"/>
      <c r="AA9" s="37"/>
      <c r="AB9" s="37"/>
      <c r="AC9" s="38"/>
    </row>
    <row r="10" spans="1:29">
      <c r="A10" s="83"/>
      <c r="B10" s="36"/>
      <c r="C10" s="36"/>
      <c r="D10" s="36" t="s">
        <v>145</v>
      </c>
      <c r="E10" s="88"/>
      <c r="F10" s="36"/>
      <c r="G10" s="36"/>
      <c r="H10" s="36"/>
      <c r="I10" s="36"/>
      <c r="J10" s="36"/>
      <c r="K10" s="36"/>
      <c r="L10" s="36"/>
      <c r="M10" s="36"/>
      <c r="N10" s="36"/>
      <c r="O10" s="36"/>
      <c r="P10" s="36"/>
      <c r="Q10" s="36"/>
      <c r="R10" s="36"/>
      <c r="S10" s="36"/>
      <c r="T10" s="36"/>
      <c r="U10" s="36"/>
      <c r="V10" s="36"/>
      <c r="W10" s="41">
        <v>0</v>
      </c>
      <c r="X10" s="36"/>
      <c r="Y10" s="37"/>
      <c r="Z10" s="37"/>
      <c r="AA10" s="37"/>
      <c r="AB10" s="37"/>
      <c r="AC10" s="38"/>
    </row>
    <row r="11" spans="1:29">
      <c r="A11" s="83"/>
      <c r="B11" s="36"/>
      <c r="C11" s="93" t="s">
        <v>146</v>
      </c>
      <c r="D11" s="36" t="s">
        <v>73</v>
      </c>
      <c r="E11" s="88"/>
      <c r="F11" s="36">
        <v>43</v>
      </c>
      <c r="G11" s="36">
        <v>31</v>
      </c>
      <c r="H11" s="36">
        <v>11</v>
      </c>
      <c r="I11" s="36">
        <v>77</v>
      </c>
      <c r="J11" s="36">
        <v>65</v>
      </c>
      <c r="K11" s="36">
        <v>106</v>
      </c>
      <c r="L11" s="36">
        <v>133</v>
      </c>
      <c r="M11" s="36">
        <v>49</v>
      </c>
      <c r="N11" s="36">
        <v>8</v>
      </c>
      <c r="O11" s="36">
        <v>61</v>
      </c>
      <c r="P11" s="36">
        <v>94</v>
      </c>
      <c r="Q11" s="36">
        <v>67</v>
      </c>
      <c r="R11" s="36">
        <v>142</v>
      </c>
      <c r="S11" s="36">
        <v>104</v>
      </c>
      <c r="T11" s="36">
        <v>139</v>
      </c>
      <c r="U11" s="36">
        <v>112</v>
      </c>
      <c r="V11" s="36">
        <v>121</v>
      </c>
      <c r="W11" s="41">
        <v>211</v>
      </c>
      <c r="X11" s="36"/>
      <c r="Y11" s="37"/>
      <c r="Z11" s="37"/>
      <c r="AA11" s="37"/>
      <c r="AB11" s="37"/>
      <c r="AC11" s="38"/>
    </row>
    <row r="12" spans="1:29">
      <c r="A12" s="83"/>
      <c r="B12" s="36"/>
      <c r="C12" s="94"/>
      <c r="D12" s="36" t="s">
        <v>147</v>
      </c>
      <c r="E12" s="88"/>
      <c r="F12" s="36">
        <v>0</v>
      </c>
      <c r="G12" s="36">
        <v>0</v>
      </c>
      <c r="H12" s="36">
        <v>0</v>
      </c>
      <c r="I12" s="36">
        <v>3</v>
      </c>
      <c r="J12" s="36">
        <v>0</v>
      </c>
      <c r="K12" s="36">
        <v>0</v>
      </c>
      <c r="L12" s="36">
        <v>3</v>
      </c>
      <c r="M12" s="36">
        <v>1</v>
      </c>
      <c r="N12" s="36">
        <v>1</v>
      </c>
      <c r="O12" s="36">
        <v>6</v>
      </c>
      <c r="P12" s="36">
        <v>0</v>
      </c>
      <c r="Q12" s="36">
        <v>0</v>
      </c>
      <c r="R12" s="36">
        <v>0</v>
      </c>
      <c r="S12" s="36">
        <v>0</v>
      </c>
      <c r="T12" s="36">
        <v>0</v>
      </c>
      <c r="U12" s="36">
        <v>0</v>
      </c>
      <c r="V12" s="36">
        <v>1</v>
      </c>
      <c r="W12" s="41">
        <v>0</v>
      </c>
      <c r="X12" s="36"/>
      <c r="Y12" s="37"/>
      <c r="Z12" s="37"/>
      <c r="AA12" s="37"/>
      <c r="AB12" s="37"/>
      <c r="AC12" s="38"/>
    </row>
    <row r="13" spans="1:29">
      <c r="A13" s="83"/>
      <c r="B13" s="36"/>
      <c r="C13" s="94"/>
      <c r="D13" s="36" t="s">
        <v>148</v>
      </c>
      <c r="E13" s="88"/>
      <c r="F13" s="36">
        <v>0</v>
      </c>
      <c r="G13" s="36">
        <v>0</v>
      </c>
      <c r="H13" s="36">
        <v>0</v>
      </c>
      <c r="I13" s="36">
        <v>0</v>
      </c>
      <c r="J13" s="36">
        <v>0</v>
      </c>
      <c r="K13" s="36">
        <v>0</v>
      </c>
      <c r="L13" s="36">
        <v>0</v>
      </c>
      <c r="M13" s="36">
        <v>1</v>
      </c>
      <c r="N13" s="36">
        <v>0</v>
      </c>
      <c r="O13" s="36">
        <v>1</v>
      </c>
      <c r="P13" s="36">
        <v>1</v>
      </c>
      <c r="Q13" s="36">
        <v>0</v>
      </c>
      <c r="R13" s="36">
        <v>6</v>
      </c>
      <c r="S13" s="36">
        <v>1</v>
      </c>
      <c r="T13" s="36">
        <v>1</v>
      </c>
      <c r="U13" s="36">
        <v>2</v>
      </c>
      <c r="V13" s="36">
        <v>4</v>
      </c>
      <c r="W13" s="41">
        <v>15</v>
      </c>
      <c r="X13" s="36"/>
      <c r="Y13" s="37"/>
      <c r="Z13" s="37"/>
      <c r="AA13" s="37"/>
      <c r="AB13" s="37"/>
      <c r="AC13" s="38"/>
    </row>
    <row r="14" spans="1:29">
      <c r="A14" s="83"/>
      <c r="B14" s="36"/>
      <c r="C14" s="94"/>
      <c r="D14" s="36" t="s">
        <v>149</v>
      </c>
      <c r="E14" s="88"/>
      <c r="F14" s="36"/>
      <c r="G14" s="36"/>
      <c r="H14" s="36"/>
      <c r="I14" s="36"/>
      <c r="J14" s="36"/>
      <c r="K14" s="36"/>
      <c r="L14" s="36"/>
      <c r="M14" s="36"/>
      <c r="N14" s="36"/>
      <c r="O14" s="36"/>
      <c r="P14" s="36"/>
      <c r="Q14" s="36"/>
      <c r="R14" s="36">
        <v>1</v>
      </c>
      <c r="S14" s="36">
        <v>1</v>
      </c>
      <c r="T14" s="36">
        <v>1</v>
      </c>
      <c r="U14" s="36">
        <v>1</v>
      </c>
      <c r="V14" s="36">
        <v>0</v>
      </c>
      <c r="W14" s="41">
        <v>0</v>
      </c>
      <c r="X14" s="36"/>
      <c r="Y14" s="37"/>
      <c r="Z14" s="37"/>
      <c r="AA14" s="37"/>
      <c r="AB14" s="37"/>
      <c r="AC14" s="38"/>
    </row>
    <row r="15" spans="1:29">
      <c r="A15" s="83"/>
      <c r="B15" s="36"/>
      <c r="C15" s="95"/>
      <c r="D15" s="36" t="s">
        <v>79</v>
      </c>
      <c r="E15" s="88"/>
      <c r="F15" s="36"/>
      <c r="G15" s="36"/>
      <c r="H15" s="36"/>
      <c r="I15" s="36"/>
      <c r="J15" s="36"/>
      <c r="K15" s="36"/>
      <c r="L15" s="36"/>
      <c r="M15" s="36"/>
      <c r="N15" s="36"/>
      <c r="O15" s="36"/>
      <c r="P15" s="36"/>
      <c r="Q15" s="36"/>
      <c r="R15" s="36">
        <v>3</v>
      </c>
      <c r="S15" s="36">
        <v>3</v>
      </c>
      <c r="T15" s="36">
        <v>4</v>
      </c>
      <c r="U15" s="36">
        <v>3</v>
      </c>
      <c r="V15" s="36">
        <v>0</v>
      </c>
      <c r="W15" s="41">
        <v>0</v>
      </c>
      <c r="X15" s="36"/>
      <c r="Y15" s="37"/>
      <c r="Z15" s="37"/>
      <c r="AA15" s="37"/>
      <c r="AB15" s="37"/>
      <c r="AC15" s="38"/>
    </row>
    <row r="16" spans="1:29">
      <c r="A16" s="83"/>
      <c r="B16" s="36"/>
      <c r="C16" s="48" t="s">
        <v>85</v>
      </c>
      <c r="D16" s="36" t="s">
        <v>73</v>
      </c>
      <c r="E16" s="88"/>
      <c r="F16" s="36"/>
      <c r="G16" s="36"/>
      <c r="H16" s="36"/>
      <c r="I16" s="36"/>
      <c r="J16" s="36"/>
      <c r="K16" s="36"/>
      <c r="L16" s="36"/>
      <c r="M16" s="36"/>
      <c r="N16" s="36"/>
      <c r="O16" s="36"/>
      <c r="P16" s="36"/>
      <c r="Q16" s="36"/>
      <c r="R16" s="36"/>
      <c r="S16" s="36"/>
      <c r="T16" s="36"/>
      <c r="U16" s="36"/>
      <c r="V16" s="36"/>
      <c r="W16" s="41">
        <v>0</v>
      </c>
      <c r="X16" s="36"/>
      <c r="Y16" s="37"/>
      <c r="Z16" s="37"/>
      <c r="AA16" s="37"/>
      <c r="AB16" s="37"/>
      <c r="AC16" s="38"/>
    </row>
    <row r="17" spans="1:29">
      <c r="A17" s="83"/>
      <c r="B17" s="36"/>
      <c r="C17" s="36"/>
      <c r="D17" s="36" t="s">
        <v>145</v>
      </c>
      <c r="E17" s="88"/>
      <c r="F17" s="36"/>
      <c r="G17" s="36"/>
      <c r="H17" s="36"/>
      <c r="I17" s="36"/>
      <c r="J17" s="36"/>
      <c r="K17" s="36"/>
      <c r="L17" s="36"/>
      <c r="M17" s="36"/>
      <c r="N17" s="36"/>
      <c r="O17" s="36"/>
      <c r="P17" s="36"/>
      <c r="Q17" s="36"/>
      <c r="R17" s="36"/>
      <c r="S17" s="36"/>
      <c r="T17" s="36"/>
      <c r="U17" s="36"/>
      <c r="V17" s="36"/>
      <c r="W17" s="41">
        <v>0</v>
      </c>
      <c r="X17" s="36"/>
      <c r="Y17" s="37"/>
      <c r="Z17" s="37"/>
      <c r="AA17" s="37"/>
      <c r="AB17" s="37"/>
      <c r="AC17" s="38"/>
    </row>
    <row r="18" spans="1:29">
      <c r="A18" s="83"/>
      <c r="B18" s="36"/>
      <c r="C18" s="93" t="s">
        <v>150</v>
      </c>
      <c r="D18" s="36" t="s">
        <v>73</v>
      </c>
      <c r="E18" s="88"/>
      <c r="F18" s="49">
        <v>1456</v>
      </c>
      <c r="G18" s="36">
        <v>891</v>
      </c>
      <c r="H18" s="36">
        <v>497</v>
      </c>
      <c r="I18" s="49">
        <v>1666</v>
      </c>
      <c r="J18" s="49">
        <v>1588</v>
      </c>
      <c r="K18" s="49">
        <v>1102</v>
      </c>
      <c r="L18" s="49">
        <v>1280</v>
      </c>
      <c r="M18" s="36">
        <v>19</v>
      </c>
      <c r="N18" s="36">
        <v>255</v>
      </c>
      <c r="O18" s="36">
        <v>987</v>
      </c>
      <c r="P18" s="49">
        <v>1095</v>
      </c>
      <c r="Q18" s="49">
        <v>1069</v>
      </c>
      <c r="R18" s="49">
        <v>2119</v>
      </c>
      <c r="S18" s="49">
        <v>1161</v>
      </c>
      <c r="T18" s="49">
        <v>1999</v>
      </c>
      <c r="U18" s="49">
        <v>2280</v>
      </c>
      <c r="V18" s="49">
        <v>2072</v>
      </c>
      <c r="W18" s="41">
        <v>2319</v>
      </c>
      <c r="X18" s="36"/>
      <c r="Y18" s="37"/>
      <c r="Z18" s="37"/>
      <c r="AA18" s="37"/>
      <c r="AB18" s="37"/>
      <c r="AC18" s="38"/>
    </row>
    <row r="19" spans="1:29">
      <c r="A19" s="83"/>
      <c r="B19" s="36"/>
      <c r="C19" s="94"/>
      <c r="D19" s="36" t="s">
        <v>147</v>
      </c>
      <c r="E19" s="88"/>
      <c r="F19" s="36">
        <v>15</v>
      </c>
      <c r="G19" s="36">
        <v>8</v>
      </c>
      <c r="H19" s="36">
        <v>4</v>
      </c>
      <c r="I19" s="36">
        <v>13</v>
      </c>
      <c r="J19" s="36">
        <v>10</v>
      </c>
      <c r="K19" s="36">
        <v>14</v>
      </c>
      <c r="L19" s="36">
        <v>22</v>
      </c>
      <c r="M19" s="36">
        <v>24</v>
      </c>
      <c r="N19" s="36">
        <v>5</v>
      </c>
      <c r="O19" s="36">
        <v>19</v>
      </c>
      <c r="P19" s="36">
        <v>17</v>
      </c>
      <c r="Q19" s="36">
        <v>7</v>
      </c>
      <c r="R19" s="36">
        <v>8</v>
      </c>
      <c r="S19" s="36">
        <v>2</v>
      </c>
      <c r="T19" s="36">
        <v>0</v>
      </c>
      <c r="U19" s="36">
        <v>3</v>
      </c>
      <c r="V19" s="36">
        <v>3</v>
      </c>
      <c r="W19" s="41">
        <v>1</v>
      </c>
      <c r="X19" s="36"/>
      <c r="Y19" s="37"/>
      <c r="Z19" s="37"/>
      <c r="AA19" s="37"/>
      <c r="AB19" s="37"/>
      <c r="AC19" s="38"/>
    </row>
    <row r="20" spans="1:29">
      <c r="A20" s="83"/>
      <c r="B20" s="36"/>
      <c r="C20" s="94"/>
      <c r="D20" s="36" t="s">
        <v>148</v>
      </c>
      <c r="E20" s="88"/>
      <c r="F20" s="36">
        <v>9</v>
      </c>
      <c r="G20" s="36">
        <v>0</v>
      </c>
      <c r="H20" s="36">
        <v>0</v>
      </c>
      <c r="I20" s="36">
        <v>0</v>
      </c>
      <c r="J20" s="36">
        <v>0</v>
      </c>
      <c r="K20" s="36">
        <v>0</v>
      </c>
      <c r="L20" s="36">
        <v>0</v>
      </c>
      <c r="M20" s="36">
        <v>18</v>
      </c>
      <c r="N20" s="36">
        <v>4</v>
      </c>
      <c r="O20" s="36">
        <v>7</v>
      </c>
      <c r="P20" s="36">
        <v>25</v>
      </c>
      <c r="Q20" s="36">
        <v>6</v>
      </c>
      <c r="R20" s="36">
        <v>30</v>
      </c>
      <c r="S20" s="36">
        <v>22</v>
      </c>
      <c r="T20" s="36">
        <v>16</v>
      </c>
      <c r="U20" s="36">
        <v>32</v>
      </c>
      <c r="V20" s="36">
        <v>34</v>
      </c>
      <c r="W20" s="41">
        <v>0</v>
      </c>
      <c r="X20" s="36"/>
      <c r="Y20" s="37"/>
      <c r="Z20" s="37"/>
      <c r="AA20" s="37"/>
      <c r="AB20" s="37"/>
      <c r="AC20" s="38"/>
    </row>
    <row r="21" spans="1:29">
      <c r="A21" s="83"/>
      <c r="B21" s="36"/>
      <c r="C21" s="94"/>
      <c r="D21" s="36" t="s">
        <v>149</v>
      </c>
      <c r="E21" s="88"/>
      <c r="F21" s="36"/>
      <c r="G21" s="36"/>
      <c r="H21" s="36"/>
      <c r="I21" s="36"/>
      <c r="J21" s="36"/>
      <c r="K21" s="36"/>
      <c r="L21" s="36"/>
      <c r="M21" s="36"/>
      <c r="N21" s="36"/>
      <c r="O21" s="36"/>
      <c r="P21" s="36"/>
      <c r="Q21" s="36"/>
      <c r="R21" s="36">
        <v>16</v>
      </c>
      <c r="S21" s="36">
        <v>8</v>
      </c>
      <c r="T21" s="36">
        <v>14</v>
      </c>
      <c r="U21" s="36">
        <v>19</v>
      </c>
      <c r="V21" s="36">
        <v>17</v>
      </c>
      <c r="W21" s="41">
        <v>0</v>
      </c>
      <c r="X21" s="36"/>
      <c r="Y21" s="37"/>
      <c r="Z21" s="37"/>
      <c r="AA21" s="37"/>
      <c r="AB21" s="37"/>
      <c r="AC21" s="38"/>
    </row>
    <row r="22" spans="1:29">
      <c r="A22" s="83"/>
      <c r="B22" s="36"/>
      <c r="C22" s="94"/>
      <c r="D22" s="36" t="s">
        <v>79</v>
      </c>
      <c r="E22" s="88"/>
      <c r="F22" s="36"/>
      <c r="G22" s="36"/>
      <c r="H22" s="36"/>
      <c r="I22" s="36"/>
      <c r="J22" s="36"/>
      <c r="K22" s="36"/>
      <c r="L22" s="36"/>
      <c r="M22" s="36"/>
      <c r="N22" s="36"/>
      <c r="O22" s="36"/>
      <c r="P22" s="36"/>
      <c r="Q22" s="36"/>
      <c r="R22" s="36">
        <v>8</v>
      </c>
      <c r="S22" s="36">
        <v>14</v>
      </c>
      <c r="T22" s="36">
        <v>41</v>
      </c>
      <c r="U22" s="36">
        <v>14</v>
      </c>
      <c r="V22" s="36">
        <v>20</v>
      </c>
      <c r="W22" s="41">
        <v>0</v>
      </c>
      <c r="X22" s="36"/>
      <c r="Y22" s="37"/>
      <c r="Z22" s="37"/>
      <c r="AA22" s="37"/>
      <c r="AB22" s="37"/>
      <c r="AC22" s="38"/>
    </row>
    <row r="23" spans="1:29">
      <c r="A23" s="84"/>
      <c r="B23" s="69"/>
      <c r="C23" s="92" t="s">
        <v>151</v>
      </c>
      <c r="D23" s="70"/>
      <c r="E23" s="89"/>
      <c r="F23" s="36"/>
      <c r="G23" s="36"/>
      <c r="H23" s="36"/>
      <c r="I23" s="36"/>
      <c r="J23" s="36"/>
      <c r="K23" s="36"/>
      <c r="L23" s="36"/>
      <c r="M23" s="36"/>
      <c r="N23" s="36"/>
      <c r="O23" s="36"/>
      <c r="P23" s="36"/>
      <c r="Q23" s="36"/>
      <c r="R23" s="36"/>
      <c r="S23" s="36"/>
      <c r="T23" s="36"/>
      <c r="U23" s="36"/>
      <c r="V23" s="36"/>
      <c r="W23" s="41">
        <v>0</v>
      </c>
      <c r="X23" s="36"/>
      <c r="Y23" s="37"/>
      <c r="Z23" s="37"/>
      <c r="AA23" s="37"/>
      <c r="AB23" s="37"/>
      <c r="AC23" s="38"/>
    </row>
    <row r="24" spans="1:29">
      <c r="A24" s="76">
        <v>5</v>
      </c>
      <c r="B24" s="69"/>
      <c r="C24" s="92"/>
      <c r="D24" s="70" t="s">
        <v>73</v>
      </c>
      <c r="E24" s="68"/>
      <c r="F24" s="36"/>
      <c r="G24" s="36"/>
      <c r="H24" s="36"/>
      <c r="I24" s="36"/>
      <c r="J24" s="36"/>
      <c r="K24" s="36"/>
      <c r="L24" s="36"/>
      <c r="M24" s="36"/>
      <c r="N24" s="36"/>
      <c r="O24" s="36"/>
      <c r="P24" s="36"/>
      <c r="Q24" s="36"/>
      <c r="R24" s="36"/>
      <c r="S24" s="36"/>
      <c r="T24" s="36"/>
      <c r="U24" s="36"/>
      <c r="V24" s="36"/>
      <c r="W24" s="41"/>
      <c r="X24" s="36"/>
      <c r="Y24" s="37"/>
      <c r="Z24" s="37"/>
      <c r="AA24" s="37"/>
      <c r="AB24" s="37"/>
      <c r="AC24" s="38"/>
    </row>
    <row r="25" spans="1:29">
      <c r="A25" s="77"/>
      <c r="B25" s="69"/>
      <c r="C25" s="92"/>
      <c r="D25" s="70" t="s">
        <v>147</v>
      </c>
      <c r="E25" s="68"/>
      <c r="F25" s="36"/>
      <c r="G25" s="36"/>
      <c r="H25" s="36"/>
      <c r="I25" s="36"/>
      <c r="J25" s="36"/>
      <c r="K25" s="36"/>
      <c r="L25" s="36"/>
      <c r="M25" s="36"/>
      <c r="N25" s="36"/>
      <c r="O25" s="36"/>
      <c r="P25" s="36"/>
      <c r="Q25" s="36"/>
      <c r="R25" s="36"/>
      <c r="S25" s="36"/>
      <c r="T25" s="36"/>
      <c r="U25" s="36"/>
      <c r="V25" s="36"/>
      <c r="W25" s="41"/>
      <c r="X25" s="36"/>
      <c r="Y25" s="37"/>
      <c r="Z25" s="37"/>
      <c r="AA25" s="37"/>
      <c r="AB25" s="37"/>
      <c r="AC25" s="38"/>
    </row>
    <row r="26" spans="1:29">
      <c r="A26" s="77"/>
      <c r="B26" s="75"/>
      <c r="C26" s="92"/>
      <c r="D26" s="70" t="s">
        <v>148</v>
      </c>
      <c r="E26" s="68"/>
      <c r="F26" s="36"/>
      <c r="G26" s="36"/>
      <c r="H26" s="36"/>
      <c r="I26" s="36"/>
      <c r="J26" s="36"/>
      <c r="K26" s="36"/>
      <c r="L26" s="36"/>
      <c r="M26" s="36"/>
      <c r="N26" s="36"/>
      <c r="O26" s="36"/>
      <c r="P26" s="36"/>
      <c r="Q26" s="36"/>
      <c r="R26" s="36"/>
      <c r="S26" s="36"/>
      <c r="T26" s="36"/>
      <c r="U26" s="36"/>
      <c r="V26" s="36"/>
      <c r="W26" s="41"/>
      <c r="X26" s="36"/>
      <c r="Y26" s="37"/>
      <c r="Z26" s="37"/>
      <c r="AA26" s="37"/>
      <c r="AB26" s="37"/>
      <c r="AC26" s="38"/>
    </row>
    <row r="27" spans="1:29">
      <c r="A27" s="78">
        <v>6</v>
      </c>
      <c r="B27" s="74"/>
      <c r="C27" s="73"/>
      <c r="D27" s="70"/>
      <c r="E27" s="68"/>
      <c r="F27" s="36"/>
      <c r="G27" s="36"/>
      <c r="H27" s="36"/>
      <c r="I27" s="36"/>
      <c r="J27" s="36"/>
      <c r="K27" s="36"/>
      <c r="L27" s="36"/>
      <c r="M27" s="36"/>
      <c r="N27" s="36"/>
      <c r="O27" s="36"/>
      <c r="P27" s="36"/>
      <c r="Q27" s="36"/>
      <c r="R27" s="36"/>
      <c r="S27" s="36"/>
      <c r="T27" s="36"/>
      <c r="U27" s="36"/>
      <c r="V27" s="36"/>
      <c r="W27" s="41"/>
      <c r="X27" s="36"/>
      <c r="Y27" s="37"/>
      <c r="Z27" s="37"/>
      <c r="AA27" s="37"/>
      <c r="AB27" s="37"/>
      <c r="AC27" s="38"/>
    </row>
    <row r="28" spans="1:29">
      <c r="A28" s="78"/>
      <c r="B28" s="74"/>
      <c r="C28" s="73"/>
      <c r="D28" s="70"/>
      <c r="E28" s="68"/>
      <c r="F28" s="36"/>
      <c r="G28" s="36"/>
      <c r="H28" s="36"/>
      <c r="I28" s="36"/>
      <c r="J28" s="36"/>
      <c r="K28" s="36"/>
      <c r="L28" s="36"/>
      <c r="M28" s="36"/>
      <c r="N28" s="36"/>
      <c r="O28" s="36"/>
      <c r="P28" s="36"/>
      <c r="Q28" s="36"/>
      <c r="R28" s="36"/>
      <c r="S28" s="36"/>
      <c r="T28" s="36"/>
      <c r="U28" s="36"/>
      <c r="V28" s="36"/>
      <c r="W28" s="41"/>
      <c r="X28" s="36"/>
      <c r="Y28" s="37"/>
      <c r="Z28" s="37"/>
      <c r="AA28" s="37"/>
      <c r="AB28" s="37"/>
      <c r="AC28" s="38"/>
    </row>
    <row r="29" spans="1:29">
      <c r="A29" s="79"/>
      <c r="B29" s="74"/>
      <c r="C29" s="72"/>
      <c r="D29" s="70"/>
      <c r="E29" s="68"/>
      <c r="F29" s="36"/>
      <c r="G29" s="36"/>
      <c r="H29" s="36"/>
      <c r="I29" s="36"/>
      <c r="J29" s="36"/>
      <c r="K29" s="36"/>
      <c r="L29" s="36"/>
      <c r="M29" s="36"/>
      <c r="N29" s="36"/>
      <c r="O29" s="36"/>
      <c r="P29" s="36"/>
      <c r="Q29" s="36"/>
      <c r="R29" s="36"/>
      <c r="S29" s="36"/>
      <c r="T29" s="36"/>
      <c r="U29" s="36"/>
      <c r="V29" s="36"/>
      <c r="W29" s="41"/>
      <c r="X29" s="36"/>
      <c r="Y29" s="37"/>
      <c r="Z29" s="37"/>
      <c r="AA29" s="37"/>
      <c r="AB29" s="37"/>
      <c r="AC29" s="38"/>
    </row>
    <row r="30" spans="1:29">
      <c r="A30" s="82">
        <v>5</v>
      </c>
      <c r="B30" s="86" t="s">
        <v>152</v>
      </c>
      <c r="C30" s="85"/>
      <c r="D30" s="81"/>
      <c r="E30" s="87" t="s">
        <v>97</v>
      </c>
      <c r="F30" s="36"/>
      <c r="G30" s="36"/>
      <c r="H30" s="36"/>
      <c r="I30" s="36"/>
      <c r="J30" s="36"/>
      <c r="K30" s="36"/>
      <c r="L30" s="36"/>
      <c r="M30" s="36"/>
      <c r="N30" s="36"/>
      <c r="O30" s="36"/>
      <c r="P30" s="36"/>
      <c r="Q30" s="36"/>
      <c r="R30" s="36"/>
      <c r="S30" s="36"/>
      <c r="T30" s="36"/>
      <c r="U30" s="36"/>
      <c r="V30" s="36"/>
      <c r="W30" s="41">
        <v>0</v>
      </c>
      <c r="X30" s="36"/>
      <c r="Y30" s="37"/>
      <c r="Z30" s="37"/>
      <c r="AA30" s="37"/>
      <c r="AB30" s="37"/>
      <c r="AC30" s="38"/>
    </row>
    <row r="31" spans="1:29">
      <c r="A31" s="83"/>
      <c r="B31" s="36"/>
      <c r="C31" s="90" t="s">
        <v>153</v>
      </c>
      <c r="D31" s="91"/>
      <c r="E31" s="88"/>
      <c r="F31" s="36"/>
      <c r="G31" s="36"/>
      <c r="H31" s="36"/>
      <c r="I31" s="36"/>
      <c r="J31" s="36"/>
      <c r="K31" s="36"/>
      <c r="L31" s="36"/>
      <c r="M31" s="36"/>
      <c r="N31" s="36"/>
      <c r="O31" s="36"/>
      <c r="P31" s="36"/>
      <c r="Q31" s="36"/>
      <c r="R31" s="36"/>
      <c r="S31" s="36"/>
      <c r="T31" s="36"/>
      <c r="U31" s="36"/>
      <c r="V31" s="36"/>
      <c r="W31" s="41">
        <v>0</v>
      </c>
      <c r="X31" s="36"/>
      <c r="Y31" s="37"/>
      <c r="Z31" s="37"/>
      <c r="AA31" s="37"/>
      <c r="AB31" s="37"/>
      <c r="AC31" s="38"/>
    </row>
    <row r="32" spans="1:29">
      <c r="A32" s="83"/>
      <c r="B32" s="36"/>
      <c r="C32" s="90" t="s">
        <v>154</v>
      </c>
      <c r="D32" s="91"/>
      <c r="E32" s="88"/>
      <c r="F32" s="36"/>
      <c r="G32" s="36"/>
      <c r="H32" s="36"/>
      <c r="I32" s="36"/>
      <c r="J32" s="36"/>
      <c r="K32" s="36"/>
      <c r="L32" s="36"/>
      <c r="M32" s="36"/>
      <c r="N32" s="36"/>
      <c r="O32" s="36"/>
      <c r="P32" s="36"/>
      <c r="Q32" s="36"/>
      <c r="R32" s="36"/>
      <c r="S32" s="36"/>
      <c r="T32" s="36"/>
      <c r="U32" s="36"/>
      <c r="V32" s="36"/>
      <c r="W32" s="41">
        <v>0</v>
      </c>
      <c r="X32" s="36"/>
      <c r="Y32" s="37"/>
      <c r="Z32" s="37"/>
      <c r="AA32" s="37"/>
      <c r="AB32" s="37"/>
      <c r="AC32" s="38"/>
    </row>
    <row r="33" spans="1:29">
      <c r="A33" s="83"/>
      <c r="B33" s="36"/>
      <c r="C33" s="90" t="s">
        <v>155</v>
      </c>
      <c r="D33" s="91"/>
      <c r="E33" s="88"/>
      <c r="F33" s="36"/>
      <c r="G33" s="36"/>
      <c r="H33" s="36"/>
      <c r="I33" s="36"/>
      <c r="J33" s="36"/>
      <c r="K33" s="36"/>
      <c r="L33" s="36"/>
      <c r="M33" s="36"/>
      <c r="N33" s="36"/>
      <c r="O33" s="36"/>
      <c r="P33" s="36"/>
      <c r="Q33" s="36"/>
      <c r="R33" s="36"/>
      <c r="S33" s="36"/>
      <c r="T33" s="36"/>
      <c r="U33" s="36"/>
      <c r="V33" s="36"/>
      <c r="W33" s="41">
        <v>0</v>
      </c>
      <c r="X33" s="36"/>
      <c r="Y33" s="37"/>
      <c r="Z33" s="37"/>
      <c r="AA33" s="37"/>
      <c r="AB33" s="37"/>
      <c r="AC33" s="38"/>
    </row>
    <row r="34" spans="1:29">
      <c r="A34" s="84"/>
      <c r="B34" s="36"/>
      <c r="C34" s="80" t="s">
        <v>104</v>
      </c>
      <c r="D34" s="81"/>
      <c r="E34" s="89"/>
      <c r="F34" s="36"/>
      <c r="G34" s="36"/>
      <c r="H34" s="36"/>
      <c r="I34" s="36"/>
      <c r="J34" s="36"/>
      <c r="K34" s="36"/>
      <c r="L34" s="36"/>
      <c r="M34" s="36"/>
      <c r="N34" s="36"/>
      <c r="O34" s="36"/>
      <c r="P34" s="36"/>
      <c r="Q34" s="36"/>
      <c r="R34" s="36"/>
      <c r="S34" s="36"/>
      <c r="T34" s="36"/>
      <c r="U34" s="36"/>
      <c r="V34" s="36"/>
      <c r="W34" s="41">
        <v>0</v>
      </c>
      <c r="X34" s="36"/>
      <c r="Y34" s="37"/>
      <c r="Z34" s="37"/>
      <c r="AA34" s="37"/>
      <c r="AB34" s="37"/>
      <c r="AC34" s="38"/>
    </row>
    <row r="35" spans="1:29">
      <c r="A35" s="82">
        <v>6</v>
      </c>
      <c r="B35" s="80" t="s">
        <v>156</v>
      </c>
      <c r="C35" s="85"/>
      <c r="D35" s="81"/>
      <c r="E35" s="87" t="s">
        <v>157</v>
      </c>
      <c r="F35" s="40">
        <v>45658</v>
      </c>
      <c r="G35" s="40">
        <v>45689</v>
      </c>
      <c r="H35" s="40">
        <v>45717</v>
      </c>
      <c r="I35" s="40">
        <v>45748</v>
      </c>
      <c r="J35" s="39" t="s">
        <v>130</v>
      </c>
      <c r="K35" s="39" t="s">
        <v>131</v>
      </c>
      <c r="L35" s="39" t="s">
        <v>132</v>
      </c>
      <c r="M35" s="39" t="s">
        <v>133</v>
      </c>
      <c r="N35" s="40">
        <v>45901</v>
      </c>
      <c r="O35" s="39" t="s">
        <v>134</v>
      </c>
      <c r="P35" s="40">
        <v>45962</v>
      </c>
      <c r="Q35" s="39" t="s">
        <v>135</v>
      </c>
      <c r="R35" s="40">
        <v>46023</v>
      </c>
      <c r="S35" s="40">
        <v>46054</v>
      </c>
      <c r="T35" s="40">
        <v>46082</v>
      </c>
      <c r="U35" s="40">
        <v>46113</v>
      </c>
      <c r="V35" s="39" t="s">
        <v>136</v>
      </c>
      <c r="W35" s="50" t="s">
        <v>137</v>
      </c>
      <c r="X35" s="39" t="s">
        <v>138</v>
      </c>
      <c r="Y35" s="37"/>
      <c r="Z35" s="37"/>
      <c r="AA35" s="37"/>
      <c r="AB35" s="37"/>
      <c r="AC35" s="38"/>
    </row>
    <row r="36" spans="1:29">
      <c r="A36" s="83"/>
      <c r="B36" s="36"/>
      <c r="C36" s="90" t="s">
        <v>158</v>
      </c>
      <c r="D36" s="91"/>
      <c r="E36" s="88"/>
      <c r="F36" s="36"/>
      <c r="G36" s="36"/>
      <c r="H36" s="36"/>
      <c r="I36" s="36"/>
      <c r="J36" s="36"/>
      <c r="K36" s="36"/>
      <c r="L36" s="36"/>
      <c r="M36" s="36"/>
      <c r="N36" s="36"/>
      <c r="O36" s="36"/>
      <c r="P36" s="36"/>
      <c r="Q36" s="36"/>
      <c r="R36" s="46">
        <v>1.0324074074074074E-2</v>
      </c>
      <c r="S36" s="46">
        <v>5.8101851851851856E-3</v>
      </c>
      <c r="T36" s="46">
        <v>7.2106481481481483E-3</v>
      </c>
      <c r="U36" s="46">
        <v>8.5532407407407415E-3</v>
      </c>
      <c r="V36" s="46">
        <v>7.8240740740740736E-3</v>
      </c>
      <c r="W36" s="46">
        <v>8.5995370370370375E-3</v>
      </c>
      <c r="X36" s="36"/>
      <c r="Y36" s="37"/>
      <c r="Z36" s="37"/>
      <c r="AA36" s="37"/>
      <c r="AB36" s="37"/>
      <c r="AC36" s="38"/>
    </row>
    <row r="37" spans="1:29">
      <c r="A37" s="83"/>
      <c r="B37" s="36"/>
      <c r="C37" s="90" t="s">
        <v>159</v>
      </c>
      <c r="D37" s="91"/>
      <c r="E37" s="88"/>
      <c r="F37" s="36"/>
      <c r="G37" s="36"/>
      <c r="H37" s="36"/>
      <c r="I37" s="36"/>
      <c r="J37" s="36"/>
      <c r="K37" s="36"/>
      <c r="L37" s="36"/>
      <c r="M37" s="36"/>
      <c r="N37" s="36"/>
      <c r="O37" s="36"/>
      <c r="P37" s="36"/>
      <c r="Q37" s="36"/>
      <c r="R37" s="46">
        <v>7.6736111111111111E-3</v>
      </c>
      <c r="S37" s="46">
        <v>1.6620370370370369E-2</v>
      </c>
      <c r="T37" s="46">
        <v>8.7152777777777784E-3</v>
      </c>
      <c r="U37" s="46">
        <v>1.0775462962962962E-2</v>
      </c>
      <c r="V37" s="46">
        <v>6.851851851851852E-3</v>
      </c>
      <c r="W37" s="46">
        <v>1.1655092592592592E-2</v>
      </c>
      <c r="X37" s="36"/>
      <c r="Y37" s="37"/>
      <c r="Z37" s="37"/>
      <c r="AA37" s="37"/>
      <c r="AB37" s="37"/>
      <c r="AC37" s="38"/>
    </row>
    <row r="38" spans="1:29">
      <c r="A38" s="83"/>
      <c r="B38" s="36"/>
      <c r="C38" s="90" t="s">
        <v>160</v>
      </c>
      <c r="D38" s="91"/>
      <c r="E38" s="88"/>
      <c r="F38" s="36"/>
      <c r="G38" s="36"/>
      <c r="H38" s="36"/>
      <c r="I38" s="36"/>
      <c r="J38" s="36"/>
      <c r="K38" s="36"/>
      <c r="L38" s="36"/>
      <c r="M38" s="36"/>
      <c r="N38" s="36"/>
      <c r="O38" s="36"/>
      <c r="P38" s="36"/>
      <c r="Q38" s="36"/>
      <c r="R38" s="36"/>
      <c r="S38" s="36"/>
      <c r="T38" s="36"/>
      <c r="U38" s="36"/>
      <c r="V38" s="36"/>
      <c r="W38" s="41">
        <v>0</v>
      </c>
      <c r="X38" s="36"/>
      <c r="Y38" s="37"/>
      <c r="Z38" s="37"/>
      <c r="AA38" s="37"/>
      <c r="AB38" s="37"/>
      <c r="AC38" s="38"/>
    </row>
    <row r="39" spans="1:29">
      <c r="A39" s="83"/>
      <c r="B39" s="36"/>
      <c r="C39" s="90" t="s">
        <v>161</v>
      </c>
      <c r="D39" s="91"/>
      <c r="E39" s="88"/>
      <c r="F39" s="36"/>
      <c r="G39" s="36"/>
      <c r="H39" s="36"/>
      <c r="I39" s="36"/>
      <c r="J39" s="36"/>
      <c r="K39" s="36"/>
      <c r="L39" s="36"/>
      <c r="M39" s="36"/>
      <c r="N39" s="36"/>
      <c r="O39" s="36"/>
      <c r="P39" s="36"/>
      <c r="Q39" s="36"/>
      <c r="R39" s="36"/>
      <c r="S39" s="36"/>
      <c r="T39" s="36"/>
      <c r="U39" s="36"/>
      <c r="V39" s="36"/>
      <c r="W39" s="41">
        <v>0</v>
      </c>
      <c r="X39" s="36"/>
      <c r="Y39" s="37"/>
      <c r="Z39" s="37"/>
      <c r="AA39" s="37"/>
      <c r="AB39" s="37"/>
      <c r="AC39" s="38"/>
    </row>
    <row r="40" spans="1:29">
      <c r="A40" s="84"/>
      <c r="B40" s="36"/>
      <c r="C40" s="80" t="s">
        <v>104</v>
      </c>
      <c r="D40" s="81"/>
      <c r="E40" s="89"/>
      <c r="F40" s="36"/>
      <c r="G40" s="36"/>
      <c r="H40" s="36"/>
      <c r="I40" s="36"/>
      <c r="J40" s="36"/>
      <c r="K40" s="36"/>
      <c r="L40" s="36"/>
      <c r="M40" s="36"/>
      <c r="N40" s="36"/>
      <c r="O40" s="36"/>
      <c r="P40" s="36"/>
      <c r="Q40" s="36"/>
      <c r="R40" s="36"/>
      <c r="S40" s="36"/>
      <c r="T40" s="36"/>
      <c r="U40" s="36"/>
      <c r="V40" s="36"/>
      <c r="W40" s="41">
        <v>0</v>
      </c>
      <c r="X40" s="36"/>
      <c r="Y40" s="47"/>
      <c r="Z40" s="47"/>
      <c r="AA40" s="47"/>
      <c r="AB40" s="47"/>
      <c r="AC40" s="36"/>
    </row>
  </sheetData>
  <mergeCells count="32">
    <mergeCell ref="B1:D1"/>
    <mergeCell ref="B2:D2"/>
    <mergeCell ref="B3:D3"/>
    <mergeCell ref="A4:A7"/>
    <mergeCell ref="B4:D4"/>
    <mergeCell ref="A8:A23"/>
    <mergeCell ref="B8:D8"/>
    <mergeCell ref="E8:E23"/>
    <mergeCell ref="C11:C15"/>
    <mergeCell ref="C18:C22"/>
    <mergeCell ref="E30:E34"/>
    <mergeCell ref="C31:D31"/>
    <mergeCell ref="C32:D32"/>
    <mergeCell ref="E4:E7"/>
    <mergeCell ref="C5:D5"/>
    <mergeCell ref="C6:D6"/>
    <mergeCell ref="C7:D7"/>
    <mergeCell ref="C33:D33"/>
    <mergeCell ref="C23:C26"/>
    <mergeCell ref="E35:E40"/>
    <mergeCell ref="C36:D36"/>
    <mergeCell ref="C37:D37"/>
    <mergeCell ref="C38:D38"/>
    <mergeCell ref="C39:D39"/>
    <mergeCell ref="C40:D40"/>
    <mergeCell ref="A24:A26"/>
    <mergeCell ref="A27:A29"/>
    <mergeCell ref="C34:D34"/>
    <mergeCell ref="A35:A40"/>
    <mergeCell ref="B35:D35"/>
    <mergeCell ref="A30:A34"/>
    <mergeCell ref="B30:D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2026-04-17T08:03:47Z</dcterms:created>
  <dcterms:modified xsi:type="dcterms:W3CDTF">2026-07-14T07:06:56Z</dcterms:modified>
  <cp:category/>
  <cp:contentStatus/>
</cp:coreProperties>
</file>